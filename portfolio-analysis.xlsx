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11.xml" ContentType="application/vnd.openxmlformats-officedocument.spreadsheetml.table+xml"/>
  <Override PartName="/xl/drawings/drawing3.xml" ContentType="application/vnd.openxmlformats-officedocument.drawing+xml"/>
  <Override PartName="/xl/tables/table1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1.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iadz\OneDrive\שולחן העבודה\פרויקט\"/>
    </mc:Choice>
  </mc:AlternateContent>
  <xr:revisionPtr revIDLastSave="0" documentId="13_ncr:1_{F7AEE4B9-5200-4DF1-8F7E-7B7D5C5A0B9F}" xr6:coauthVersionLast="47" xr6:coauthVersionMax="47" xr10:uidLastSave="{00000000-0000-0000-0000-000000000000}"/>
  <bookViews>
    <workbookView xWindow="-120" yWindow="-120" windowWidth="29040" windowHeight="15720" firstSheet="12" activeTab="21" xr2:uid="{00000000-000D-0000-FFFF-FFFF00000000}"/>
  </bookViews>
  <sheets>
    <sheet name="Raw_Data" sheetId="1" state="hidden" r:id="rId1"/>
    <sheet name="Clean_Data" sheetId="2" state="hidden" r:id="rId2"/>
    <sheet name="Assumptions" sheetId="22" r:id="rId3"/>
    <sheet name="TimeLine" sheetId="3" r:id="rId4"/>
    <sheet name="Returns" sheetId="4" r:id="rId5"/>
    <sheet name="Returns2" sheetId="14" state="hidden" r:id="rId6"/>
    <sheet name="Risk_Analysis" sheetId="5" r:id="rId7"/>
    <sheet name="Correlation" sheetId="9" r:id="rId8"/>
    <sheet name="Beta" sheetId="10" r:id="rId9"/>
    <sheet name="Portfolio " sheetId="18" r:id="rId10"/>
    <sheet name="Solver_Optimization" sheetId="16" r:id="rId11"/>
    <sheet name="Solver_Comparison" sheetId="17" r:id="rId12"/>
    <sheet name="Rate_Sensitivity" sheetId="21" r:id="rId13"/>
    <sheet name="Out_of_Sample" sheetId="24" r:id="rId14"/>
    <sheet name="capm-reg" sheetId="26" r:id="rId15"/>
    <sheet name="CAPM" sheetId="25" r:id="rId16"/>
    <sheet name="Return_Attribution" sheetId="27" r:id="rId17"/>
    <sheet name="Risk_Contribution" sheetId="15" r:id="rId18"/>
    <sheet name="VaR" sheetId="20" r:id="rId19"/>
    <sheet name="Drawdown" sheetId="23" r:id="rId20"/>
    <sheet name="stress_test" sheetId="30" r:id="rId21"/>
    <sheet name="Dashboard" sheetId="28" r:id="rId22"/>
    <sheet name="Sheet1" sheetId="31" state="hidden" r:id="rId23"/>
  </sheets>
  <definedNames>
    <definedName name="Portfolio_Sharpe" localSheetId="9">'Portfolio '!$B$26</definedName>
    <definedName name="Portfolio_Sharpe">#REF!</definedName>
    <definedName name="Risk_Free_rate">Risk_Analysis!$B$13</definedName>
    <definedName name="solver_adj" localSheetId="10" hidden="1">Solver_Optimization!$C$28:$C$37</definedName>
    <definedName name="solver_cvg" localSheetId="10" hidden="1">0.0001</definedName>
    <definedName name="solver_drv" localSheetId="10" hidden="1">1</definedName>
    <definedName name="solver_eng" localSheetId="10" hidden="1">1</definedName>
    <definedName name="solver_est" localSheetId="10" hidden="1">1</definedName>
    <definedName name="solver_itr" localSheetId="10" hidden="1">2147483647</definedName>
    <definedName name="solver_lhs1" localSheetId="10" hidden="1">Solver_Optimization!$C$28:$C$37</definedName>
    <definedName name="solver_lhs10" localSheetId="10" hidden="1">Solver_Optimization!$B$10</definedName>
    <definedName name="solver_lhs11" localSheetId="10" hidden="1">Solver_Optimization!$B$10</definedName>
    <definedName name="solver_lhs12" localSheetId="10" hidden="1">Solver_Optimization!$G$2</definedName>
    <definedName name="solver_lhs2" localSheetId="10" hidden="1">Solver_Optimization!$C$28:$C$37</definedName>
    <definedName name="solver_lhs3" localSheetId="10" hidden="1">Solver_Optimization!$K$28</definedName>
    <definedName name="solver_lhs4" localSheetId="10" hidden="1">Solver_Optimization!$B$8</definedName>
    <definedName name="solver_lhs5" localSheetId="10" hidden="1">Solver_Optimization!$B$8</definedName>
    <definedName name="solver_lhs6" localSheetId="10" hidden="1">Solver_Optimization!$B$10</definedName>
    <definedName name="solver_lhs7" localSheetId="10" hidden="1">Solver_Optimization!$G$2</definedName>
    <definedName name="solver_lhs8" localSheetId="10" hidden="1">Solver_Optimization!$B$9</definedName>
    <definedName name="solver_lhs9" localSheetId="10" hidden="1">Solver_Optimization!$B$9</definedName>
    <definedName name="solver_mip" localSheetId="10" hidden="1">2147483647</definedName>
    <definedName name="solver_mni" localSheetId="10" hidden="1">30</definedName>
    <definedName name="solver_mrt" localSheetId="10" hidden="1">0.075</definedName>
    <definedName name="solver_msl" localSheetId="10" hidden="1">2</definedName>
    <definedName name="solver_neg" localSheetId="10" hidden="1">1</definedName>
    <definedName name="solver_nod" localSheetId="10" hidden="1">2147483647</definedName>
    <definedName name="solver_num" localSheetId="10" hidden="1">3</definedName>
    <definedName name="solver_nwt" localSheetId="10" hidden="1">1</definedName>
    <definedName name="solver_opt" localSheetId="10" hidden="1">Solver_Optimization!$J$28</definedName>
    <definedName name="solver_pre" localSheetId="10" hidden="1">0.0000001</definedName>
    <definedName name="solver_rbv" localSheetId="10" hidden="1">1</definedName>
    <definedName name="solver_rel1" localSheetId="10" hidden="1">1</definedName>
    <definedName name="solver_rel10" localSheetId="10" hidden="1">1</definedName>
    <definedName name="solver_rel11" localSheetId="10" hidden="1">3</definedName>
    <definedName name="solver_rel12" localSheetId="10" hidden="1">2</definedName>
    <definedName name="solver_rel2" localSheetId="10" hidden="1">3</definedName>
    <definedName name="solver_rel3" localSheetId="10" hidden="1">2</definedName>
    <definedName name="solver_rel4" localSheetId="10" hidden="1">1</definedName>
    <definedName name="solver_rel5" localSheetId="10" hidden="1">3</definedName>
    <definedName name="solver_rel6" localSheetId="10" hidden="1">1</definedName>
    <definedName name="solver_rel7" localSheetId="10" hidden="1">2</definedName>
    <definedName name="solver_rel8" localSheetId="10" hidden="1">1</definedName>
    <definedName name="solver_rel9" localSheetId="10" hidden="1">3</definedName>
    <definedName name="solver_rhs1" localSheetId="10" hidden="1">Solver_Optimization!$E$28:$E$37</definedName>
    <definedName name="solver_rhs10" localSheetId="10" hidden="1">0.1</definedName>
    <definedName name="solver_rhs11" localSheetId="10" hidden="1">0.05</definedName>
    <definedName name="solver_rhs12" localSheetId="10" hidden="1">1</definedName>
    <definedName name="solver_rhs2" localSheetId="10" hidden="1">Solver_Optimization!$D$28:$D$37</definedName>
    <definedName name="solver_rhs3" localSheetId="10" hidden="1">1</definedName>
    <definedName name="solver_rhs4" localSheetId="10" hidden="1">0.3</definedName>
    <definedName name="solver_rhs5" localSheetId="10" hidden="1">0.2</definedName>
    <definedName name="solver_rhs6" localSheetId="10" hidden="1">0.1</definedName>
    <definedName name="solver_rhs7" localSheetId="10" hidden="1">1</definedName>
    <definedName name="solver_rhs8" localSheetId="10" hidden="1">0.1</definedName>
    <definedName name="solver_rhs9" localSheetId="10" hidden="1">0.05</definedName>
    <definedName name="solver_rlx" localSheetId="10" hidden="1">2</definedName>
    <definedName name="solver_rsd" localSheetId="10" hidden="1">0</definedName>
    <definedName name="solver_scl" localSheetId="10" hidden="1">1</definedName>
    <definedName name="solver_sho" localSheetId="10" hidden="1">2</definedName>
    <definedName name="solver_ssz" localSheetId="10" hidden="1">100</definedName>
    <definedName name="solver_tim" localSheetId="10" hidden="1">2147483647</definedName>
    <definedName name="solver_tol" localSheetId="10" hidden="1">0.01</definedName>
    <definedName name="solver_typ" localSheetId="10" hidden="1">1</definedName>
    <definedName name="solver_val" localSheetId="10" hidden="1">0</definedName>
    <definedName name="solver_ver" localSheetId="10"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2" i="31" l="1"/>
  <c r="D11" i="31"/>
  <c r="D10" i="31"/>
  <c r="E12" i="31"/>
  <c r="E11" i="31"/>
  <c r="E10" i="31"/>
  <c r="G5" i="31"/>
  <c r="F5" i="31"/>
  <c r="E5" i="31"/>
  <c r="D5" i="31"/>
  <c r="C5" i="31"/>
  <c r="F4" i="30"/>
  <c r="F5" i="30"/>
  <c r="F3" i="30"/>
  <c r="E5" i="30"/>
  <c r="D5" i="30"/>
  <c r="E4" i="30"/>
  <c r="D4" i="30"/>
  <c r="E3" i="30"/>
  <c r="D3" i="30"/>
  <c r="AA8" i="24"/>
  <c r="B162" i="24"/>
  <c r="B159" i="24"/>
  <c r="J20" i="24"/>
  <c r="J21" i="24"/>
  <c r="J22" i="24"/>
  <c r="J23" i="24"/>
  <c r="J24" i="24"/>
  <c r="J25" i="24"/>
  <c r="J26" i="24"/>
  <c r="J27" i="24"/>
  <c r="J28" i="24"/>
  <c r="J29" i="24"/>
  <c r="J30" i="24"/>
  <c r="J31" i="24"/>
  <c r="J32" i="24"/>
  <c r="J33" i="24"/>
  <c r="J34" i="24"/>
  <c r="J35" i="24"/>
  <c r="J36" i="24"/>
  <c r="J37" i="24"/>
  <c r="J38" i="24"/>
  <c r="J39" i="24"/>
  <c r="J40" i="24"/>
  <c r="J41" i="24"/>
  <c r="J42" i="24"/>
  <c r="J43" i="24"/>
  <c r="J44" i="24"/>
  <c r="J45" i="24"/>
  <c r="J46" i="24"/>
  <c r="J47" i="24"/>
  <c r="J48" i="24"/>
  <c r="J49" i="24"/>
  <c r="J50" i="24"/>
  <c r="J51" i="24"/>
  <c r="J52" i="24"/>
  <c r="J53" i="24"/>
  <c r="J54" i="24"/>
  <c r="J55" i="24"/>
  <c r="J56" i="24"/>
  <c r="J57" i="24"/>
  <c r="J58" i="24"/>
  <c r="J59" i="24"/>
  <c r="J60" i="24"/>
  <c r="J61" i="24"/>
  <c r="J62" i="24"/>
  <c r="J63" i="24"/>
  <c r="J64" i="24"/>
  <c r="J65" i="24"/>
  <c r="J66" i="24"/>
  <c r="J67" i="24"/>
  <c r="J68" i="24"/>
  <c r="J69" i="24"/>
  <c r="J70" i="24"/>
  <c r="J71" i="24"/>
  <c r="J72" i="24"/>
  <c r="J73" i="24"/>
  <c r="J74" i="24"/>
  <c r="J75" i="24"/>
  <c r="J76" i="24"/>
  <c r="J77" i="24"/>
  <c r="J78" i="24"/>
  <c r="J79" i="24"/>
  <c r="J80" i="24"/>
  <c r="J81" i="24"/>
  <c r="J82" i="24"/>
  <c r="J83" i="24"/>
  <c r="J84" i="24"/>
  <c r="J85" i="24"/>
  <c r="J86" i="24"/>
  <c r="J87" i="24"/>
  <c r="J88" i="24"/>
  <c r="J89" i="24"/>
  <c r="J90" i="24"/>
  <c r="J91" i="24"/>
  <c r="J92" i="24"/>
  <c r="J93" i="24"/>
  <c r="J94" i="24"/>
  <c r="J95" i="24"/>
  <c r="J96" i="24"/>
  <c r="J97" i="24"/>
  <c r="J98" i="24"/>
  <c r="J99" i="24"/>
  <c r="J100" i="24"/>
  <c r="J101" i="24"/>
  <c r="J102" i="24"/>
  <c r="J103" i="24"/>
  <c r="J104" i="24"/>
  <c r="J105" i="24"/>
  <c r="J106" i="24"/>
  <c r="J107" i="24"/>
  <c r="J108" i="24"/>
  <c r="J109" i="24"/>
  <c r="J110" i="24"/>
  <c r="J111" i="24"/>
  <c r="J112" i="24"/>
  <c r="J113" i="24"/>
  <c r="J114" i="24"/>
  <c r="J115" i="24"/>
  <c r="J116" i="24"/>
  <c r="J117" i="24"/>
  <c r="J118" i="24"/>
  <c r="J119" i="24"/>
  <c r="J120" i="24"/>
  <c r="J121" i="24"/>
  <c r="J122" i="24"/>
  <c r="J123" i="24"/>
  <c r="J124" i="24"/>
  <c r="J125" i="24"/>
  <c r="J126" i="24"/>
  <c r="J127" i="24"/>
  <c r="J128" i="24"/>
  <c r="J129" i="24"/>
  <c r="J130" i="24"/>
  <c r="J131" i="24"/>
  <c r="J132" i="24"/>
  <c r="J133" i="24"/>
  <c r="J134" i="24"/>
  <c r="J135" i="24"/>
  <c r="J136" i="24"/>
  <c r="J137" i="24"/>
  <c r="J138" i="24"/>
  <c r="J139" i="24"/>
  <c r="J140" i="24"/>
  <c r="J141" i="24"/>
  <c r="J142" i="24"/>
  <c r="J143" i="24"/>
  <c r="J144" i="24"/>
  <c r="J145" i="24"/>
  <c r="J146" i="24"/>
  <c r="J147" i="24"/>
  <c r="J148" i="24"/>
  <c r="J149" i="24"/>
  <c r="J150" i="24"/>
  <c r="J19" i="24"/>
  <c r="B39" i="15" a="1"/>
  <c r="B39" i="15" s="1"/>
  <c r="B40" i="15" s="1"/>
  <c r="B37" i="18"/>
  <c r="E4" i="27"/>
  <c r="E11" i="27"/>
  <c r="D8" i="27"/>
  <c r="E8" i="27" s="1"/>
  <c r="D6" i="27"/>
  <c r="E6" i="27" s="1"/>
  <c r="D10" i="27"/>
  <c r="E10" i="27" s="1"/>
  <c r="D5" i="27"/>
  <c r="E5" i="27" s="1"/>
  <c r="D7" i="27"/>
  <c r="E7" i="27" s="1"/>
  <c r="D13" i="27"/>
  <c r="E13" i="27" s="1"/>
  <c r="D9" i="27"/>
  <c r="E9" i="27" s="1"/>
  <c r="D11" i="27"/>
  <c r="D4" i="27"/>
  <c r="D12" i="27"/>
  <c r="E12" i="27" s="1"/>
  <c r="H5" i="25"/>
  <c r="H6" i="25"/>
  <c r="H7" i="25"/>
  <c r="H8" i="25"/>
  <c r="H9" i="25"/>
  <c r="H10" i="25"/>
  <c r="H11" i="25"/>
  <c r="H12" i="25"/>
  <c r="H13" i="25"/>
  <c r="H14" i="25"/>
  <c r="H15" i="25"/>
  <c r="H16" i="25"/>
  <c r="H17" i="25"/>
  <c r="H18" i="25"/>
  <c r="H19" i="25"/>
  <c r="H20" i="25"/>
  <c r="H21" i="25"/>
  <c r="H22" i="25"/>
  <c r="H23" i="25"/>
  <c r="H24" i="25"/>
  <c r="H25" i="25"/>
  <c r="H26" i="25"/>
  <c r="H27" i="25"/>
  <c r="H28" i="25"/>
  <c r="H29" i="25"/>
  <c r="H30" i="25"/>
  <c r="H31" i="25"/>
  <c r="H32" i="25"/>
  <c r="H33" i="25"/>
  <c r="H34" i="25"/>
  <c r="H35" i="25"/>
  <c r="H36" i="25"/>
  <c r="H37" i="25"/>
  <c r="H38" i="25"/>
  <c r="H39" i="25"/>
  <c r="H40" i="25"/>
  <c r="H41" i="25"/>
  <c r="H42" i="25"/>
  <c r="H43" i="25"/>
  <c r="H4" i="25"/>
  <c r="R7" i="25"/>
  <c r="R6" i="25"/>
  <c r="L17" i="25"/>
  <c r="L16" i="25"/>
  <c r="L15" i="25"/>
  <c r="L14" i="25"/>
  <c r="M7" i="25"/>
  <c r="N7" i="25"/>
  <c r="M6" i="25"/>
  <c r="N6" i="25"/>
  <c r="L7" i="25"/>
  <c r="L6" i="25"/>
  <c r="E5" i="25"/>
  <c r="E6" i="25"/>
  <c r="E7"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42" i="25"/>
  <c r="E43" i="25"/>
  <c r="E4" i="25"/>
  <c r="D5" i="25"/>
  <c r="G5" i="25" s="1"/>
  <c r="D6" i="25"/>
  <c r="G6" i="25" s="1"/>
  <c r="D7" i="25"/>
  <c r="G7" i="25" s="1"/>
  <c r="D8" i="25"/>
  <c r="G8" i="25" s="1"/>
  <c r="D9" i="25"/>
  <c r="G9" i="25" s="1"/>
  <c r="D10" i="25"/>
  <c r="G10" i="25" s="1"/>
  <c r="D11" i="25"/>
  <c r="G11" i="25" s="1"/>
  <c r="D12" i="25"/>
  <c r="G12" i="25" s="1"/>
  <c r="D13" i="25"/>
  <c r="G13" i="25" s="1"/>
  <c r="D14" i="25"/>
  <c r="G14" i="25" s="1"/>
  <c r="D15" i="25"/>
  <c r="G15" i="25" s="1"/>
  <c r="D16" i="25"/>
  <c r="G16" i="25" s="1"/>
  <c r="D17" i="25"/>
  <c r="G17" i="25" s="1"/>
  <c r="D18" i="25"/>
  <c r="G18" i="25" s="1"/>
  <c r="D19" i="25"/>
  <c r="G19" i="25" s="1"/>
  <c r="D20" i="25"/>
  <c r="G20" i="25" s="1"/>
  <c r="D21" i="25"/>
  <c r="G21" i="25" s="1"/>
  <c r="D22" i="25"/>
  <c r="G22" i="25" s="1"/>
  <c r="D23" i="25"/>
  <c r="G23" i="25" s="1"/>
  <c r="D24" i="25"/>
  <c r="G24" i="25" s="1"/>
  <c r="D25" i="25"/>
  <c r="G25" i="25" s="1"/>
  <c r="D26" i="25"/>
  <c r="G26" i="25" s="1"/>
  <c r="D27" i="25"/>
  <c r="G27" i="25" s="1"/>
  <c r="D28" i="25"/>
  <c r="G28" i="25" s="1"/>
  <c r="D29" i="25"/>
  <c r="G29" i="25" s="1"/>
  <c r="D30" i="25"/>
  <c r="G30" i="25" s="1"/>
  <c r="D31" i="25"/>
  <c r="G31" i="25" s="1"/>
  <c r="D32" i="25"/>
  <c r="G32" i="25" s="1"/>
  <c r="D33" i="25"/>
  <c r="G33" i="25" s="1"/>
  <c r="D34" i="25"/>
  <c r="G34" i="25" s="1"/>
  <c r="D35" i="25"/>
  <c r="G35" i="25" s="1"/>
  <c r="D36" i="25"/>
  <c r="G36" i="25" s="1"/>
  <c r="D37" i="25"/>
  <c r="G37" i="25" s="1"/>
  <c r="D38" i="25"/>
  <c r="G38" i="25" s="1"/>
  <c r="D39" i="25"/>
  <c r="G39" i="25" s="1"/>
  <c r="D40" i="25"/>
  <c r="G40" i="25" s="1"/>
  <c r="D41" i="25"/>
  <c r="G41" i="25" s="1"/>
  <c r="D42" i="25"/>
  <c r="G42" i="25" s="1"/>
  <c r="D43" i="25"/>
  <c r="G43" i="25" s="1"/>
  <c r="D4" i="25"/>
  <c r="G4" i="25" s="1"/>
  <c r="C5" i="25"/>
  <c r="F5" i="25" s="1"/>
  <c r="C6" i="25"/>
  <c r="F6" i="25" s="1"/>
  <c r="C7" i="25"/>
  <c r="F7" i="25" s="1"/>
  <c r="C8" i="25"/>
  <c r="F8" i="25" s="1"/>
  <c r="C9" i="25"/>
  <c r="F9" i="25" s="1"/>
  <c r="C10" i="25"/>
  <c r="F10" i="25" s="1"/>
  <c r="C11" i="25"/>
  <c r="F11" i="25" s="1"/>
  <c r="C12" i="25"/>
  <c r="F12" i="25" s="1"/>
  <c r="C13" i="25"/>
  <c r="F13" i="25" s="1"/>
  <c r="C14" i="25"/>
  <c r="F14" i="25" s="1"/>
  <c r="C15" i="25"/>
  <c r="F15" i="25" s="1"/>
  <c r="C16" i="25"/>
  <c r="F16" i="25" s="1"/>
  <c r="C17" i="25"/>
  <c r="F17" i="25" s="1"/>
  <c r="C18" i="25"/>
  <c r="F18" i="25" s="1"/>
  <c r="C19" i="25"/>
  <c r="F19" i="25" s="1"/>
  <c r="C20" i="25"/>
  <c r="F20" i="25" s="1"/>
  <c r="C21" i="25"/>
  <c r="F21" i="25" s="1"/>
  <c r="C22" i="25"/>
  <c r="F22" i="25" s="1"/>
  <c r="C23" i="25"/>
  <c r="F23" i="25" s="1"/>
  <c r="C24" i="25"/>
  <c r="F24" i="25" s="1"/>
  <c r="C25" i="25"/>
  <c r="F25" i="25" s="1"/>
  <c r="C26" i="25"/>
  <c r="F26" i="25" s="1"/>
  <c r="C27" i="25"/>
  <c r="F27" i="25" s="1"/>
  <c r="C28" i="25"/>
  <c r="F28" i="25" s="1"/>
  <c r="C29" i="25"/>
  <c r="F29" i="25" s="1"/>
  <c r="C30" i="25"/>
  <c r="F30" i="25" s="1"/>
  <c r="C31" i="25"/>
  <c r="F31" i="25" s="1"/>
  <c r="C32" i="25"/>
  <c r="F32" i="25" s="1"/>
  <c r="C33" i="25"/>
  <c r="F33" i="25" s="1"/>
  <c r="C34" i="25"/>
  <c r="F34" i="25" s="1"/>
  <c r="C35" i="25"/>
  <c r="F35" i="25" s="1"/>
  <c r="C36" i="25"/>
  <c r="F36" i="25" s="1"/>
  <c r="C37" i="25"/>
  <c r="F37" i="25" s="1"/>
  <c r="C38" i="25"/>
  <c r="F38" i="25" s="1"/>
  <c r="C39" i="25"/>
  <c r="F39" i="25" s="1"/>
  <c r="C40" i="25"/>
  <c r="F40" i="25" s="1"/>
  <c r="C41" i="25"/>
  <c r="F41" i="25" s="1"/>
  <c r="C42" i="25"/>
  <c r="F42" i="25" s="1"/>
  <c r="C43" i="25"/>
  <c r="F43" i="25" s="1"/>
  <c r="C4" i="25"/>
  <c r="F4" i="25" s="1"/>
  <c r="B5" i="25"/>
  <c r="B6"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 i="25"/>
  <c r="I20" i="24"/>
  <c r="I21" i="24"/>
  <c r="I22" i="24"/>
  <c r="I23" i="24"/>
  <c r="I24" i="24"/>
  <c r="I25" i="24"/>
  <c r="I26" i="24"/>
  <c r="I27" i="24"/>
  <c r="I28" i="24"/>
  <c r="I29" i="24"/>
  <c r="I30" i="24"/>
  <c r="I31" i="24"/>
  <c r="I32" i="24"/>
  <c r="I33" i="24"/>
  <c r="I34" i="24"/>
  <c r="I35" i="24"/>
  <c r="I36" i="24"/>
  <c r="I37" i="24"/>
  <c r="I38" i="24"/>
  <c r="I39" i="24"/>
  <c r="I40" i="24"/>
  <c r="I41" i="24"/>
  <c r="I42" i="24"/>
  <c r="I43" i="24"/>
  <c r="I44" i="24"/>
  <c r="I45" i="24"/>
  <c r="I46" i="24"/>
  <c r="I47" i="24"/>
  <c r="I48" i="24"/>
  <c r="I49" i="24"/>
  <c r="I50" i="24"/>
  <c r="I51" i="24"/>
  <c r="I52" i="24"/>
  <c r="I53" i="24"/>
  <c r="I54" i="24"/>
  <c r="I55" i="24"/>
  <c r="I56" i="24"/>
  <c r="I57" i="24"/>
  <c r="I58" i="24"/>
  <c r="I59" i="24"/>
  <c r="I60" i="24"/>
  <c r="I61" i="24"/>
  <c r="I62" i="24"/>
  <c r="I63" i="24"/>
  <c r="I64" i="24"/>
  <c r="I65" i="24"/>
  <c r="I66" i="24"/>
  <c r="I67" i="24"/>
  <c r="I68" i="24"/>
  <c r="I69" i="24"/>
  <c r="I70" i="24"/>
  <c r="I71" i="24"/>
  <c r="I72" i="24"/>
  <c r="I73" i="24"/>
  <c r="I74" i="24"/>
  <c r="I75" i="24"/>
  <c r="I76" i="24"/>
  <c r="I77" i="24"/>
  <c r="I78" i="24"/>
  <c r="I79" i="24"/>
  <c r="I80" i="24"/>
  <c r="I81" i="24"/>
  <c r="I82" i="24"/>
  <c r="I83" i="24"/>
  <c r="I84" i="24"/>
  <c r="I85" i="24"/>
  <c r="I86" i="24"/>
  <c r="I87" i="24"/>
  <c r="I88" i="24"/>
  <c r="I89" i="24"/>
  <c r="I90" i="24"/>
  <c r="I91" i="24"/>
  <c r="I92" i="24"/>
  <c r="I93" i="24"/>
  <c r="I94" i="24"/>
  <c r="I95" i="24"/>
  <c r="I96" i="24"/>
  <c r="I97" i="24"/>
  <c r="I98" i="24"/>
  <c r="I99" i="24"/>
  <c r="I100" i="24"/>
  <c r="I101" i="24"/>
  <c r="I102" i="24"/>
  <c r="I103" i="24"/>
  <c r="I104" i="24"/>
  <c r="I105" i="24"/>
  <c r="I106" i="24"/>
  <c r="I107" i="24"/>
  <c r="I108" i="24"/>
  <c r="I109" i="24"/>
  <c r="I110" i="24"/>
  <c r="I111" i="24"/>
  <c r="I112" i="24"/>
  <c r="I113" i="24"/>
  <c r="I114" i="24"/>
  <c r="I115" i="24"/>
  <c r="I116" i="24"/>
  <c r="I117" i="24"/>
  <c r="I118" i="24"/>
  <c r="I119" i="24"/>
  <c r="I120" i="24"/>
  <c r="I121" i="24"/>
  <c r="I122" i="24"/>
  <c r="I123" i="24"/>
  <c r="I124" i="24"/>
  <c r="I125" i="24"/>
  <c r="I126" i="24"/>
  <c r="I127" i="24"/>
  <c r="I128" i="24"/>
  <c r="I129" i="24"/>
  <c r="I130" i="24"/>
  <c r="I131" i="24"/>
  <c r="I132" i="24"/>
  <c r="I133" i="24"/>
  <c r="I134" i="24"/>
  <c r="I135" i="24"/>
  <c r="I136" i="24"/>
  <c r="I137" i="24"/>
  <c r="I138" i="24"/>
  <c r="I139" i="24"/>
  <c r="I140" i="24"/>
  <c r="I141" i="24"/>
  <c r="I142" i="24"/>
  <c r="I143" i="24"/>
  <c r="I144" i="24"/>
  <c r="I145" i="24"/>
  <c r="I146" i="24"/>
  <c r="I147" i="24"/>
  <c r="I148" i="24"/>
  <c r="I149" i="24"/>
  <c r="I150" i="24"/>
  <c r="I19" i="24"/>
  <c r="H20" i="24"/>
  <c r="H21" i="24"/>
  <c r="H22" i="24"/>
  <c r="H23" i="24"/>
  <c r="H24" i="24"/>
  <c r="H25" i="24"/>
  <c r="H26" i="24"/>
  <c r="H27" i="24"/>
  <c r="H28" i="24"/>
  <c r="H29" i="24"/>
  <c r="H30" i="24"/>
  <c r="H31" i="24"/>
  <c r="H32" i="24"/>
  <c r="H33" i="24"/>
  <c r="H34" i="24"/>
  <c r="H35" i="24"/>
  <c r="H36" i="24"/>
  <c r="H37" i="24"/>
  <c r="H38" i="24"/>
  <c r="H39" i="24"/>
  <c r="H40" i="24"/>
  <c r="H41" i="24"/>
  <c r="H42" i="24"/>
  <c r="H43" i="24"/>
  <c r="H44" i="24"/>
  <c r="H45" i="24"/>
  <c r="H46" i="24"/>
  <c r="H47" i="24"/>
  <c r="H48" i="24"/>
  <c r="H49" i="24"/>
  <c r="H50" i="24"/>
  <c r="H51" i="24"/>
  <c r="H52" i="24"/>
  <c r="H53" i="24"/>
  <c r="H54" i="24"/>
  <c r="H55" i="24"/>
  <c r="H56" i="24"/>
  <c r="H57" i="24"/>
  <c r="H58" i="24"/>
  <c r="H59" i="24"/>
  <c r="H60" i="24"/>
  <c r="H61" i="24"/>
  <c r="H62" i="24"/>
  <c r="H63" i="24"/>
  <c r="H64" i="24"/>
  <c r="H65" i="24"/>
  <c r="H66" i="24"/>
  <c r="H67" i="24"/>
  <c r="H68" i="24"/>
  <c r="H69" i="24"/>
  <c r="H70" i="24"/>
  <c r="H71" i="24"/>
  <c r="H72" i="24"/>
  <c r="H73" i="24"/>
  <c r="H74" i="24"/>
  <c r="H75" i="24"/>
  <c r="H76" i="24"/>
  <c r="H77" i="24"/>
  <c r="H78" i="24"/>
  <c r="H79" i="24"/>
  <c r="H80" i="24"/>
  <c r="H81" i="24"/>
  <c r="H82" i="24"/>
  <c r="H83" i="24"/>
  <c r="H84" i="24"/>
  <c r="H85" i="24"/>
  <c r="H86" i="24"/>
  <c r="H87" i="24"/>
  <c r="H88" i="24"/>
  <c r="H89" i="24"/>
  <c r="H90" i="24"/>
  <c r="H91" i="24"/>
  <c r="H92" i="24"/>
  <c r="H93" i="24"/>
  <c r="H94" i="24"/>
  <c r="H95" i="24"/>
  <c r="H96" i="24"/>
  <c r="H97" i="24"/>
  <c r="H98" i="24"/>
  <c r="H99" i="24"/>
  <c r="H100" i="24"/>
  <c r="H101" i="24"/>
  <c r="H102" i="24"/>
  <c r="H103" i="24"/>
  <c r="H104" i="24"/>
  <c r="H105" i="24"/>
  <c r="H106" i="24"/>
  <c r="H107" i="24"/>
  <c r="H108" i="24"/>
  <c r="H109" i="24"/>
  <c r="H110" i="24"/>
  <c r="H111" i="24"/>
  <c r="H112" i="24"/>
  <c r="H113" i="24"/>
  <c r="H114" i="24"/>
  <c r="H115" i="24"/>
  <c r="H116" i="24"/>
  <c r="H117" i="24"/>
  <c r="H118" i="24"/>
  <c r="H119" i="24"/>
  <c r="H120" i="24"/>
  <c r="H121" i="24"/>
  <c r="H122" i="24"/>
  <c r="H123" i="24"/>
  <c r="H124" i="24"/>
  <c r="H125" i="24"/>
  <c r="H126" i="24"/>
  <c r="H127" i="24"/>
  <c r="H128" i="24"/>
  <c r="H129" i="24"/>
  <c r="H130" i="24"/>
  <c r="H131" i="24"/>
  <c r="H132" i="24"/>
  <c r="H133" i="24"/>
  <c r="H134" i="24"/>
  <c r="H135" i="24"/>
  <c r="H136" i="24"/>
  <c r="H137" i="24"/>
  <c r="H138" i="24"/>
  <c r="H139" i="24"/>
  <c r="H140" i="24"/>
  <c r="H141" i="24"/>
  <c r="H142" i="24"/>
  <c r="H143" i="24"/>
  <c r="H144" i="24"/>
  <c r="H145" i="24"/>
  <c r="H146" i="24"/>
  <c r="H147" i="24"/>
  <c r="H148" i="24"/>
  <c r="H149" i="24"/>
  <c r="H150" i="24"/>
  <c r="H19" i="24"/>
  <c r="G21" i="24"/>
  <c r="G22" i="24"/>
  <c r="G23" i="24"/>
  <c r="G24" i="24"/>
  <c r="G25" i="24"/>
  <c r="G26" i="24"/>
  <c r="G27" i="24" s="1"/>
  <c r="G28" i="24" s="1"/>
  <c r="G29" i="24" s="1"/>
  <c r="G30" i="24" s="1"/>
  <c r="G31" i="24" s="1"/>
  <c r="G32" i="24" s="1"/>
  <c r="G33" i="24" s="1"/>
  <c r="G34" i="24" s="1"/>
  <c r="G35" i="24" s="1"/>
  <c r="G36" i="24" s="1"/>
  <c r="G37" i="24" s="1"/>
  <c r="G38" i="24" s="1"/>
  <c r="G39" i="24" s="1"/>
  <c r="G40" i="24" s="1"/>
  <c r="G41" i="24" s="1"/>
  <c r="G42" i="24" s="1"/>
  <c r="G43" i="24" s="1"/>
  <c r="G44" i="24" s="1"/>
  <c r="G45" i="24" s="1"/>
  <c r="G46" i="24" s="1"/>
  <c r="G47" i="24" s="1"/>
  <c r="G48" i="24" s="1"/>
  <c r="G49" i="24" s="1"/>
  <c r="G50" i="24" s="1"/>
  <c r="G51" i="24" s="1"/>
  <c r="G52" i="24" s="1"/>
  <c r="G53" i="24" s="1"/>
  <c r="G54" i="24" s="1"/>
  <c r="G55" i="24" s="1"/>
  <c r="G56" i="24" s="1"/>
  <c r="G57" i="24" s="1"/>
  <c r="G58" i="24" s="1"/>
  <c r="G59" i="24" s="1"/>
  <c r="G60" i="24" s="1"/>
  <c r="G61" i="24" s="1"/>
  <c r="G62" i="24" s="1"/>
  <c r="G63" i="24" s="1"/>
  <c r="G64" i="24" s="1"/>
  <c r="G65" i="24" s="1"/>
  <c r="G66" i="24" s="1"/>
  <c r="G67" i="24" s="1"/>
  <c r="G68" i="24" s="1"/>
  <c r="G69" i="24" s="1"/>
  <c r="G70" i="24" s="1"/>
  <c r="G71" i="24" s="1"/>
  <c r="G72" i="24" s="1"/>
  <c r="G73" i="24" s="1"/>
  <c r="G74" i="24" s="1"/>
  <c r="G75" i="24" s="1"/>
  <c r="G76" i="24" s="1"/>
  <c r="G77" i="24" s="1"/>
  <c r="G78" i="24" s="1"/>
  <c r="G79" i="24" s="1"/>
  <c r="G80" i="24" s="1"/>
  <c r="G81" i="24" s="1"/>
  <c r="G82" i="24" s="1"/>
  <c r="G83" i="24" s="1"/>
  <c r="G84" i="24" s="1"/>
  <c r="G85" i="24" s="1"/>
  <c r="G86" i="24" s="1"/>
  <c r="G87" i="24" s="1"/>
  <c r="G88" i="24" s="1"/>
  <c r="G89" i="24" s="1"/>
  <c r="G90" i="24" s="1"/>
  <c r="G91" i="24" s="1"/>
  <c r="G92" i="24" s="1"/>
  <c r="G93" i="24" s="1"/>
  <c r="G94" i="24" s="1"/>
  <c r="G95" i="24" s="1"/>
  <c r="G96" i="24" s="1"/>
  <c r="G97" i="24" s="1"/>
  <c r="G98" i="24" s="1"/>
  <c r="G99" i="24" s="1"/>
  <c r="G100" i="24" s="1"/>
  <c r="G101" i="24" s="1"/>
  <c r="G102" i="24" s="1"/>
  <c r="G103" i="24" s="1"/>
  <c r="G104" i="24" s="1"/>
  <c r="G105" i="24" s="1"/>
  <c r="G106" i="24" s="1"/>
  <c r="G107" i="24" s="1"/>
  <c r="G108" i="24" s="1"/>
  <c r="G109" i="24" s="1"/>
  <c r="G110" i="24" s="1"/>
  <c r="G111" i="24" s="1"/>
  <c r="G112" i="24" s="1"/>
  <c r="G113" i="24" s="1"/>
  <c r="G114" i="24" s="1"/>
  <c r="G115" i="24" s="1"/>
  <c r="G116" i="24" s="1"/>
  <c r="G117" i="24" s="1"/>
  <c r="G118" i="24" s="1"/>
  <c r="G119" i="24" s="1"/>
  <c r="G120" i="24" s="1"/>
  <c r="G121" i="24" s="1"/>
  <c r="G122" i="24" s="1"/>
  <c r="G123" i="24" s="1"/>
  <c r="G124" i="24" s="1"/>
  <c r="G125" i="24" s="1"/>
  <c r="G126" i="24" s="1"/>
  <c r="G127" i="24" s="1"/>
  <c r="G128" i="24" s="1"/>
  <c r="G129" i="24" s="1"/>
  <c r="G130" i="24" s="1"/>
  <c r="G131" i="24" s="1"/>
  <c r="G132" i="24" s="1"/>
  <c r="G133" i="24" s="1"/>
  <c r="G134" i="24" s="1"/>
  <c r="G135" i="24" s="1"/>
  <c r="G136" i="24" s="1"/>
  <c r="G137" i="24" s="1"/>
  <c r="G138" i="24" s="1"/>
  <c r="G139" i="24" s="1"/>
  <c r="G140" i="24" s="1"/>
  <c r="G141" i="24" s="1"/>
  <c r="G142" i="24" s="1"/>
  <c r="G143" i="24" s="1"/>
  <c r="G144" i="24" s="1"/>
  <c r="G145" i="24" s="1"/>
  <c r="G146" i="24" s="1"/>
  <c r="G147" i="24" s="1"/>
  <c r="G148" i="24" s="1"/>
  <c r="G149" i="24" s="1"/>
  <c r="G150" i="24" s="1"/>
  <c r="G20" i="24"/>
  <c r="F21" i="24"/>
  <c r="F22" i="24"/>
  <c r="F23" i="24"/>
  <c r="F24" i="24"/>
  <c r="F25" i="24"/>
  <c r="F26" i="24"/>
  <c r="F27" i="24" s="1"/>
  <c r="F28" i="24" s="1"/>
  <c r="F29" i="24" s="1"/>
  <c r="F30" i="24" s="1"/>
  <c r="F31" i="24" s="1"/>
  <c r="F32" i="24" s="1"/>
  <c r="F33" i="24" s="1"/>
  <c r="F34" i="24" s="1"/>
  <c r="F35" i="24" s="1"/>
  <c r="F36" i="24" s="1"/>
  <c r="F37" i="24" s="1"/>
  <c r="F38" i="24" s="1"/>
  <c r="F39" i="24" s="1"/>
  <c r="F40" i="24" s="1"/>
  <c r="F41" i="24" s="1"/>
  <c r="F42" i="24" s="1"/>
  <c r="F43" i="24" s="1"/>
  <c r="F44" i="24" s="1"/>
  <c r="F45" i="24" s="1"/>
  <c r="F46" i="24" s="1"/>
  <c r="F47" i="24" s="1"/>
  <c r="F48" i="24" s="1"/>
  <c r="F49" i="24" s="1"/>
  <c r="F50" i="24" s="1"/>
  <c r="F51" i="24" s="1"/>
  <c r="F52" i="24" s="1"/>
  <c r="F53" i="24" s="1"/>
  <c r="F54" i="24" s="1"/>
  <c r="F55" i="24" s="1"/>
  <c r="F56" i="24" s="1"/>
  <c r="F57" i="24" s="1"/>
  <c r="F58" i="24" s="1"/>
  <c r="F59" i="24" s="1"/>
  <c r="F60" i="24" s="1"/>
  <c r="F61" i="24" s="1"/>
  <c r="F62" i="24" s="1"/>
  <c r="F63" i="24" s="1"/>
  <c r="F64" i="24" s="1"/>
  <c r="F65" i="24" s="1"/>
  <c r="F66" i="24" s="1"/>
  <c r="F67" i="24" s="1"/>
  <c r="F68" i="24" s="1"/>
  <c r="F69" i="24" s="1"/>
  <c r="F70" i="24" s="1"/>
  <c r="F71" i="24" s="1"/>
  <c r="F72" i="24" s="1"/>
  <c r="F73" i="24" s="1"/>
  <c r="F74" i="24" s="1"/>
  <c r="F75" i="24" s="1"/>
  <c r="F76" i="24" s="1"/>
  <c r="F77" i="24" s="1"/>
  <c r="F78" i="24" s="1"/>
  <c r="F79" i="24" s="1"/>
  <c r="F80" i="24" s="1"/>
  <c r="F81" i="24" s="1"/>
  <c r="F82" i="24" s="1"/>
  <c r="F83" i="24" s="1"/>
  <c r="F84" i="24" s="1"/>
  <c r="F85" i="24" s="1"/>
  <c r="F86" i="24" s="1"/>
  <c r="F87" i="24" s="1"/>
  <c r="F88" i="24" s="1"/>
  <c r="F89" i="24" s="1"/>
  <c r="F90" i="24" s="1"/>
  <c r="F91" i="24" s="1"/>
  <c r="F92" i="24" s="1"/>
  <c r="F93" i="24" s="1"/>
  <c r="F94" i="24" s="1"/>
  <c r="F95" i="24" s="1"/>
  <c r="F96" i="24" s="1"/>
  <c r="F97" i="24" s="1"/>
  <c r="F98" i="24" s="1"/>
  <c r="F99" i="24" s="1"/>
  <c r="F100" i="24" s="1"/>
  <c r="F101" i="24" s="1"/>
  <c r="F102" i="24" s="1"/>
  <c r="F103" i="24" s="1"/>
  <c r="F104" i="24" s="1"/>
  <c r="F105" i="24" s="1"/>
  <c r="F106" i="24" s="1"/>
  <c r="F107" i="24" s="1"/>
  <c r="F108" i="24" s="1"/>
  <c r="F109" i="24" s="1"/>
  <c r="F110" i="24" s="1"/>
  <c r="F111" i="24" s="1"/>
  <c r="F112" i="24" s="1"/>
  <c r="F113" i="24" s="1"/>
  <c r="F114" i="24" s="1"/>
  <c r="F115" i="24" s="1"/>
  <c r="F116" i="24" s="1"/>
  <c r="F117" i="24" s="1"/>
  <c r="F118" i="24" s="1"/>
  <c r="F119" i="24" s="1"/>
  <c r="F120" i="24" s="1"/>
  <c r="F121" i="24" s="1"/>
  <c r="F122" i="24" s="1"/>
  <c r="F123" i="24" s="1"/>
  <c r="F124" i="24" s="1"/>
  <c r="F125" i="24" s="1"/>
  <c r="F126" i="24" s="1"/>
  <c r="F127" i="24" s="1"/>
  <c r="F128" i="24" s="1"/>
  <c r="F129" i="24" s="1"/>
  <c r="F130" i="24" s="1"/>
  <c r="F131" i="24" s="1"/>
  <c r="F132" i="24" s="1"/>
  <c r="F133" i="24" s="1"/>
  <c r="F134" i="24" s="1"/>
  <c r="F135" i="24" s="1"/>
  <c r="F136" i="24" s="1"/>
  <c r="F137" i="24" s="1"/>
  <c r="F138" i="24" s="1"/>
  <c r="F139" i="24" s="1"/>
  <c r="F140" i="24" s="1"/>
  <c r="F141" i="24" s="1"/>
  <c r="F142" i="24" s="1"/>
  <c r="F143" i="24" s="1"/>
  <c r="F144" i="24" s="1"/>
  <c r="F145" i="24" s="1"/>
  <c r="F146" i="24" s="1"/>
  <c r="F147" i="24" s="1"/>
  <c r="F148" i="24" s="1"/>
  <c r="F149" i="24" s="1"/>
  <c r="F150" i="24" s="1"/>
  <c r="F20" i="24"/>
  <c r="G19" i="24"/>
  <c r="F19" i="24"/>
  <c r="K12" i="24" a="1"/>
  <c r="K12" i="24" s="1"/>
  <c r="P12" i="24" s="1"/>
  <c r="V10" i="24" s="1"/>
  <c r="J12" i="24" a="1"/>
  <c r="J12" i="24" s="1"/>
  <c r="K11" i="24"/>
  <c r="J11" i="24"/>
  <c r="O11" i="24" s="1"/>
  <c r="K5" i="24" a="1"/>
  <c r="K5" i="24" s="1"/>
  <c r="J5" i="24" a="1"/>
  <c r="J5" i="24" s="1"/>
  <c r="J6" i="24" s="1"/>
  <c r="O6" i="24" s="1"/>
  <c r="K4" i="24"/>
  <c r="P4" i="24" s="1"/>
  <c r="U9" i="24" s="1"/>
  <c r="J4" i="24"/>
  <c r="O4" i="24" s="1"/>
  <c r="E20" i="24"/>
  <c r="E21" i="24"/>
  <c r="E22" i="24"/>
  <c r="E23" i="24"/>
  <c r="E24" i="24"/>
  <c r="E25" i="24"/>
  <c r="E26" i="24"/>
  <c r="E27" i="24"/>
  <c r="E28" i="24"/>
  <c r="E29" i="24"/>
  <c r="E30" i="24"/>
  <c r="E31" i="24"/>
  <c r="E32" i="24"/>
  <c r="E33" i="24"/>
  <c r="E34" i="24"/>
  <c r="E35" i="24"/>
  <c r="E36" i="24"/>
  <c r="E37" i="24"/>
  <c r="E38" i="24"/>
  <c r="E39" i="24"/>
  <c r="E40" i="24"/>
  <c r="E41" i="24"/>
  <c r="E42" i="24"/>
  <c r="E43" i="24"/>
  <c r="E44" i="24"/>
  <c r="E45" i="24"/>
  <c r="E46" i="24"/>
  <c r="E47" i="24"/>
  <c r="E48" i="24"/>
  <c r="E49" i="24"/>
  <c r="E50" i="24"/>
  <c r="E51" i="24"/>
  <c r="E52" i="24"/>
  <c r="E53" i="24"/>
  <c r="E54" i="24"/>
  <c r="E55" i="24"/>
  <c r="E56" i="24"/>
  <c r="E57" i="24"/>
  <c r="E58" i="24"/>
  <c r="E59" i="24"/>
  <c r="E60" i="24"/>
  <c r="E61" i="24"/>
  <c r="E62" i="24"/>
  <c r="E63" i="24"/>
  <c r="E64" i="24"/>
  <c r="E65" i="24"/>
  <c r="E66" i="24"/>
  <c r="E67" i="24"/>
  <c r="E68" i="24"/>
  <c r="E69" i="24"/>
  <c r="E70" i="24"/>
  <c r="E71" i="24"/>
  <c r="E72" i="24"/>
  <c r="E73" i="24"/>
  <c r="E74" i="24"/>
  <c r="E75" i="24"/>
  <c r="E76" i="24"/>
  <c r="E77" i="24"/>
  <c r="E78" i="24"/>
  <c r="E79" i="24"/>
  <c r="E80" i="24"/>
  <c r="E81" i="24"/>
  <c r="E82" i="24"/>
  <c r="E83" i="24"/>
  <c r="E84" i="24"/>
  <c r="E85" i="24"/>
  <c r="E86" i="24"/>
  <c r="E87" i="24"/>
  <c r="E88" i="24"/>
  <c r="E89" i="24"/>
  <c r="E90" i="24"/>
  <c r="E91" i="24"/>
  <c r="E92" i="24"/>
  <c r="E93" i="24"/>
  <c r="E94" i="24"/>
  <c r="E95" i="24"/>
  <c r="E96" i="24"/>
  <c r="E97" i="24"/>
  <c r="E98" i="24"/>
  <c r="E99" i="24"/>
  <c r="E100" i="24"/>
  <c r="E101" i="24"/>
  <c r="E102" i="24"/>
  <c r="E103" i="24"/>
  <c r="E104" i="24"/>
  <c r="E105" i="24"/>
  <c r="E106" i="24"/>
  <c r="E107" i="24"/>
  <c r="E108" i="24"/>
  <c r="E109" i="24"/>
  <c r="E110" i="24"/>
  <c r="E111" i="24"/>
  <c r="E112" i="24"/>
  <c r="E113" i="24"/>
  <c r="E114" i="24"/>
  <c r="E115" i="24"/>
  <c r="E116" i="24"/>
  <c r="E117" i="24"/>
  <c r="E118" i="24"/>
  <c r="E119" i="24"/>
  <c r="E120" i="24"/>
  <c r="E121" i="24"/>
  <c r="E122" i="24"/>
  <c r="E123" i="24"/>
  <c r="E124" i="24"/>
  <c r="E125" i="24"/>
  <c r="E126" i="24"/>
  <c r="E127" i="24"/>
  <c r="E128" i="24"/>
  <c r="E129" i="24"/>
  <c r="E130" i="24"/>
  <c r="E131" i="24"/>
  <c r="E132" i="24"/>
  <c r="E133" i="24"/>
  <c r="E134" i="24"/>
  <c r="E135" i="24"/>
  <c r="E136" i="24"/>
  <c r="E137" i="24"/>
  <c r="E138" i="24"/>
  <c r="E139" i="24"/>
  <c r="E140" i="24"/>
  <c r="E141" i="24"/>
  <c r="E142" i="24"/>
  <c r="E143" i="24"/>
  <c r="E144" i="24"/>
  <c r="E145" i="24"/>
  <c r="E146" i="24"/>
  <c r="E147" i="24"/>
  <c r="E148" i="24"/>
  <c r="E149" i="24"/>
  <c r="E150" i="24"/>
  <c r="E19" i="24"/>
  <c r="U2" i="24"/>
  <c r="D20" i="24" a="1"/>
  <c r="D20" i="24"/>
  <c r="D21" i="24" a="1"/>
  <c r="D21" i="24" s="1"/>
  <c r="D22" i="24" a="1"/>
  <c r="D22" i="24" s="1"/>
  <c r="D23" i="24" a="1"/>
  <c r="D23" i="24"/>
  <c r="D24" i="24" a="1"/>
  <c r="D24" i="24" s="1"/>
  <c r="D25" i="24" a="1"/>
  <c r="D25" i="24" s="1"/>
  <c r="D26" i="24" a="1"/>
  <c r="D26" i="24"/>
  <c r="D27" i="24" a="1"/>
  <c r="D27" i="24"/>
  <c r="D28" i="24" a="1"/>
  <c r="D28" i="24"/>
  <c r="D29" i="24" a="1"/>
  <c r="D29" i="24"/>
  <c r="D30" i="24" a="1"/>
  <c r="D30" i="24"/>
  <c r="D31" i="24" a="1"/>
  <c r="D31" i="24" s="1"/>
  <c r="D32" i="24" a="1"/>
  <c r="D32" i="24"/>
  <c r="D33" i="24" a="1"/>
  <c r="D33" i="24"/>
  <c r="D34" i="24" a="1"/>
  <c r="D34" i="24"/>
  <c r="D35" i="24" a="1"/>
  <c r="D35" i="24"/>
  <c r="D36" i="24" a="1"/>
  <c r="D36" i="24"/>
  <c r="D37" i="24" a="1"/>
  <c r="D37" i="24"/>
  <c r="D38" i="24" a="1"/>
  <c r="D38" i="24"/>
  <c r="D39" i="24" a="1"/>
  <c r="D39" i="24"/>
  <c r="D40" i="24" a="1"/>
  <c r="D40" i="24"/>
  <c r="D41" i="24" a="1"/>
  <c r="D41" i="24" s="1"/>
  <c r="D42" i="24" a="1"/>
  <c r="D42" i="24"/>
  <c r="D43" i="24" a="1"/>
  <c r="D43" i="24"/>
  <c r="D44" i="24" a="1"/>
  <c r="D44" i="24"/>
  <c r="D45" i="24" a="1"/>
  <c r="D45" i="24"/>
  <c r="D46" i="24" a="1"/>
  <c r="D46" i="24"/>
  <c r="D47" i="24" a="1"/>
  <c r="D47" i="24"/>
  <c r="D48" i="24" a="1"/>
  <c r="D48" i="24"/>
  <c r="D49" i="24" a="1"/>
  <c r="D49" i="24"/>
  <c r="D50" i="24" a="1"/>
  <c r="D50" i="24"/>
  <c r="D51" i="24" a="1"/>
  <c r="D51" i="24" s="1"/>
  <c r="D52" i="24" a="1"/>
  <c r="D52" i="24"/>
  <c r="D53" i="24" a="1"/>
  <c r="D53" i="24"/>
  <c r="D54" i="24" a="1"/>
  <c r="D54" i="24"/>
  <c r="D55" i="24" a="1"/>
  <c r="D55" i="24"/>
  <c r="D56" i="24" a="1"/>
  <c r="D56" i="24"/>
  <c r="D57" i="24" a="1"/>
  <c r="D57" i="24"/>
  <c r="D58" i="24" a="1"/>
  <c r="D58" i="24"/>
  <c r="D59" i="24" a="1"/>
  <c r="D59" i="24"/>
  <c r="D60" i="24" a="1"/>
  <c r="D60" i="24"/>
  <c r="D61" i="24" a="1"/>
  <c r="D61" i="24" s="1"/>
  <c r="D62" i="24" a="1"/>
  <c r="D62" i="24"/>
  <c r="D63" i="24" a="1"/>
  <c r="D63" i="24" s="1"/>
  <c r="D64" i="24" a="1"/>
  <c r="D64" i="24"/>
  <c r="D65" i="24" a="1"/>
  <c r="D65" i="24"/>
  <c r="D66" i="24" a="1"/>
  <c r="D66" i="24"/>
  <c r="D67" i="24" a="1"/>
  <c r="D67" i="24"/>
  <c r="D68" i="24" a="1"/>
  <c r="D68" i="24"/>
  <c r="D69" i="24" a="1"/>
  <c r="D69" i="24"/>
  <c r="D70" i="24" a="1"/>
  <c r="D70" i="24"/>
  <c r="D71" i="24" a="1"/>
  <c r="D71" i="24" s="1"/>
  <c r="D72" i="24" a="1"/>
  <c r="D72" i="24"/>
  <c r="D73" i="24" a="1"/>
  <c r="D73" i="24"/>
  <c r="D74" i="24" a="1"/>
  <c r="D74" i="24"/>
  <c r="D75" i="24" a="1"/>
  <c r="D75" i="24"/>
  <c r="D76" i="24" a="1"/>
  <c r="D76" i="24"/>
  <c r="D77" i="24" a="1"/>
  <c r="D77" i="24"/>
  <c r="D78" i="24" a="1"/>
  <c r="D78" i="24"/>
  <c r="D79" i="24" a="1"/>
  <c r="D79" i="24"/>
  <c r="D80" i="24" a="1"/>
  <c r="D80" i="24"/>
  <c r="D81" i="24" a="1"/>
  <c r="D81" i="24" s="1"/>
  <c r="D82" i="24" a="1"/>
  <c r="D82" i="24"/>
  <c r="D83" i="24" a="1"/>
  <c r="D83" i="24"/>
  <c r="D84" i="24" a="1"/>
  <c r="D84" i="24"/>
  <c r="D85" i="24" a="1"/>
  <c r="D85" i="24"/>
  <c r="D86" i="24" a="1"/>
  <c r="D86" i="24"/>
  <c r="D87" i="24" a="1"/>
  <c r="D87" i="24"/>
  <c r="D88" i="24" a="1"/>
  <c r="D88" i="24"/>
  <c r="D89" i="24" a="1"/>
  <c r="D89" i="24"/>
  <c r="D90" i="24" a="1"/>
  <c r="D90" i="24"/>
  <c r="D91" i="24" a="1"/>
  <c r="D91" i="24" s="1"/>
  <c r="D92" i="24" a="1"/>
  <c r="D92" i="24"/>
  <c r="D93" i="24" a="1"/>
  <c r="D93" i="24" s="1"/>
  <c r="D94" i="24" a="1"/>
  <c r="D94" i="24"/>
  <c r="D95" i="24" a="1"/>
  <c r="D95" i="24"/>
  <c r="D96" i="24" a="1"/>
  <c r="D96" i="24"/>
  <c r="D97" i="24" a="1"/>
  <c r="D97" i="24"/>
  <c r="D98" i="24" a="1"/>
  <c r="D98" i="24"/>
  <c r="D99" i="24" a="1"/>
  <c r="D99" i="24"/>
  <c r="D100" i="24" a="1"/>
  <c r="D100" i="24"/>
  <c r="D101" i="24" a="1"/>
  <c r="D101" i="24" s="1"/>
  <c r="D102" i="24" a="1"/>
  <c r="D102" i="24"/>
  <c r="D103" i="24" a="1"/>
  <c r="D103" i="24"/>
  <c r="D104" i="24" a="1"/>
  <c r="D104" i="24"/>
  <c r="D105" i="24" a="1"/>
  <c r="D105" i="24"/>
  <c r="D106" i="24" a="1"/>
  <c r="D106" i="24"/>
  <c r="D107" i="24" a="1"/>
  <c r="D107" i="24"/>
  <c r="D108" i="24" a="1"/>
  <c r="D108" i="24"/>
  <c r="D109" i="24" a="1"/>
  <c r="D109" i="24"/>
  <c r="D110" i="24" a="1"/>
  <c r="D110" i="24"/>
  <c r="D111" i="24" a="1"/>
  <c r="D111" i="24" s="1"/>
  <c r="D112" i="24" a="1"/>
  <c r="D112" i="24"/>
  <c r="D113" i="24" a="1"/>
  <c r="D113" i="24" s="1"/>
  <c r="D114" i="24" a="1"/>
  <c r="D114" i="24"/>
  <c r="D115" i="24" a="1"/>
  <c r="D115" i="24"/>
  <c r="D116" i="24" a="1"/>
  <c r="D116" i="24" s="1"/>
  <c r="D117" i="24" a="1"/>
  <c r="D117" i="24"/>
  <c r="D118" i="24" a="1"/>
  <c r="D118" i="24"/>
  <c r="D119" i="24" a="1"/>
  <c r="D119" i="24"/>
  <c r="D120" i="24" a="1"/>
  <c r="D120" i="24" s="1"/>
  <c r="D121" i="24" a="1"/>
  <c r="D121" i="24" s="1"/>
  <c r="D122" i="24" a="1"/>
  <c r="D122" i="24"/>
  <c r="D123" i="24" a="1"/>
  <c r="D123" i="24" s="1"/>
  <c r="D124" i="24" a="1"/>
  <c r="D124" i="24"/>
  <c r="D125" i="24" a="1"/>
  <c r="D125" i="24"/>
  <c r="D126" i="24" a="1"/>
  <c r="D126" i="24"/>
  <c r="D127" i="24" a="1"/>
  <c r="D127" i="24"/>
  <c r="D128" i="24" a="1"/>
  <c r="D128" i="24"/>
  <c r="D129" i="24" a="1"/>
  <c r="D129" i="24"/>
  <c r="D130" i="24" a="1"/>
  <c r="D130" i="24" s="1"/>
  <c r="D131" i="24" a="1"/>
  <c r="D131" i="24" s="1"/>
  <c r="D132" i="24" a="1"/>
  <c r="D132" i="24"/>
  <c r="D133" i="24" a="1"/>
  <c r="D133" i="24" s="1"/>
  <c r="D134" i="24" a="1"/>
  <c r="D134" i="24"/>
  <c r="D135" i="24" a="1"/>
  <c r="D135" i="24"/>
  <c r="D136" i="24" a="1"/>
  <c r="D136" i="24"/>
  <c r="D137" i="24" a="1"/>
  <c r="D137" i="24"/>
  <c r="D138" i="24" a="1"/>
  <c r="D138" i="24"/>
  <c r="D139" i="24" a="1"/>
  <c r="D139" i="24" s="1"/>
  <c r="D140" i="24" a="1"/>
  <c r="D140" i="24" s="1"/>
  <c r="D141" i="24" a="1"/>
  <c r="D141" i="24" s="1"/>
  <c r="D142" i="24" a="1"/>
  <c r="D142" i="24"/>
  <c r="D143" i="24" a="1"/>
  <c r="D143" i="24" s="1"/>
  <c r="D144" i="24" a="1"/>
  <c r="D144" i="24"/>
  <c r="D145" i="24" a="1"/>
  <c r="D145" i="24"/>
  <c r="D146" i="24" a="1"/>
  <c r="D146" i="24"/>
  <c r="D147" i="24" a="1"/>
  <c r="D147" i="24"/>
  <c r="D148" i="24" a="1"/>
  <c r="D148" i="24"/>
  <c r="D149" i="24" a="1"/>
  <c r="D149" i="24"/>
  <c r="D150" i="24" a="1"/>
  <c r="D150" i="24" s="1"/>
  <c r="D19" i="24" a="1"/>
  <c r="D19" i="24" s="1"/>
  <c r="K28" i="16"/>
  <c r="B46" i="16" a="1"/>
  <c r="B46" i="16" s="1"/>
  <c r="C46" i="16" a="1"/>
  <c r="C46" i="16" s="1"/>
  <c r="D46" i="16" a="1"/>
  <c r="D46" i="16" s="1"/>
  <c r="E46" i="16" a="1"/>
  <c r="E46" i="16"/>
  <c r="F46" i="16" a="1"/>
  <c r="F46" i="16"/>
  <c r="G46" i="16" a="1"/>
  <c r="G46" i="16" s="1"/>
  <c r="H46" i="16" a="1"/>
  <c r="H46" i="16"/>
  <c r="I46" i="16" a="1"/>
  <c r="I46" i="16" s="1"/>
  <c r="J46" i="16" a="1"/>
  <c r="J46" i="16" s="1"/>
  <c r="K46" i="16" a="1"/>
  <c r="K46" i="16" s="1"/>
  <c r="B47" i="16" a="1"/>
  <c r="B47" i="16" s="1"/>
  <c r="C47" i="16" a="1"/>
  <c r="C47" i="16" s="1"/>
  <c r="D47" i="16" a="1"/>
  <c r="D47" i="16" s="1"/>
  <c r="E47" i="16" a="1"/>
  <c r="E47" i="16"/>
  <c r="F47" i="16" a="1"/>
  <c r="F47" i="16"/>
  <c r="G47" i="16" a="1"/>
  <c r="G47" i="16" s="1"/>
  <c r="H47" i="16" a="1"/>
  <c r="H47" i="16"/>
  <c r="I47" i="16" a="1"/>
  <c r="I47" i="16" s="1"/>
  <c r="J47" i="16" a="1"/>
  <c r="J47" i="16"/>
  <c r="K47" i="16" a="1"/>
  <c r="K47" i="16" s="1"/>
  <c r="B48" i="16" a="1"/>
  <c r="B48" i="16" s="1"/>
  <c r="C48" i="16" a="1"/>
  <c r="C48" i="16" s="1"/>
  <c r="D48" i="16" a="1"/>
  <c r="D48" i="16" s="1"/>
  <c r="E48" i="16" a="1"/>
  <c r="E48" i="16" s="1"/>
  <c r="F48" i="16" a="1"/>
  <c r="F48" i="16" s="1"/>
  <c r="G48" i="16" a="1"/>
  <c r="G48" i="16" s="1"/>
  <c r="H48" i="16" a="1"/>
  <c r="H48" i="16" s="1"/>
  <c r="I48" i="16" a="1"/>
  <c r="I48" i="16" s="1"/>
  <c r="J48" i="16" a="1"/>
  <c r="J48" i="16"/>
  <c r="K48" i="16" a="1"/>
  <c r="K48" i="16" s="1"/>
  <c r="B49" i="16" a="1"/>
  <c r="B49" i="16" s="1"/>
  <c r="C49" i="16" a="1"/>
  <c r="C49" i="16" s="1"/>
  <c r="D49" i="16" a="1"/>
  <c r="D49" i="16" s="1"/>
  <c r="E49" i="16" a="1"/>
  <c r="E49" i="16"/>
  <c r="F49" i="16" a="1"/>
  <c r="F49" i="16"/>
  <c r="G49" i="16" a="1"/>
  <c r="G49" i="16" s="1"/>
  <c r="H49" i="16" a="1"/>
  <c r="H49" i="16"/>
  <c r="I49" i="16" a="1"/>
  <c r="I49" i="16" s="1"/>
  <c r="J49" i="16" a="1"/>
  <c r="J49" i="16"/>
  <c r="K49" i="16" a="1"/>
  <c r="K49" i="16" s="1"/>
  <c r="B50" i="16" a="1"/>
  <c r="B50" i="16" s="1"/>
  <c r="C50" i="16" a="1"/>
  <c r="C50" i="16" s="1"/>
  <c r="D50" i="16" a="1"/>
  <c r="D50" i="16" s="1"/>
  <c r="E50" i="16" a="1"/>
  <c r="E50" i="16"/>
  <c r="F50" i="16" a="1"/>
  <c r="F50" i="16" s="1"/>
  <c r="G50" i="16" a="1"/>
  <c r="G50" i="16" s="1"/>
  <c r="H50" i="16" a="1"/>
  <c r="H50" i="16"/>
  <c r="I50" i="16" a="1"/>
  <c r="I50" i="16" s="1"/>
  <c r="J50" i="16" a="1"/>
  <c r="J50" i="16"/>
  <c r="K50" i="16" a="1"/>
  <c r="K50" i="16" s="1"/>
  <c r="B51" i="16" a="1"/>
  <c r="B51" i="16" s="1"/>
  <c r="C51" i="16" a="1"/>
  <c r="C51" i="16" s="1"/>
  <c r="D51" i="16" a="1"/>
  <c r="D51" i="16" s="1"/>
  <c r="E51" i="16" a="1"/>
  <c r="E51" i="16" s="1"/>
  <c r="F51" i="16" a="1"/>
  <c r="F51" i="16"/>
  <c r="G51" i="16" a="1"/>
  <c r="G51" i="16" s="1"/>
  <c r="H51" i="16" a="1"/>
  <c r="H51" i="16" s="1"/>
  <c r="I51" i="16" a="1"/>
  <c r="I51" i="16" s="1"/>
  <c r="J51" i="16" a="1"/>
  <c r="J51" i="16"/>
  <c r="K51" i="16" a="1"/>
  <c r="K51" i="16" s="1"/>
  <c r="B52" i="16" a="1"/>
  <c r="B52" i="16" s="1"/>
  <c r="C52" i="16" a="1"/>
  <c r="C52" i="16" s="1"/>
  <c r="D52" i="16" a="1"/>
  <c r="D52" i="16" s="1"/>
  <c r="E52" i="16" a="1"/>
  <c r="E52" i="16" s="1"/>
  <c r="F52" i="16" a="1"/>
  <c r="F52" i="16" s="1"/>
  <c r="G52" i="16" a="1"/>
  <c r="G52" i="16" s="1"/>
  <c r="H52" i="16" a="1"/>
  <c r="H52" i="16"/>
  <c r="I52" i="16" a="1"/>
  <c r="I52" i="16" s="1"/>
  <c r="J52" i="16" a="1"/>
  <c r="J52" i="16" s="1"/>
  <c r="K52" i="16" a="1"/>
  <c r="K52" i="16" s="1"/>
  <c r="B53" i="16" a="1"/>
  <c r="B53" i="16" s="1"/>
  <c r="C53" i="16" a="1"/>
  <c r="C53" i="16" s="1"/>
  <c r="D53" i="16" a="1"/>
  <c r="D53" i="16" s="1"/>
  <c r="E53" i="16" a="1"/>
  <c r="E53" i="16" s="1"/>
  <c r="F53" i="16" a="1"/>
  <c r="F53" i="16" s="1"/>
  <c r="G53" i="16" a="1"/>
  <c r="G53" i="16" s="1"/>
  <c r="H53" i="16" a="1"/>
  <c r="H53" i="16" s="1"/>
  <c r="I53" i="16" a="1"/>
  <c r="I53" i="16" s="1"/>
  <c r="J53" i="16" a="1"/>
  <c r="J53" i="16" s="1"/>
  <c r="K53" i="16" a="1"/>
  <c r="K53" i="16" s="1"/>
  <c r="B54" i="16" a="1"/>
  <c r="B54" i="16" s="1"/>
  <c r="C54" i="16" a="1"/>
  <c r="C54" i="16" s="1"/>
  <c r="D54" i="16" a="1"/>
  <c r="D54" i="16" s="1"/>
  <c r="E54" i="16" a="1"/>
  <c r="E54" i="16" s="1"/>
  <c r="F54" i="16" a="1"/>
  <c r="F54" i="16" s="1"/>
  <c r="G54" i="16" a="1"/>
  <c r="G54" i="16" s="1"/>
  <c r="H54" i="16" a="1"/>
  <c r="H54" i="16" s="1"/>
  <c r="I54" i="16" a="1"/>
  <c r="I54" i="16" s="1"/>
  <c r="J54" i="16" a="1"/>
  <c r="J54" i="16" s="1"/>
  <c r="K54" i="16" a="1"/>
  <c r="K54" i="16" s="1"/>
  <c r="C45" i="16" a="1"/>
  <c r="C45" i="16" s="1"/>
  <c r="D45" i="16" a="1"/>
  <c r="D45" i="16" s="1"/>
  <c r="E45" i="16" a="1"/>
  <c r="E45" i="16" s="1"/>
  <c r="F45" i="16" a="1"/>
  <c r="F45" i="16" s="1"/>
  <c r="G45" i="16" a="1"/>
  <c r="G45" i="16" s="1"/>
  <c r="H45" i="16" a="1"/>
  <c r="H45" i="16" s="1"/>
  <c r="I45" i="16" a="1"/>
  <c r="I45" i="16" s="1"/>
  <c r="J45" i="16" a="1"/>
  <c r="J45" i="16" s="1"/>
  <c r="K45" i="16" a="1"/>
  <c r="K45" i="16" s="1"/>
  <c r="B45" i="16" a="1"/>
  <c r="B45" i="16" s="1"/>
  <c r="G28" i="16" s="1" a="1"/>
  <c r="G28" i="16" s="1"/>
  <c r="H28" i="16" s="1"/>
  <c r="B37" i="16"/>
  <c r="B36" i="16"/>
  <c r="B35" i="16"/>
  <c r="B34" i="16"/>
  <c r="B33" i="16"/>
  <c r="B32" i="16"/>
  <c r="B31" i="16"/>
  <c r="B30" i="16"/>
  <c r="B29" i="16"/>
  <c r="B28" i="16"/>
  <c r="I28" i="16" s="1"/>
  <c r="B150" i="24"/>
  <c r="B19" i="24"/>
  <c r="C18"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C8" i="24"/>
  <c r="E151" i="23"/>
  <c r="D151" i="23"/>
  <c r="C8" i="23"/>
  <c r="C10" i="23"/>
  <c r="C11" i="23"/>
  <c r="C17" i="23"/>
  <c r="C28" i="23"/>
  <c r="C30" i="23"/>
  <c r="C31" i="23"/>
  <c r="C37" i="23"/>
  <c r="C48" i="23"/>
  <c r="C50" i="23"/>
  <c r="C51" i="23"/>
  <c r="C57" i="23"/>
  <c r="C70" i="23"/>
  <c r="C88" i="23"/>
  <c r="C91" i="23"/>
  <c r="C108" i="23"/>
  <c r="C110" i="23"/>
  <c r="C111" i="23"/>
  <c r="C128" i="23"/>
  <c r="C130" i="23"/>
  <c r="C131" i="23"/>
  <c r="C4" i="23"/>
  <c r="D4" i="23" s="1"/>
  <c r="C5" i="22"/>
  <c r="C6" i="20"/>
  <c r="C6" i="23" s="1"/>
  <c r="C7" i="20"/>
  <c r="C7" i="23" s="1"/>
  <c r="C8" i="20"/>
  <c r="C9" i="20"/>
  <c r="C9" i="23" s="1"/>
  <c r="C10" i="20"/>
  <c r="C11" i="20"/>
  <c r="C12" i="20"/>
  <c r="C12" i="23" s="1"/>
  <c r="C13" i="20"/>
  <c r="C13" i="23" s="1"/>
  <c r="C14" i="20"/>
  <c r="C14" i="23" s="1"/>
  <c r="C15" i="20"/>
  <c r="C15" i="23" s="1"/>
  <c r="C16" i="20"/>
  <c r="C16" i="23" s="1"/>
  <c r="C17" i="20"/>
  <c r="C18" i="20"/>
  <c r="C18" i="23" s="1"/>
  <c r="C19" i="20"/>
  <c r="C19" i="23" s="1"/>
  <c r="C20" i="20"/>
  <c r="C20" i="23" s="1"/>
  <c r="C21" i="20"/>
  <c r="C21" i="23" s="1"/>
  <c r="C22" i="20"/>
  <c r="C22" i="23" s="1"/>
  <c r="C23" i="20"/>
  <c r="C23" i="23" s="1"/>
  <c r="C24" i="20"/>
  <c r="C24" i="23" s="1"/>
  <c r="C25" i="20"/>
  <c r="C25" i="23" s="1"/>
  <c r="C26" i="20"/>
  <c r="C26" i="23" s="1"/>
  <c r="C27" i="20"/>
  <c r="C27" i="23" s="1"/>
  <c r="C28" i="20"/>
  <c r="C29" i="20"/>
  <c r="C29" i="23" s="1"/>
  <c r="C30" i="20"/>
  <c r="C31" i="20"/>
  <c r="C32" i="20"/>
  <c r="C32" i="23" s="1"/>
  <c r="C33" i="20"/>
  <c r="C33" i="23" s="1"/>
  <c r="C34" i="20"/>
  <c r="C34" i="23" s="1"/>
  <c r="C35" i="20"/>
  <c r="C35" i="23" s="1"/>
  <c r="C36" i="20"/>
  <c r="C36" i="23" s="1"/>
  <c r="C37" i="20"/>
  <c r="C38" i="20"/>
  <c r="C38" i="23" s="1"/>
  <c r="C39" i="20"/>
  <c r="C39" i="23" s="1"/>
  <c r="C40" i="20"/>
  <c r="C40" i="23" s="1"/>
  <c r="C41" i="20"/>
  <c r="C41" i="23" s="1"/>
  <c r="C42" i="20"/>
  <c r="C42" i="23" s="1"/>
  <c r="C43" i="20"/>
  <c r="C43" i="23" s="1"/>
  <c r="C44" i="20"/>
  <c r="C44" i="23" s="1"/>
  <c r="C45" i="20"/>
  <c r="C45" i="23" s="1"/>
  <c r="C46" i="20"/>
  <c r="C46" i="23" s="1"/>
  <c r="C47" i="20"/>
  <c r="C47" i="23" s="1"/>
  <c r="C48" i="20"/>
  <c r="C49" i="20"/>
  <c r="C49" i="23" s="1"/>
  <c r="C50" i="20"/>
  <c r="C51" i="20"/>
  <c r="C52" i="20"/>
  <c r="C52" i="23" s="1"/>
  <c r="C53" i="20"/>
  <c r="C53" i="23" s="1"/>
  <c r="C54" i="20"/>
  <c r="C54" i="23" s="1"/>
  <c r="C55" i="20"/>
  <c r="C55" i="23" s="1"/>
  <c r="C56" i="20"/>
  <c r="C56" i="23" s="1"/>
  <c r="C57" i="20"/>
  <c r="C58" i="20"/>
  <c r="C58" i="23" s="1"/>
  <c r="C59" i="20"/>
  <c r="C59" i="23" s="1"/>
  <c r="C60" i="20"/>
  <c r="C60" i="23" s="1"/>
  <c r="C61" i="20"/>
  <c r="C61" i="23" s="1"/>
  <c r="C62" i="20"/>
  <c r="C62" i="23" s="1"/>
  <c r="C63" i="20"/>
  <c r="C63" i="23" s="1"/>
  <c r="C64" i="20"/>
  <c r="C64" i="23" s="1"/>
  <c r="C65" i="20"/>
  <c r="C65" i="23" s="1"/>
  <c r="C66" i="20"/>
  <c r="C66" i="23" s="1"/>
  <c r="C67" i="20"/>
  <c r="C67" i="23" s="1"/>
  <c r="C68" i="20"/>
  <c r="C68" i="23" s="1"/>
  <c r="C69" i="20"/>
  <c r="C69" i="23" s="1"/>
  <c r="C70" i="20"/>
  <c r="C71" i="20"/>
  <c r="C71" i="23" s="1"/>
  <c r="C72" i="20"/>
  <c r="C72" i="23" s="1"/>
  <c r="C73" i="20"/>
  <c r="C73" i="23" s="1"/>
  <c r="C74" i="20"/>
  <c r="C74" i="23" s="1"/>
  <c r="C75" i="20"/>
  <c r="C75" i="23" s="1"/>
  <c r="C76" i="20"/>
  <c r="C76" i="23" s="1"/>
  <c r="C77" i="20"/>
  <c r="C77" i="23" s="1"/>
  <c r="C78" i="20"/>
  <c r="C78" i="23" s="1"/>
  <c r="C79" i="20"/>
  <c r="C79" i="23" s="1"/>
  <c r="C80" i="20"/>
  <c r="C80" i="23" s="1"/>
  <c r="C81" i="20"/>
  <c r="C81" i="23" s="1"/>
  <c r="C82" i="20"/>
  <c r="C82" i="23" s="1"/>
  <c r="C83" i="20"/>
  <c r="C83" i="23" s="1"/>
  <c r="C84" i="20"/>
  <c r="C84" i="23" s="1"/>
  <c r="C85" i="20"/>
  <c r="C85" i="23" s="1"/>
  <c r="C86" i="20"/>
  <c r="C86" i="23" s="1"/>
  <c r="C87" i="20"/>
  <c r="C87" i="23" s="1"/>
  <c r="C88" i="20"/>
  <c r="C89" i="20"/>
  <c r="C89" i="23" s="1"/>
  <c r="C90" i="20"/>
  <c r="C90" i="23" s="1"/>
  <c r="C91" i="20"/>
  <c r="C92" i="20"/>
  <c r="C92" i="23" s="1"/>
  <c r="C93" i="20"/>
  <c r="C93" i="23" s="1"/>
  <c r="C94" i="20"/>
  <c r="C94" i="23" s="1"/>
  <c r="C95" i="20"/>
  <c r="C95" i="23" s="1"/>
  <c r="C96" i="20"/>
  <c r="C96" i="23" s="1"/>
  <c r="C97" i="20"/>
  <c r="C97" i="23" s="1"/>
  <c r="C98" i="20"/>
  <c r="C98" i="23" s="1"/>
  <c r="C99" i="20"/>
  <c r="C99" i="23" s="1"/>
  <c r="C100" i="20"/>
  <c r="C100" i="23" s="1"/>
  <c r="C101" i="20"/>
  <c r="C101" i="23" s="1"/>
  <c r="C102" i="20"/>
  <c r="C102" i="23" s="1"/>
  <c r="C103" i="20"/>
  <c r="C103" i="23" s="1"/>
  <c r="C104" i="20"/>
  <c r="C104" i="23" s="1"/>
  <c r="C105" i="20"/>
  <c r="C105" i="23" s="1"/>
  <c r="C106" i="20"/>
  <c r="C106" i="23" s="1"/>
  <c r="C107" i="20"/>
  <c r="C107" i="23" s="1"/>
  <c r="C108" i="20"/>
  <c r="C109" i="20"/>
  <c r="C109" i="23" s="1"/>
  <c r="C110" i="20"/>
  <c r="C111" i="20"/>
  <c r="C112" i="20"/>
  <c r="C112" i="23" s="1"/>
  <c r="C113" i="20"/>
  <c r="C113" i="23" s="1"/>
  <c r="C114" i="20"/>
  <c r="C114" i="23" s="1"/>
  <c r="C115" i="20"/>
  <c r="C115" i="23" s="1"/>
  <c r="C116" i="20"/>
  <c r="C116" i="23" s="1"/>
  <c r="C117" i="20"/>
  <c r="C117" i="23" s="1"/>
  <c r="C118" i="20"/>
  <c r="C118" i="23" s="1"/>
  <c r="C119" i="20"/>
  <c r="C119" i="23" s="1"/>
  <c r="C120" i="20"/>
  <c r="C120" i="23" s="1"/>
  <c r="C121" i="20"/>
  <c r="C121" i="23" s="1"/>
  <c r="C122" i="20"/>
  <c r="C122" i="23" s="1"/>
  <c r="C123" i="20"/>
  <c r="C123" i="23" s="1"/>
  <c r="C124" i="20"/>
  <c r="C124" i="23" s="1"/>
  <c r="C125" i="20"/>
  <c r="C125" i="23" s="1"/>
  <c r="C126" i="20"/>
  <c r="C126" i="23" s="1"/>
  <c r="C127" i="20"/>
  <c r="C127" i="23" s="1"/>
  <c r="C128" i="20"/>
  <c r="C129" i="20"/>
  <c r="C129" i="23" s="1"/>
  <c r="C130" i="20"/>
  <c r="C131" i="20"/>
  <c r="C132" i="20"/>
  <c r="C132" i="23" s="1"/>
  <c r="C133" i="20"/>
  <c r="C133" i="23" s="1"/>
  <c r="C134" i="20"/>
  <c r="C134" i="23" s="1"/>
  <c r="C135" i="20"/>
  <c r="C135" i="23" s="1"/>
  <c r="C5" i="20"/>
  <c r="C5" i="23" s="1"/>
  <c r="C4" i="20"/>
  <c r="L12" i="20" s="1"/>
  <c r="G2" i="16"/>
  <c r="J2" i="16" a="1"/>
  <c r="J2" i="16" s="1"/>
  <c r="E2" i="16"/>
  <c r="C15" i="16"/>
  <c r="C14" i="16"/>
  <c r="C13" i="16"/>
  <c r="C12" i="16"/>
  <c r="C11" i="16"/>
  <c r="C10" i="16"/>
  <c r="K6" i="24" l="1"/>
  <c r="P6" i="24" s="1"/>
  <c r="U11" i="24" s="1"/>
  <c r="J13" i="24"/>
  <c r="K13" i="24"/>
  <c r="P11" i="24"/>
  <c r="O12" i="24"/>
  <c r="O13" i="24" s="1"/>
  <c r="O5" i="24"/>
  <c r="P5" i="24"/>
  <c r="U10" i="24" s="1"/>
  <c r="W10" i="24" s="1"/>
  <c r="H10" i="20"/>
  <c r="H12" i="20"/>
  <c r="L10" i="20"/>
  <c r="L11" i="20"/>
  <c r="H11" i="20"/>
  <c r="D5" i="23"/>
  <c r="E4" i="23"/>
  <c r="F4" i="23" s="1"/>
  <c r="G4" i="23"/>
  <c r="E14" i="27"/>
  <c r="F13" i="27" s="1"/>
  <c r="J28" i="16"/>
  <c r="C9" i="24"/>
  <c r="C10" i="24" s="1"/>
  <c r="C150" i="24"/>
  <c r="E2" i="15" a="1"/>
  <c r="E11" i="15" s="1"/>
  <c r="P13" i="24" l="1"/>
  <c r="V11" i="24" s="1"/>
  <c r="W11" i="24" s="1"/>
  <c r="V9" i="24"/>
  <c r="W9" i="24" s="1"/>
  <c r="D6" i="23"/>
  <c r="E5" i="23"/>
  <c r="E6" i="23" s="1"/>
  <c r="F6" i="27"/>
  <c r="F7" i="27"/>
  <c r="F5" i="27"/>
  <c r="F10" i="27"/>
  <c r="F8" i="27"/>
  <c r="F12" i="27"/>
  <c r="F4" i="27"/>
  <c r="F11" i="27"/>
  <c r="F9" i="27"/>
  <c r="C12" i="24"/>
  <c r="C11" i="24"/>
  <c r="E10" i="15"/>
  <c r="C4" i="15" s="1"/>
  <c r="E9" i="15"/>
  <c r="C9" i="15" s="1"/>
  <c r="E8" i="15"/>
  <c r="E7" i="15"/>
  <c r="C11" i="15" s="1"/>
  <c r="E6" i="15"/>
  <c r="C2" i="15" s="1"/>
  <c r="E5" i="15"/>
  <c r="C7" i="15" s="1"/>
  <c r="E4" i="15"/>
  <c r="E3" i="15"/>
  <c r="E2" i="15"/>
  <c r="C3" i="15" s="1"/>
  <c r="B38" i="18"/>
  <c r="B39" i="18" s="1"/>
  <c r="B40" i="18" s="1"/>
  <c r="B34" i="18" a="1"/>
  <c r="B34" i="18" s="1"/>
  <c r="K30" i="18"/>
  <c r="K29" i="18"/>
  <c r="J29" i="18"/>
  <c r="J28" i="18"/>
  <c r="K28" i="18"/>
  <c r="I28" i="18"/>
  <c r="I27" i="18"/>
  <c r="J27" i="18"/>
  <c r="K27" i="18"/>
  <c r="H27" i="18"/>
  <c r="H26" i="18"/>
  <c r="I26" i="18"/>
  <c r="J26" i="18"/>
  <c r="K26" i="18"/>
  <c r="G26" i="18"/>
  <c r="H25" i="18"/>
  <c r="I25" i="18"/>
  <c r="J25" i="18"/>
  <c r="K25" i="18"/>
  <c r="G25" i="18"/>
  <c r="F25" i="18"/>
  <c r="F24" i="18"/>
  <c r="G24" i="18"/>
  <c r="H24" i="18"/>
  <c r="I24" i="18"/>
  <c r="J24" i="18"/>
  <c r="K24" i="18"/>
  <c r="E24" i="18"/>
  <c r="E23" i="18"/>
  <c r="F23" i="18"/>
  <c r="G23" i="18"/>
  <c r="H23" i="18"/>
  <c r="I23" i="18"/>
  <c r="J23" i="18"/>
  <c r="K23" i="18"/>
  <c r="D23" i="18"/>
  <c r="E22" i="18"/>
  <c r="F22" i="18"/>
  <c r="G22" i="18"/>
  <c r="H22" i="18"/>
  <c r="I22" i="18"/>
  <c r="J22" i="18"/>
  <c r="K22" i="18"/>
  <c r="D22" i="18"/>
  <c r="C22" i="18"/>
  <c r="C23" i="18"/>
  <c r="K31" i="18"/>
  <c r="J30" i="18"/>
  <c r="I29" i="18"/>
  <c r="H28" i="18"/>
  <c r="G27" i="18"/>
  <c r="F26" i="18"/>
  <c r="E25" i="18"/>
  <c r="D24" i="18"/>
  <c r="B22" i="18"/>
  <c r="C5" i="15" l="1"/>
  <c r="C8" i="15"/>
  <c r="C10" i="15"/>
  <c r="C6" i="15"/>
  <c r="F6" i="23"/>
  <c r="D7" i="23"/>
  <c r="F5" i="23"/>
  <c r="G5" i="23"/>
  <c r="C149" i="24"/>
  <c r="C128" i="24"/>
  <c r="C105" i="24"/>
  <c r="C27" i="24"/>
  <c r="C46" i="24"/>
  <c r="C65" i="24"/>
  <c r="C66" i="24"/>
  <c r="C108" i="24"/>
  <c r="C28" i="24"/>
  <c r="C127" i="24"/>
  <c r="C25" i="24"/>
  <c r="C148" i="24"/>
  <c r="C26" i="24"/>
  <c r="C107" i="24"/>
  <c r="C109" i="24"/>
  <c r="C106" i="24"/>
  <c r="C48" i="24"/>
  <c r="C24" i="24"/>
  <c r="C49" i="24"/>
  <c r="C104" i="24"/>
  <c r="C121" i="24"/>
  <c r="C124" i="24"/>
  <c r="C39" i="24"/>
  <c r="C129" i="24"/>
  <c r="C88" i="24"/>
  <c r="C29" i="24"/>
  <c r="C45" i="24"/>
  <c r="C87" i="24"/>
  <c r="C140" i="24"/>
  <c r="C89" i="24"/>
  <c r="C147" i="24"/>
  <c r="C20" i="24"/>
  <c r="C98" i="24"/>
  <c r="C116" i="24"/>
  <c r="C64" i="24"/>
  <c r="C62" i="24"/>
  <c r="C99" i="24"/>
  <c r="C132" i="24"/>
  <c r="C35" i="24"/>
  <c r="C22" i="24"/>
  <c r="C101" i="24"/>
  <c r="C70" i="24"/>
  <c r="C41" i="24"/>
  <c r="C131" i="24"/>
  <c r="C33" i="24"/>
  <c r="C137" i="24"/>
  <c r="C94" i="24"/>
  <c r="C139" i="24"/>
  <c r="C93" i="24"/>
  <c r="C135" i="24"/>
  <c r="C123" i="24"/>
  <c r="C59" i="24"/>
  <c r="C92" i="24"/>
  <c r="C75" i="24"/>
  <c r="C47" i="24"/>
  <c r="C74" i="24"/>
  <c r="C122" i="24"/>
  <c r="C71" i="24"/>
  <c r="C111" i="24"/>
  <c r="C96" i="24"/>
  <c r="C145" i="24"/>
  <c r="C72" i="24"/>
  <c r="C77" i="24"/>
  <c r="C53" i="24"/>
  <c r="C83" i="24"/>
  <c r="C67" i="24"/>
  <c r="C40" i="24"/>
  <c r="C43" i="24"/>
  <c r="C117" i="24"/>
  <c r="C130" i="24"/>
  <c r="C44" i="24"/>
  <c r="C126" i="24"/>
  <c r="C76" i="24"/>
  <c r="C81" i="24"/>
  <c r="C118" i="24"/>
  <c r="C30" i="24"/>
  <c r="C36" i="24"/>
  <c r="C42" i="24"/>
  <c r="C100" i="24"/>
  <c r="C141" i="24"/>
  <c r="C84" i="24"/>
  <c r="C114" i="24"/>
  <c r="C78" i="24"/>
  <c r="C19" i="24"/>
  <c r="C54" i="24"/>
  <c r="C91" i="24"/>
  <c r="C51" i="24"/>
  <c r="C97" i="24"/>
  <c r="C85" i="24"/>
  <c r="C73" i="24"/>
  <c r="C136" i="24"/>
  <c r="C52" i="24"/>
  <c r="C112" i="24"/>
  <c r="C103" i="24"/>
  <c r="C57" i="24"/>
  <c r="C113" i="24"/>
  <c r="C63" i="24"/>
  <c r="C134" i="24"/>
  <c r="C60" i="24"/>
  <c r="C23" i="24"/>
  <c r="C68" i="24"/>
  <c r="C95" i="24"/>
  <c r="C82" i="24"/>
  <c r="C79" i="24"/>
  <c r="C21" i="24"/>
  <c r="C120" i="24"/>
  <c r="C61" i="24"/>
  <c r="C142" i="24"/>
  <c r="C143" i="24"/>
  <c r="C125" i="24"/>
  <c r="C138" i="24"/>
  <c r="C86" i="24"/>
  <c r="C69" i="24"/>
  <c r="C110" i="24"/>
  <c r="C32" i="24"/>
  <c r="C119" i="24"/>
  <c r="C50" i="24"/>
  <c r="C115" i="24"/>
  <c r="C31" i="24"/>
  <c r="C90" i="24"/>
  <c r="C144" i="24"/>
  <c r="C38" i="24"/>
  <c r="C58" i="24"/>
  <c r="C34" i="24"/>
  <c r="C146" i="24"/>
  <c r="C56" i="24"/>
  <c r="C133" i="24"/>
  <c r="C55" i="24"/>
  <c r="C102" i="24"/>
  <c r="C37" i="24"/>
  <c r="C80" i="24"/>
  <c r="K34" i="18"/>
  <c r="J34" i="18"/>
  <c r="I34" i="18"/>
  <c r="H34" i="18"/>
  <c r="G34" i="18"/>
  <c r="F34" i="18"/>
  <c r="E34" i="18"/>
  <c r="D34" i="18"/>
  <c r="C34" i="18"/>
  <c r="C4" i="18"/>
  <c r="C5" i="18"/>
  <c r="C6" i="18"/>
  <c r="C7" i="18"/>
  <c r="C8" i="18"/>
  <c r="C9" i="18"/>
  <c r="C10" i="18"/>
  <c r="C11" i="18"/>
  <c r="C12" i="18"/>
  <c r="C3" i="18"/>
  <c r="B16" i="18" s="1"/>
  <c r="C2" i="10"/>
  <c r="D2" i="10"/>
  <c r="E2" i="10"/>
  <c r="F2" i="10"/>
  <c r="G2" i="10"/>
  <c r="H2" i="10"/>
  <c r="I2" i="10"/>
  <c r="J2" i="10"/>
  <c r="K2" i="10"/>
  <c r="B2" i="10"/>
  <c r="D7" i="15" l="1"/>
  <c r="D4" i="15"/>
  <c r="D5" i="15"/>
  <c r="D8" i="15"/>
  <c r="D3" i="15"/>
  <c r="D9" i="15"/>
  <c r="D6" i="15"/>
  <c r="D10" i="15"/>
  <c r="D11" i="15"/>
  <c r="D2" i="15"/>
  <c r="D8" i="23"/>
  <c r="G6" i="23"/>
  <c r="E7" i="23"/>
  <c r="G7" i="23" s="1"/>
  <c r="G7" i="5"/>
  <c r="H7" i="5"/>
  <c r="I7" i="5"/>
  <c r="J7" i="5"/>
  <c r="K7" i="5"/>
  <c r="G6" i="5"/>
  <c r="H6" i="5"/>
  <c r="I6" i="5"/>
  <c r="J6" i="5"/>
  <c r="K6" i="5"/>
  <c r="G5" i="5"/>
  <c r="H5" i="5"/>
  <c r="I5" i="5"/>
  <c r="J5" i="5"/>
  <c r="K5" i="5"/>
  <c r="G3" i="5"/>
  <c r="H3" i="5"/>
  <c r="I3" i="5"/>
  <c r="J3" i="5"/>
  <c r="K3" i="5"/>
  <c r="H4" i="5"/>
  <c r="I4" i="5"/>
  <c r="J4" i="5"/>
  <c r="K4" i="5"/>
  <c r="G4" i="5"/>
  <c r="B7" i="5"/>
  <c r="K133" i="14"/>
  <c r="J133" i="14"/>
  <c r="I133" i="14"/>
  <c r="H133" i="14"/>
  <c r="G133" i="14"/>
  <c r="F133" i="14"/>
  <c r="E133" i="14"/>
  <c r="D133" i="14"/>
  <c r="C133" i="14"/>
  <c r="B133" i="14"/>
  <c r="A133" i="14"/>
  <c r="K132" i="14"/>
  <c r="J132" i="14"/>
  <c r="I132" i="14"/>
  <c r="H132" i="14"/>
  <c r="G132" i="14"/>
  <c r="F132" i="14"/>
  <c r="E132" i="14"/>
  <c r="D132" i="14"/>
  <c r="C132" i="14"/>
  <c r="B132" i="14"/>
  <c r="A132" i="14"/>
  <c r="K131" i="14"/>
  <c r="J131" i="14"/>
  <c r="I131" i="14"/>
  <c r="H131" i="14"/>
  <c r="G131" i="14"/>
  <c r="F131" i="14"/>
  <c r="E131" i="14"/>
  <c r="D131" i="14"/>
  <c r="C131" i="14"/>
  <c r="B131" i="14"/>
  <c r="A131" i="14"/>
  <c r="K130" i="14"/>
  <c r="J130" i="14"/>
  <c r="I130" i="14"/>
  <c r="H130" i="14"/>
  <c r="G130" i="14"/>
  <c r="F130" i="14"/>
  <c r="E130" i="14"/>
  <c r="D130" i="14"/>
  <c r="C130" i="14"/>
  <c r="B130" i="14"/>
  <c r="A130" i="14"/>
  <c r="K129" i="14"/>
  <c r="J129" i="14"/>
  <c r="I129" i="14"/>
  <c r="H129" i="14"/>
  <c r="G129" i="14"/>
  <c r="F129" i="14"/>
  <c r="E129" i="14"/>
  <c r="D129" i="14"/>
  <c r="C129" i="14"/>
  <c r="B129" i="14"/>
  <c r="A129" i="14"/>
  <c r="K128" i="14"/>
  <c r="J128" i="14"/>
  <c r="I128" i="14"/>
  <c r="H128" i="14"/>
  <c r="G128" i="14"/>
  <c r="F128" i="14"/>
  <c r="E128" i="14"/>
  <c r="D128" i="14"/>
  <c r="C128" i="14"/>
  <c r="B128" i="14"/>
  <c r="A128" i="14"/>
  <c r="K127" i="14"/>
  <c r="J127" i="14"/>
  <c r="I127" i="14"/>
  <c r="H127" i="14"/>
  <c r="G127" i="14"/>
  <c r="F127" i="14"/>
  <c r="E127" i="14"/>
  <c r="D127" i="14"/>
  <c r="C127" i="14"/>
  <c r="B127" i="14"/>
  <c r="A127" i="14"/>
  <c r="K126" i="14"/>
  <c r="J126" i="14"/>
  <c r="I126" i="14"/>
  <c r="H126" i="14"/>
  <c r="G126" i="14"/>
  <c r="F126" i="14"/>
  <c r="E126" i="14"/>
  <c r="D126" i="14"/>
  <c r="C126" i="14"/>
  <c r="B126" i="14"/>
  <c r="A126" i="14"/>
  <c r="K125" i="14"/>
  <c r="J125" i="14"/>
  <c r="I125" i="14"/>
  <c r="H125" i="14"/>
  <c r="G125" i="14"/>
  <c r="F125" i="14"/>
  <c r="E125" i="14"/>
  <c r="D125" i="14"/>
  <c r="C125" i="14"/>
  <c r="B125" i="14"/>
  <c r="A125" i="14"/>
  <c r="K124" i="14"/>
  <c r="J124" i="14"/>
  <c r="I124" i="14"/>
  <c r="H124" i="14"/>
  <c r="G124" i="14"/>
  <c r="F124" i="14"/>
  <c r="E124" i="14"/>
  <c r="D124" i="14"/>
  <c r="C124" i="14"/>
  <c r="B124" i="14"/>
  <c r="A124" i="14"/>
  <c r="K123" i="14"/>
  <c r="J123" i="14"/>
  <c r="I123" i="14"/>
  <c r="H123" i="14"/>
  <c r="G123" i="14"/>
  <c r="F123" i="14"/>
  <c r="E123" i="14"/>
  <c r="D123" i="14"/>
  <c r="C123" i="14"/>
  <c r="B123" i="14"/>
  <c r="A123" i="14"/>
  <c r="K122" i="14"/>
  <c r="J122" i="14"/>
  <c r="I122" i="14"/>
  <c r="H122" i="14"/>
  <c r="G122" i="14"/>
  <c r="F122" i="14"/>
  <c r="E122" i="14"/>
  <c r="D122" i="14"/>
  <c r="C122" i="14"/>
  <c r="B122" i="14"/>
  <c r="A122" i="14"/>
  <c r="K121" i="14"/>
  <c r="J121" i="14"/>
  <c r="I121" i="14"/>
  <c r="H121" i="14"/>
  <c r="G121" i="14"/>
  <c r="F121" i="14"/>
  <c r="E121" i="14"/>
  <c r="D121" i="14"/>
  <c r="C121" i="14"/>
  <c r="B121" i="14"/>
  <c r="A121" i="14"/>
  <c r="K120" i="14"/>
  <c r="J120" i="14"/>
  <c r="I120" i="14"/>
  <c r="H120" i="14"/>
  <c r="G120" i="14"/>
  <c r="F120" i="14"/>
  <c r="E120" i="14"/>
  <c r="D120" i="14"/>
  <c r="C120" i="14"/>
  <c r="B120" i="14"/>
  <c r="A120" i="14"/>
  <c r="K119" i="14"/>
  <c r="J119" i="14"/>
  <c r="I119" i="14"/>
  <c r="H119" i="14"/>
  <c r="G119" i="14"/>
  <c r="F119" i="14"/>
  <c r="E119" i="14"/>
  <c r="D119" i="14"/>
  <c r="C119" i="14"/>
  <c r="B119" i="14"/>
  <c r="A119" i="14"/>
  <c r="K118" i="14"/>
  <c r="J118" i="14"/>
  <c r="I118" i="14"/>
  <c r="H118" i="14"/>
  <c r="G118" i="14"/>
  <c r="F118" i="14"/>
  <c r="E118" i="14"/>
  <c r="D118" i="14"/>
  <c r="C118" i="14"/>
  <c r="B118" i="14"/>
  <c r="A118" i="14"/>
  <c r="K117" i="14"/>
  <c r="J117" i="14"/>
  <c r="I117" i="14"/>
  <c r="H117" i="14"/>
  <c r="G117" i="14"/>
  <c r="F117" i="14"/>
  <c r="E117" i="14"/>
  <c r="D117" i="14"/>
  <c r="C117" i="14"/>
  <c r="B117" i="14"/>
  <c r="A117" i="14"/>
  <c r="K116" i="14"/>
  <c r="J116" i="14"/>
  <c r="I116" i="14"/>
  <c r="H116" i="14"/>
  <c r="G116" i="14"/>
  <c r="F116" i="14"/>
  <c r="E116" i="14"/>
  <c r="D116" i="14"/>
  <c r="C116" i="14"/>
  <c r="B116" i="14"/>
  <c r="A116" i="14"/>
  <c r="K115" i="14"/>
  <c r="J115" i="14"/>
  <c r="I115" i="14"/>
  <c r="H115" i="14"/>
  <c r="G115" i="14"/>
  <c r="F115" i="14"/>
  <c r="E115" i="14"/>
  <c r="D115" i="14"/>
  <c r="C115" i="14"/>
  <c r="B115" i="14"/>
  <c r="A115" i="14"/>
  <c r="K114" i="14"/>
  <c r="J114" i="14"/>
  <c r="I114" i="14"/>
  <c r="H114" i="14"/>
  <c r="G114" i="14"/>
  <c r="F114" i="14"/>
  <c r="E114" i="14"/>
  <c r="D114" i="14"/>
  <c r="C114" i="14"/>
  <c r="B114" i="14"/>
  <c r="A114" i="14"/>
  <c r="K113" i="14"/>
  <c r="J113" i="14"/>
  <c r="I113" i="14"/>
  <c r="H113" i="14"/>
  <c r="G113" i="14"/>
  <c r="F113" i="14"/>
  <c r="E113" i="14"/>
  <c r="D113" i="14"/>
  <c r="C113" i="14"/>
  <c r="B113" i="14"/>
  <c r="A113" i="14"/>
  <c r="K112" i="14"/>
  <c r="J112" i="14"/>
  <c r="I112" i="14"/>
  <c r="H112" i="14"/>
  <c r="G112" i="14"/>
  <c r="F112" i="14"/>
  <c r="E112" i="14"/>
  <c r="D112" i="14"/>
  <c r="C112" i="14"/>
  <c r="B112" i="14"/>
  <c r="A112" i="14"/>
  <c r="K111" i="14"/>
  <c r="J111" i="14"/>
  <c r="I111" i="14"/>
  <c r="H111" i="14"/>
  <c r="G111" i="14"/>
  <c r="F111" i="14"/>
  <c r="E111" i="14"/>
  <c r="D111" i="14"/>
  <c r="C111" i="14"/>
  <c r="B111" i="14"/>
  <c r="A111" i="14"/>
  <c r="K110" i="14"/>
  <c r="J110" i="14"/>
  <c r="I110" i="14"/>
  <c r="H110" i="14"/>
  <c r="G110" i="14"/>
  <c r="F110" i="14"/>
  <c r="E110" i="14"/>
  <c r="D110" i="14"/>
  <c r="C110" i="14"/>
  <c r="B110" i="14"/>
  <c r="A110" i="14"/>
  <c r="K109" i="14"/>
  <c r="J109" i="14"/>
  <c r="I109" i="14"/>
  <c r="H109" i="14"/>
  <c r="G109" i="14"/>
  <c r="F109" i="14"/>
  <c r="E109" i="14"/>
  <c r="D109" i="14"/>
  <c r="C109" i="14"/>
  <c r="B109" i="14"/>
  <c r="A109" i="14"/>
  <c r="K108" i="14"/>
  <c r="J108" i="14"/>
  <c r="I108" i="14"/>
  <c r="H108" i="14"/>
  <c r="G108" i="14"/>
  <c r="F108" i="14"/>
  <c r="E108" i="14"/>
  <c r="D108" i="14"/>
  <c r="C108" i="14"/>
  <c r="B108" i="14"/>
  <c r="A108" i="14"/>
  <c r="K107" i="14"/>
  <c r="J107" i="14"/>
  <c r="I107" i="14"/>
  <c r="H107" i="14"/>
  <c r="G107" i="14"/>
  <c r="F107" i="14"/>
  <c r="E107" i="14"/>
  <c r="D107" i="14"/>
  <c r="C107" i="14"/>
  <c r="B107" i="14"/>
  <c r="A107" i="14"/>
  <c r="K106" i="14"/>
  <c r="J106" i="14"/>
  <c r="I106" i="14"/>
  <c r="H106" i="14"/>
  <c r="G106" i="14"/>
  <c r="F106" i="14"/>
  <c r="E106" i="14"/>
  <c r="D106" i="14"/>
  <c r="C106" i="14"/>
  <c r="B106" i="14"/>
  <c r="A106" i="14"/>
  <c r="K105" i="14"/>
  <c r="J105" i="14"/>
  <c r="I105" i="14"/>
  <c r="H105" i="14"/>
  <c r="G105" i="14"/>
  <c r="F105" i="14"/>
  <c r="E105" i="14"/>
  <c r="D105" i="14"/>
  <c r="C105" i="14"/>
  <c r="B105" i="14"/>
  <c r="A105" i="14"/>
  <c r="K104" i="14"/>
  <c r="J104" i="14"/>
  <c r="I104" i="14"/>
  <c r="H104" i="14"/>
  <c r="G104" i="14"/>
  <c r="F104" i="14"/>
  <c r="E104" i="14"/>
  <c r="D104" i="14"/>
  <c r="C104" i="14"/>
  <c r="B104" i="14"/>
  <c r="A104" i="14"/>
  <c r="K103" i="14"/>
  <c r="J103" i="14"/>
  <c r="I103" i="14"/>
  <c r="H103" i="14"/>
  <c r="G103" i="14"/>
  <c r="F103" i="14"/>
  <c r="E103" i="14"/>
  <c r="D103" i="14"/>
  <c r="C103" i="14"/>
  <c r="B103" i="14"/>
  <c r="A103" i="14"/>
  <c r="K102" i="14"/>
  <c r="J102" i="14"/>
  <c r="I102" i="14"/>
  <c r="H102" i="14"/>
  <c r="G102" i="14"/>
  <c r="F102" i="14"/>
  <c r="E102" i="14"/>
  <c r="D102" i="14"/>
  <c r="C102" i="14"/>
  <c r="B102" i="14"/>
  <c r="A102" i="14"/>
  <c r="K101" i="14"/>
  <c r="J101" i="14"/>
  <c r="I101" i="14"/>
  <c r="H101" i="14"/>
  <c r="G101" i="14"/>
  <c r="F101" i="14"/>
  <c r="E101" i="14"/>
  <c r="D101" i="14"/>
  <c r="C101" i="14"/>
  <c r="B101" i="14"/>
  <c r="A101" i="14"/>
  <c r="K100" i="14"/>
  <c r="J100" i="14"/>
  <c r="I100" i="14"/>
  <c r="H100" i="14"/>
  <c r="G100" i="14"/>
  <c r="F100" i="14"/>
  <c r="E100" i="14"/>
  <c r="D100" i="14"/>
  <c r="C100" i="14"/>
  <c r="B100" i="14"/>
  <c r="A100" i="14"/>
  <c r="K99" i="14"/>
  <c r="J99" i="14"/>
  <c r="I99" i="14"/>
  <c r="H99" i="14"/>
  <c r="G99" i="14"/>
  <c r="F99" i="14"/>
  <c r="E99" i="14"/>
  <c r="D99" i="14"/>
  <c r="C99" i="14"/>
  <c r="B99" i="14"/>
  <c r="A99" i="14"/>
  <c r="K98" i="14"/>
  <c r="J98" i="14"/>
  <c r="I98" i="14"/>
  <c r="H98" i="14"/>
  <c r="G98" i="14"/>
  <c r="F98" i="14"/>
  <c r="E98" i="14"/>
  <c r="D98" i="14"/>
  <c r="C98" i="14"/>
  <c r="B98" i="14"/>
  <c r="A98" i="14"/>
  <c r="K97" i="14"/>
  <c r="J97" i="14"/>
  <c r="I97" i="14"/>
  <c r="H97" i="14"/>
  <c r="G97" i="14"/>
  <c r="F97" i="14"/>
  <c r="E97" i="14"/>
  <c r="D97" i="14"/>
  <c r="C97" i="14"/>
  <c r="B97" i="14"/>
  <c r="A97" i="14"/>
  <c r="K96" i="14"/>
  <c r="J96" i="14"/>
  <c r="I96" i="14"/>
  <c r="H96" i="14"/>
  <c r="G96" i="14"/>
  <c r="F96" i="14"/>
  <c r="E96" i="14"/>
  <c r="D96" i="14"/>
  <c r="C96" i="14"/>
  <c r="B96" i="14"/>
  <c r="A96" i="14"/>
  <c r="K95" i="14"/>
  <c r="J95" i="14"/>
  <c r="I95" i="14"/>
  <c r="H95" i="14"/>
  <c r="G95" i="14"/>
  <c r="F95" i="14"/>
  <c r="E95" i="14"/>
  <c r="D95" i="14"/>
  <c r="C95" i="14"/>
  <c r="B95" i="14"/>
  <c r="A95" i="14"/>
  <c r="K94" i="14"/>
  <c r="J94" i="14"/>
  <c r="I94" i="14"/>
  <c r="H94" i="14"/>
  <c r="G94" i="14"/>
  <c r="F94" i="14"/>
  <c r="E94" i="14"/>
  <c r="D94" i="14"/>
  <c r="C94" i="14"/>
  <c r="B94" i="14"/>
  <c r="A94" i="14"/>
  <c r="K93" i="14"/>
  <c r="J93" i="14"/>
  <c r="I93" i="14"/>
  <c r="H93" i="14"/>
  <c r="G93" i="14"/>
  <c r="F93" i="14"/>
  <c r="E93" i="14"/>
  <c r="D93" i="14"/>
  <c r="C93" i="14"/>
  <c r="B93" i="14"/>
  <c r="A93" i="14"/>
  <c r="K92" i="14"/>
  <c r="J92" i="14"/>
  <c r="I92" i="14"/>
  <c r="H92" i="14"/>
  <c r="G92" i="14"/>
  <c r="F92" i="14"/>
  <c r="E92" i="14"/>
  <c r="D92" i="14"/>
  <c r="C92" i="14"/>
  <c r="B92" i="14"/>
  <c r="A92" i="14"/>
  <c r="K91" i="14"/>
  <c r="J91" i="14"/>
  <c r="I91" i="14"/>
  <c r="H91" i="14"/>
  <c r="G91" i="14"/>
  <c r="F91" i="14"/>
  <c r="E91" i="14"/>
  <c r="D91" i="14"/>
  <c r="C91" i="14"/>
  <c r="B91" i="14"/>
  <c r="A91" i="14"/>
  <c r="K90" i="14"/>
  <c r="J90" i="14"/>
  <c r="I90" i="14"/>
  <c r="H90" i="14"/>
  <c r="G90" i="14"/>
  <c r="F90" i="14"/>
  <c r="E90" i="14"/>
  <c r="D90" i="14"/>
  <c r="C90" i="14"/>
  <c r="B90" i="14"/>
  <c r="A90" i="14"/>
  <c r="K89" i="14"/>
  <c r="J89" i="14"/>
  <c r="I89" i="14"/>
  <c r="H89" i="14"/>
  <c r="G89" i="14"/>
  <c r="F89" i="14"/>
  <c r="E89" i="14"/>
  <c r="D89" i="14"/>
  <c r="C89" i="14"/>
  <c r="B89" i="14"/>
  <c r="A89" i="14"/>
  <c r="K88" i="14"/>
  <c r="J88" i="14"/>
  <c r="I88" i="14"/>
  <c r="H88" i="14"/>
  <c r="G88" i="14"/>
  <c r="F88" i="14"/>
  <c r="E88" i="14"/>
  <c r="D88" i="14"/>
  <c r="C88" i="14"/>
  <c r="B88" i="14"/>
  <c r="A88" i="14"/>
  <c r="K87" i="14"/>
  <c r="J87" i="14"/>
  <c r="I87" i="14"/>
  <c r="H87" i="14"/>
  <c r="G87" i="14"/>
  <c r="F87" i="14"/>
  <c r="E87" i="14"/>
  <c r="D87" i="14"/>
  <c r="C87" i="14"/>
  <c r="B87" i="14"/>
  <c r="A87" i="14"/>
  <c r="K86" i="14"/>
  <c r="J86" i="14"/>
  <c r="I86" i="14"/>
  <c r="H86" i="14"/>
  <c r="G86" i="14"/>
  <c r="F86" i="14"/>
  <c r="E86" i="14"/>
  <c r="D86" i="14"/>
  <c r="C86" i="14"/>
  <c r="B86" i="14"/>
  <c r="A86" i="14"/>
  <c r="K85" i="14"/>
  <c r="J85" i="14"/>
  <c r="I85" i="14"/>
  <c r="H85" i="14"/>
  <c r="G85" i="14"/>
  <c r="F85" i="14"/>
  <c r="E85" i="14"/>
  <c r="D85" i="14"/>
  <c r="C85" i="14"/>
  <c r="B85" i="14"/>
  <c r="A85" i="14"/>
  <c r="K84" i="14"/>
  <c r="J84" i="14"/>
  <c r="I84" i="14"/>
  <c r="H84" i="14"/>
  <c r="G84" i="14"/>
  <c r="F84" i="14"/>
  <c r="E84" i="14"/>
  <c r="D84" i="14"/>
  <c r="C84" i="14"/>
  <c r="B84" i="14"/>
  <c r="A84" i="14"/>
  <c r="K83" i="14"/>
  <c r="J83" i="14"/>
  <c r="I83" i="14"/>
  <c r="H83" i="14"/>
  <c r="G83" i="14"/>
  <c r="F83" i="14"/>
  <c r="E83" i="14"/>
  <c r="D83" i="14"/>
  <c r="C83" i="14"/>
  <c r="B83" i="14"/>
  <c r="A83" i="14"/>
  <c r="K82" i="14"/>
  <c r="J82" i="14"/>
  <c r="I82" i="14"/>
  <c r="H82" i="14"/>
  <c r="G82" i="14"/>
  <c r="F82" i="14"/>
  <c r="E82" i="14"/>
  <c r="D82" i="14"/>
  <c r="C82" i="14"/>
  <c r="B82" i="14"/>
  <c r="A82" i="14"/>
  <c r="K81" i="14"/>
  <c r="J81" i="14"/>
  <c r="I81" i="14"/>
  <c r="H81" i="14"/>
  <c r="G81" i="14"/>
  <c r="F81" i="14"/>
  <c r="E81" i="14"/>
  <c r="D81" i="14"/>
  <c r="C81" i="14"/>
  <c r="B81" i="14"/>
  <c r="A81" i="14"/>
  <c r="K80" i="14"/>
  <c r="J80" i="14"/>
  <c r="I80" i="14"/>
  <c r="H80" i="14"/>
  <c r="G80" i="14"/>
  <c r="F80" i="14"/>
  <c r="E80" i="14"/>
  <c r="D80" i="14"/>
  <c r="C80" i="14"/>
  <c r="B80" i="14"/>
  <c r="A80" i="14"/>
  <c r="K79" i="14"/>
  <c r="J79" i="14"/>
  <c r="I79" i="14"/>
  <c r="H79" i="14"/>
  <c r="G79" i="14"/>
  <c r="F79" i="14"/>
  <c r="E79" i="14"/>
  <c r="D79" i="14"/>
  <c r="C79" i="14"/>
  <c r="B79" i="14"/>
  <c r="A79" i="14"/>
  <c r="K78" i="14"/>
  <c r="J78" i="14"/>
  <c r="I78" i="14"/>
  <c r="H78" i="14"/>
  <c r="G78" i="14"/>
  <c r="F78" i="14"/>
  <c r="E78" i="14"/>
  <c r="D78" i="14"/>
  <c r="C78" i="14"/>
  <c r="B78" i="14"/>
  <c r="A78" i="14"/>
  <c r="K77" i="14"/>
  <c r="J77" i="14"/>
  <c r="I77" i="14"/>
  <c r="H77" i="14"/>
  <c r="G77" i="14"/>
  <c r="F77" i="14"/>
  <c r="E77" i="14"/>
  <c r="D77" i="14"/>
  <c r="C77" i="14"/>
  <c r="B77" i="14"/>
  <c r="A77" i="14"/>
  <c r="K76" i="14"/>
  <c r="J76" i="14"/>
  <c r="I76" i="14"/>
  <c r="H76" i="14"/>
  <c r="G76" i="14"/>
  <c r="F76" i="14"/>
  <c r="E76" i="14"/>
  <c r="D76" i="14"/>
  <c r="C76" i="14"/>
  <c r="B76" i="14"/>
  <c r="A76" i="14"/>
  <c r="K75" i="14"/>
  <c r="J75" i="14"/>
  <c r="I75" i="14"/>
  <c r="H75" i="14"/>
  <c r="G75" i="14"/>
  <c r="F75" i="14"/>
  <c r="E75" i="14"/>
  <c r="D75" i="14"/>
  <c r="C75" i="14"/>
  <c r="B75" i="14"/>
  <c r="A75" i="14"/>
  <c r="K74" i="14"/>
  <c r="J74" i="14"/>
  <c r="I74" i="14"/>
  <c r="H74" i="14"/>
  <c r="G74" i="14"/>
  <c r="F74" i="14"/>
  <c r="E74" i="14"/>
  <c r="D74" i="14"/>
  <c r="C74" i="14"/>
  <c r="B74" i="14"/>
  <c r="A74" i="14"/>
  <c r="K73" i="14"/>
  <c r="J73" i="14"/>
  <c r="I73" i="14"/>
  <c r="H73" i="14"/>
  <c r="G73" i="14"/>
  <c r="F73" i="14"/>
  <c r="E73" i="14"/>
  <c r="D73" i="14"/>
  <c r="C73" i="14"/>
  <c r="B73" i="14"/>
  <c r="A73" i="14"/>
  <c r="K72" i="14"/>
  <c r="J72" i="14"/>
  <c r="I72" i="14"/>
  <c r="H72" i="14"/>
  <c r="G72" i="14"/>
  <c r="F72" i="14"/>
  <c r="E72" i="14"/>
  <c r="D72" i="14"/>
  <c r="C72" i="14"/>
  <c r="B72" i="14"/>
  <c r="A72" i="14"/>
  <c r="K71" i="14"/>
  <c r="J71" i="14"/>
  <c r="I71" i="14"/>
  <c r="H71" i="14"/>
  <c r="G71" i="14"/>
  <c r="F71" i="14"/>
  <c r="E71" i="14"/>
  <c r="D71" i="14"/>
  <c r="C71" i="14"/>
  <c r="B71" i="14"/>
  <c r="A71" i="14"/>
  <c r="K70" i="14"/>
  <c r="J70" i="14"/>
  <c r="I70" i="14"/>
  <c r="H70" i="14"/>
  <c r="G70" i="14"/>
  <c r="F70" i="14"/>
  <c r="E70" i="14"/>
  <c r="D70" i="14"/>
  <c r="C70" i="14"/>
  <c r="B70" i="14"/>
  <c r="A70" i="14"/>
  <c r="K69" i="14"/>
  <c r="J69" i="14"/>
  <c r="I69" i="14"/>
  <c r="H69" i="14"/>
  <c r="G69" i="14"/>
  <c r="F69" i="14"/>
  <c r="E69" i="14"/>
  <c r="D69" i="14"/>
  <c r="C69" i="14"/>
  <c r="B69" i="14"/>
  <c r="A69" i="14"/>
  <c r="K68" i="14"/>
  <c r="J68" i="14"/>
  <c r="I68" i="14"/>
  <c r="H68" i="14"/>
  <c r="G68" i="14"/>
  <c r="F68" i="14"/>
  <c r="E68" i="14"/>
  <c r="D68" i="14"/>
  <c r="C68" i="14"/>
  <c r="B68" i="14"/>
  <c r="A68" i="14"/>
  <c r="K67" i="14"/>
  <c r="J67" i="14"/>
  <c r="I67" i="14"/>
  <c r="H67" i="14"/>
  <c r="G67" i="14"/>
  <c r="F67" i="14"/>
  <c r="E67" i="14"/>
  <c r="D67" i="14"/>
  <c r="C67" i="14"/>
  <c r="B67" i="14"/>
  <c r="A67" i="14"/>
  <c r="K66" i="14"/>
  <c r="J66" i="14"/>
  <c r="I66" i="14"/>
  <c r="H66" i="14"/>
  <c r="G66" i="14"/>
  <c r="F66" i="14"/>
  <c r="E66" i="14"/>
  <c r="D66" i="14"/>
  <c r="C66" i="14"/>
  <c r="B66" i="14"/>
  <c r="A66" i="14"/>
  <c r="K65" i="14"/>
  <c r="J65" i="14"/>
  <c r="I65" i="14"/>
  <c r="H65" i="14"/>
  <c r="G65" i="14"/>
  <c r="F65" i="14"/>
  <c r="E65" i="14"/>
  <c r="D65" i="14"/>
  <c r="C65" i="14"/>
  <c r="B65" i="14"/>
  <c r="A65" i="14"/>
  <c r="K64" i="14"/>
  <c r="J64" i="14"/>
  <c r="I64" i="14"/>
  <c r="H64" i="14"/>
  <c r="G64" i="14"/>
  <c r="F64" i="14"/>
  <c r="E64" i="14"/>
  <c r="D64" i="14"/>
  <c r="C64" i="14"/>
  <c r="B64" i="14"/>
  <c r="A64" i="14"/>
  <c r="K63" i="14"/>
  <c r="J63" i="14"/>
  <c r="I63" i="14"/>
  <c r="H63" i="14"/>
  <c r="G63" i="14"/>
  <c r="F63" i="14"/>
  <c r="E63" i="14"/>
  <c r="D63" i="14"/>
  <c r="C63" i="14"/>
  <c r="B63" i="14"/>
  <c r="A63" i="14"/>
  <c r="K62" i="14"/>
  <c r="J62" i="14"/>
  <c r="I62" i="14"/>
  <c r="H62" i="14"/>
  <c r="G62" i="14"/>
  <c r="F62" i="14"/>
  <c r="E62" i="14"/>
  <c r="D62" i="14"/>
  <c r="C62" i="14"/>
  <c r="B62" i="14"/>
  <c r="A62" i="14"/>
  <c r="K61" i="14"/>
  <c r="J61" i="14"/>
  <c r="I61" i="14"/>
  <c r="H61" i="14"/>
  <c r="G61" i="14"/>
  <c r="F61" i="14"/>
  <c r="E61" i="14"/>
  <c r="D61" i="14"/>
  <c r="C61" i="14"/>
  <c r="B61" i="14"/>
  <c r="A61" i="14"/>
  <c r="K60" i="14"/>
  <c r="J60" i="14"/>
  <c r="I60" i="14"/>
  <c r="H60" i="14"/>
  <c r="G60" i="14"/>
  <c r="F60" i="14"/>
  <c r="E60" i="14"/>
  <c r="D60" i="14"/>
  <c r="C60" i="14"/>
  <c r="B60" i="14"/>
  <c r="A60" i="14"/>
  <c r="K59" i="14"/>
  <c r="J59" i="14"/>
  <c r="I59" i="14"/>
  <c r="H59" i="14"/>
  <c r="G59" i="14"/>
  <c r="F59" i="14"/>
  <c r="E59" i="14"/>
  <c r="D59" i="14"/>
  <c r="C59" i="14"/>
  <c r="B59" i="14"/>
  <c r="A59" i="14"/>
  <c r="K58" i="14"/>
  <c r="J58" i="14"/>
  <c r="I58" i="14"/>
  <c r="H58" i="14"/>
  <c r="G58" i="14"/>
  <c r="F58" i="14"/>
  <c r="E58" i="14"/>
  <c r="D58" i="14"/>
  <c r="C58" i="14"/>
  <c r="B58" i="14"/>
  <c r="A58" i="14"/>
  <c r="K57" i="14"/>
  <c r="J57" i="14"/>
  <c r="I57" i="14"/>
  <c r="H57" i="14"/>
  <c r="G57" i="14"/>
  <c r="F57" i="14"/>
  <c r="E57" i="14"/>
  <c r="D57" i="14"/>
  <c r="C57" i="14"/>
  <c r="B57" i="14"/>
  <c r="A57" i="14"/>
  <c r="K56" i="14"/>
  <c r="J56" i="14"/>
  <c r="I56" i="14"/>
  <c r="H56" i="14"/>
  <c r="G56" i="14"/>
  <c r="F56" i="14"/>
  <c r="E56" i="14"/>
  <c r="D56" i="14"/>
  <c r="C56" i="14"/>
  <c r="B56" i="14"/>
  <c r="A56" i="14"/>
  <c r="K55" i="14"/>
  <c r="J55" i="14"/>
  <c r="I55" i="14"/>
  <c r="H55" i="14"/>
  <c r="G55" i="14"/>
  <c r="F55" i="14"/>
  <c r="E55" i="14"/>
  <c r="D55" i="14"/>
  <c r="C55" i="14"/>
  <c r="B55" i="14"/>
  <c r="A55" i="14"/>
  <c r="K54" i="14"/>
  <c r="J54" i="14"/>
  <c r="I54" i="14"/>
  <c r="H54" i="14"/>
  <c r="G54" i="14"/>
  <c r="F54" i="14"/>
  <c r="E54" i="14"/>
  <c r="D54" i="14"/>
  <c r="C54" i="14"/>
  <c r="B54" i="14"/>
  <c r="A54" i="14"/>
  <c r="K53" i="14"/>
  <c r="J53" i="14"/>
  <c r="I53" i="14"/>
  <c r="H53" i="14"/>
  <c r="G53" i="14"/>
  <c r="F53" i="14"/>
  <c r="E53" i="14"/>
  <c r="D53" i="14"/>
  <c r="C53" i="14"/>
  <c r="B53" i="14"/>
  <c r="A53" i="14"/>
  <c r="K52" i="14"/>
  <c r="J52" i="14"/>
  <c r="I52" i="14"/>
  <c r="H52" i="14"/>
  <c r="G52" i="14"/>
  <c r="F52" i="14"/>
  <c r="E52" i="14"/>
  <c r="D52" i="14"/>
  <c r="C52" i="14"/>
  <c r="B52" i="14"/>
  <c r="A52" i="14"/>
  <c r="K51" i="14"/>
  <c r="J51" i="14"/>
  <c r="I51" i="14"/>
  <c r="H51" i="14"/>
  <c r="G51" i="14"/>
  <c r="F51" i="14"/>
  <c r="E51" i="14"/>
  <c r="D51" i="14"/>
  <c r="C51" i="14"/>
  <c r="B51" i="14"/>
  <c r="A51" i="14"/>
  <c r="K50" i="14"/>
  <c r="J50" i="14"/>
  <c r="I50" i="14"/>
  <c r="H50" i="14"/>
  <c r="G50" i="14"/>
  <c r="F50" i="14"/>
  <c r="E50" i="14"/>
  <c r="D50" i="14"/>
  <c r="C50" i="14"/>
  <c r="B50" i="14"/>
  <c r="A50" i="14"/>
  <c r="K49" i="14"/>
  <c r="J49" i="14"/>
  <c r="I49" i="14"/>
  <c r="H49" i="14"/>
  <c r="G49" i="14"/>
  <c r="F49" i="14"/>
  <c r="E49" i="14"/>
  <c r="D49" i="14"/>
  <c r="C49" i="14"/>
  <c r="B49" i="14"/>
  <c r="A49" i="14"/>
  <c r="K48" i="14"/>
  <c r="J48" i="14"/>
  <c r="I48" i="14"/>
  <c r="H48" i="14"/>
  <c r="G48" i="14"/>
  <c r="F48" i="14"/>
  <c r="E48" i="14"/>
  <c r="D48" i="14"/>
  <c r="C48" i="14"/>
  <c r="B48" i="14"/>
  <c r="A48" i="14"/>
  <c r="K47" i="14"/>
  <c r="J47" i="14"/>
  <c r="I47" i="14"/>
  <c r="H47" i="14"/>
  <c r="G47" i="14"/>
  <c r="F47" i="14"/>
  <c r="E47" i="14"/>
  <c r="D47" i="14"/>
  <c r="C47" i="14"/>
  <c r="B47" i="14"/>
  <c r="A47" i="14"/>
  <c r="K46" i="14"/>
  <c r="J46" i="14"/>
  <c r="I46" i="14"/>
  <c r="H46" i="14"/>
  <c r="G46" i="14"/>
  <c r="F46" i="14"/>
  <c r="E46" i="14"/>
  <c r="D46" i="14"/>
  <c r="C46" i="14"/>
  <c r="B46" i="14"/>
  <c r="A46" i="14"/>
  <c r="K45" i="14"/>
  <c r="J45" i="14"/>
  <c r="I45" i="14"/>
  <c r="H45" i="14"/>
  <c r="G45" i="14"/>
  <c r="F45" i="14"/>
  <c r="E45" i="14"/>
  <c r="D45" i="14"/>
  <c r="C45" i="14"/>
  <c r="B45" i="14"/>
  <c r="A45" i="14"/>
  <c r="K44" i="14"/>
  <c r="J44" i="14"/>
  <c r="I44" i="14"/>
  <c r="H44" i="14"/>
  <c r="G44" i="14"/>
  <c r="F44" i="14"/>
  <c r="E44" i="14"/>
  <c r="D44" i="14"/>
  <c r="C44" i="14"/>
  <c r="B44" i="14"/>
  <c r="A44" i="14"/>
  <c r="K43" i="14"/>
  <c r="J43" i="14"/>
  <c r="I43" i="14"/>
  <c r="H43" i="14"/>
  <c r="G43" i="14"/>
  <c r="F43" i="14"/>
  <c r="E43" i="14"/>
  <c r="D43" i="14"/>
  <c r="C43" i="14"/>
  <c r="B43" i="14"/>
  <c r="A43" i="14"/>
  <c r="K42" i="14"/>
  <c r="J42" i="14"/>
  <c r="I42" i="14"/>
  <c r="H42" i="14"/>
  <c r="G42" i="14"/>
  <c r="F42" i="14"/>
  <c r="E42" i="14"/>
  <c r="D42" i="14"/>
  <c r="C42" i="14"/>
  <c r="B42" i="14"/>
  <c r="A42" i="14"/>
  <c r="K41" i="14"/>
  <c r="J41" i="14"/>
  <c r="I41" i="14"/>
  <c r="H41" i="14"/>
  <c r="G41" i="14"/>
  <c r="F41" i="14"/>
  <c r="E41" i="14"/>
  <c r="D41" i="14"/>
  <c r="C41" i="14"/>
  <c r="B41" i="14"/>
  <c r="A41" i="14"/>
  <c r="K40" i="14"/>
  <c r="J40" i="14"/>
  <c r="I40" i="14"/>
  <c r="H40" i="14"/>
  <c r="G40" i="14"/>
  <c r="F40" i="14"/>
  <c r="E40" i="14"/>
  <c r="D40" i="14"/>
  <c r="C40" i="14"/>
  <c r="B40" i="14"/>
  <c r="A40" i="14"/>
  <c r="K39" i="14"/>
  <c r="J39" i="14"/>
  <c r="I39" i="14"/>
  <c r="H39" i="14"/>
  <c r="G39" i="14"/>
  <c r="F39" i="14"/>
  <c r="E39" i="14"/>
  <c r="D39" i="14"/>
  <c r="C39" i="14"/>
  <c r="B39" i="14"/>
  <c r="A39" i="14"/>
  <c r="K38" i="14"/>
  <c r="J38" i="14"/>
  <c r="I38" i="14"/>
  <c r="H38" i="14"/>
  <c r="G38" i="14"/>
  <c r="F38" i="14"/>
  <c r="E38" i="14"/>
  <c r="D38" i="14"/>
  <c r="C38" i="14"/>
  <c r="B38" i="14"/>
  <c r="A38" i="14"/>
  <c r="K37" i="14"/>
  <c r="J37" i="14"/>
  <c r="I37" i="14"/>
  <c r="H37" i="14"/>
  <c r="G37" i="14"/>
  <c r="F37" i="14"/>
  <c r="E37" i="14"/>
  <c r="D37" i="14"/>
  <c r="C37" i="14"/>
  <c r="B37" i="14"/>
  <c r="A37" i="14"/>
  <c r="K36" i="14"/>
  <c r="J36" i="14"/>
  <c r="I36" i="14"/>
  <c r="H36" i="14"/>
  <c r="G36" i="14"/>
  <c r="F36" i="14"/>
  <c r="E36" i="14"/>
  <c r="D36" i="14"/>
  <c r="C36" i="14"/>
  <c r="B36" i="14"/>
  <c r="A36" i="14"/>
  <c r="K35" i="14"/>
  <c r="J35" i="14"/>
  <c r="I35" i="14"/>
  <c r="H35" i="14"/>
  <c r="G35" i="14"/>
  <c r="F35" i="14"/>
  <c r="E35" i="14"/>
  <c r="D35" i="14"/>
  <c r="C35" i="14"/>
  <c r="B35" i="14"/>
  <c r="A35" i="14"/>
  <c r="K34" i="14"/>
  <c r="J34" i="14"/>
  <c r="I34" i="14"/>
  <c r="H34" i="14"/>
  <c r="G34" i="14"/>
  <c r="F34" i="14"/>
  <c r="E34" i="14"/>
  <c r="D34" i="14"/>
  <c r="C34" i="14"/>
  <c r="B34" i="14"/>
  <c r="A34" i="14"/>
  <c r="K33" i="14"/>
  <c r="J33" i="14"/>
  <c r="I33" i="14"/>
  <c r="H33" i="14"/>
  <c r="G33" i="14"/>
  <c r="F33" i="14"/>
  <c r="E33" i="14"/>
  <c r="D33" i="14"/>
  <c r="C33" i="14"/>
  <c r="B33" i="14"/>
  <c r="A33" i="14"/>
  <c r="K32" i="14"/>
  <c r="J32" i="14"/>
  <c r="I32" i="14"/>
  <c r="H32" i="14"/>
  <c r="G32" i="14"/>
  <c r="F32" i="14"/>
  <c r="E32" i="14"/>
  <c r="D32" i="14"/>
  <c r="C32" i="14"/>
  <c r="B32" i="14"/>
  <c r="A32" i="14"/>
  <c r="K31" i="14"/>
  <c r="J31" i="14"/>
  <c r="I31" i="14"/>
  <c r="H31" i="14"/>
  <c r="G31" i="14"/>
  <c r="F31" i="14"/>
  <c r="E31" i="14"/>
  <c r="D31" i="14"/>
  <c r="C31" i="14"/>
  <c r="B31" i="14"/>
  <c r="A31" i="14"/>
  <c r="K30" i="14"/>
  <c r="J30" i="14"/>
  <c r="I30" i="14"/>
  <c r="H30" i="14"/>
  <c r="G30" i="14"/>
  <c r="F30" i="14"/>
  <c r="E30" i="14"/>
  <c r="D30" i="14"/>
  <c r="C30" i="14"/>
  <c r="B30" i="14"/>
  <c r="A30" i="14"/>
  <c r="K29" i="14"/>
  <c r="J29" i="14"/>
  <c r="I29" i="14"/>
  <c r="H29" i="14"/>
  <c r="G29" i="14"/>
  <c r="F29" i="14"/>
  <c r="E29" i="14"/>
  <c r="D29" i="14"/>
  <c r="C29" i="14"/>
  <c r="B29" i="14"/>
  <c r="A29" i="14"/>
  <c r="K28" i="14"/>
  <c r="J28" i="14"/>
  <c r="I28" i="14"/>
  <c r="H28" i="14"/>
  <c r="G28" i="14"/>
  <c r="F28" i="14"/>
  <c r="E28" i="14"/>
  <c r="D28" i="14"/>
  <c r="C28" i="14"/>
  <c r="B28" i="14"/>
  <c r="A28" i="14"/>
  <c r="K27" i="14"/>
  <c r="J27" i="14"/>
  <c r="I27" i="14"/>
  <c r="H27" i="14"/>
  <c r="G27" i="14"/>
  <c r="F27" i="14"/>
  <c r="E27" i="14"/>
  <c r="D27" i="14"/>
  <c r="C27" i="14"/>
  <c r="B27" i="14"/>
  <c r="A27" i="14"/>
  <c r="K26" i="14"/>
  <c r="J26" i="14"/>
  <c r="I26" i="14"/>
  <c r="H26" i="14"/>
  <c r="G26" i="14"/>
  <c r="F26" i="14"/>
  <c r="E26" i="14"/>
  <c r="D26" i="14"/>
  <c r="C26" i="14"/>
  <c r="B26" i="14"/>
  <c r="A26" i="14"/>
  <c r="K25" i="14"/>
  <c r="J25" i="14"/>
  <c r="I25" i="14"/>
  <c r="H25" i="14"/>
  <c r="G25" i="14"/>
  <c r="F25" i="14"/>
  <c r="E25" i="14"/>
  <c r="D25" i="14"/>
  <c r="C25" i="14"/>
  <c r="B25" i="14"/>
  <c r="A25" i="14"/>
  <c r="K24" i="14"/>
  <c r="J24" i="14"/>
  <c r="I24" i="14"/>
  <c r="H24" i="14"/>
  <c r="G24" i="14"/>
  <c r="F24" i="14"/>
  <c r="E24" i="14"/>
  <c r="D24" i="14"/>
  <c r="C24" i="14"/>
  <c r="B24" i="14"/>
  <c r="A24" i="14"/>
  <c r="K23" i="14"/>
  <c r="J23" i="14"/>
  <c r="I23" i="14"/>
  <c r="H23" i="14"/>
  <c r="G23" i="14"/>
  <c r="F23" i="14"/>
  <c r="E23" i="14"/>
  <c r="D23" i="14"/>
  <c r="C23" i="14"/>
  <c r="B23" i="14"/>
  <c r="A23" i="14"/>
  <c r="K22" i="14"/>
  <c r="J22" i="14"/>
  <c r="I22" i="14"/>
  <c r="H22" i="14"/>
  <c r="G22" i="14"/>
  <c r="F22" i="14"/>
  <c r="E22" i="14"/>
  <c r="D22" i="14"/>
  <c r="C22" i="14"/>
  <c r="B22" i="14"/>
  <c r="A22" i="14"/>
  <c r="K21" i="14"/>
  <c r="J21" i="14"/>
  <c r="I21" i="14"/>
  <c r="H21" i="14"/>
  <c r="G21" i="14"/>
  <c r="F21" i="14"/>
  <c r="E21" i="14"/>
  <c r="D21" i="14"/>
  <c r="C21" i="14"/>
  <c r="B21" i="14"/>
  <c r="A21" i="14"/>
  <c r="K20" i="14"/>
  <c r="J20" i="14"/>
  <c r="I20" i="14"/>
  <c r="H20" i="14"/>
  <c r="G20" i="14"/>
  <c r="F20" i="14"/>
  <c r="E20" i="14"/>
  <c r="D20" i="14"/>
  <c r="C20" i="14"/>
  <c r="B20" i="14"/>
  <c r="A20" i="14"/>
  <c r="K19" i="14"/>
  <c r="J19" i="14"/>
  <c r="I19" i="14"/>
  <c r="H19" i="14"/>
  <c r="G19" i="14"/>
  <c r="F19" i="14"/>
  <c r="E19" i="14"/>
  <c r="D19" i="14"/>
  <c r="C19" i="14"/>
  <c r="B19" i="14"/>
  <c r="A19" i="14"/>
  <c r="K18" i="14"/>
  <c r="J18" i="14"/>
  <c r="I18" i="14"/>
  <c r="H18" i="14"/>
  <c r="G18" i="14"/>
  <c r="F18" i="14"/>
  <c r="E18" i="14"/>
  <c r="D18" i="14"/>
  <c r="C18" i="14"/>
  <c r="B18" i="14"/>
  <c r="A18" i="14"/>
  <c r="K17" i="14"/>
  <c r="J17" i="14"/>
  <c r="I17" i="14"/>
  <c r="H17" i="14"/>
  <c r="G17" i="14"/>
  <c r="F17" i="14"/>
  <c r="E17" i="14"/>
  <c r="D17" i="14"/>
  <c r="C17" i="14"/>
  <c r="B17" i="14"/>
  <c r="A17" i="14"/>
  <c r="K16" i="14"/>
  <c r="J16" i="14"/>
  <c r="I16" i="14"/>
  <c r="H16" i="14"/>
  <c r="G16" i="14"/>
  <c r="F16" i="14"/>
  <c r="E16" i="14"/>
  <c r="D16" i="14"/>
  <c r="C16" i="14"/>
  <c r="B16" i="14"/>
  <c r="A16" i="14"/>
  <c r="K15" i="14"/>
  <c r="J15" i="14"/>
  <c r="I15" i="14"/>
  <c r="H15" i="14"/>
  <c r="G15" i="14"/>
  <c r="F15" i="14"/>
  <c r="E15" i="14"/>
  <c r="D15" i="14"/>
  <c r="C15" i="14"/>
  <c r="B15" i="14"/>
  <c r="A15" i="14"/>
  <c r="K14" i="14"/>
  <c r="J14" i="14"/>
  <c r="I14" i="14"/>
  <c r="H14" i="14"/>
  <c r="G14" i="14"/>
  <c r="F14" i="14"/>
  <c r="E14" i="14"/>
  <c r="D14" i="14"/>
  <c r="C14" i="14"/>
  <c r="B14" i="14"/>
  <c r="A14" i="14"/>
  <c r="K13" i="14"/>
  <c r="J13" i="14"/>
  <c r="I13" i="14"/>
  <c r="H13" i="14"/>
  <c r="G13" i="14"/>
  <c r="F13" i="14"/>
  <c r="E13" i="14"/>
  <c r="D13" i="14"/>
  <c r="C13" i="14"/>
  <c r="B13" i="14"/>
  <c r="A13" i="14"/>
  <c r="K12" i="14"/>
  <c r="J12" i="14"/>
  <c r="I12" i="14"/>
  <c r="H12" i="14"/>
  <c r="G12" i="14"/>
  <c r="F12" i="14"/>
  <c r="E12" i="14"/>
  <c r="D12" i="14"/>
  <c r="C12" i="14"/>
  <c r="B12" i="14"/>
  <c r="A12" i="14"/>
  <c r="K11" i="14"/>
  <c r="J11" i="14"/>
  <c r="I11" i="14"/>
  <c r="H11" i="14"/>
  <c r="G11" i="14"/>
  <c r="F11" i="14"/>
  <c r="E11" i="14"/>
  <c r="D11" i="14"/>
  <c r="C11" i="14"/>
  <c r="B11" i="14"/>
  <c r="A11" i="14"/>
  <c r="K10" i="14"/>
  <c r="J10" i="14"/>
  <c r="I10" i="14"/>
  <c r="H10" i="14"/>
  <c r="G10" i="14"/>
  <c r="F10" i="14"/>
  <c r="E10" i="14"/>
  <c r="D10" i="14"/>
  <c r="C10" i="14"/>
  <c r="B10" i="14"/>
  <c r="A10" i="14"/>
  <c r="K9" i="14"/>
  <c r="J9" i="14"/>
  <c r="I9" i="14"/>
  <c r="H9" i="14"/>
  <c r="G9" i="14"/>
  <c r="F9" i="14"/>
  <c r="E9" i="14"/>
  <c r="D9" i="14"/>
  <c r="C9" i="14"/>
  <c r="B9" i="14"/>
  <c r="A9" i="14"/>
  <c r="K8" i="14"/>
  <c r="J8" i="14"/>
  <c r="I8" i="14"/>
  <c r="H8" i="14"/>
  <c r="G8" i="14"/>
  <c r="F8" i="14"/>
  <c r="E8" i="14"/>
  <c r="D8" i="14"/>
  <c r="C8" i="14"/>
  <c r="B8" i="14"/>
  <c r="A8" i="14"/>
  <c r="K7" i="14"/>
  <c r="J7" i="14"/>
  <c r="I7" i="14"/>
  <c r="H7" i="14"/>
  <c r="G7" i="14"/>
  <c r="F7" i="14"/>
  <c r="E7" i="14"/>
  <c r="D7" i="14"/>
  <c r="C7" i="14"/>
  <c r="B7" i="14"/>
  <c r="A7" i="14"/>
  <c r="K6" i="14"/>
  <c r="J6" i="14"/>
  <c r="I6" i="14"/>
  <c r="H6" i="14"/>
  <c r="G6" i="14"/>
  <c r="F6" i="14"/>
  <c r="E6" i="14"/>
  <c r="D6" i="14"/>
  <c r="C6" i="14"/>
  <c r="B6" i="14"/>
  <c r="A6" i="14"/>
  <c r="K5" i="14"/>
  <c r="J5" i="14"/>
  <c r="I5" i="14"/>
  <c r="H5" i="14"/>
  <c r="G5" i="14"/>
  <c r="F5" i="14"/>
  <c r="E5" i="14"/>
  <c r="D5" i="14"/>
  <c r="C5" i="14"/>
  <c r="B5" i="14"/>
  <c r="A5" i="14"/>
  <c r="K4" i="14"/>
  <c r="J4" i="14"/>
  <c r="I4" i="14"/>
  <c r="H4" i="14"/>
  <c r="G4" i="14"/>
  <c r="F4" i="14"/>
  <c r="E4" i="14"/>
  <c r="D4" i="14"/>
  <c r="C4" i="14"/>
  <c r="B4" i="14"/>
  <c r="A4" i="14"/>
  <c r="K3" i="14"/>
  <c r="J3" i="14"/>
  <c r="I3" i="14"/>
  <c r="H3" i="14"/>
  <c r="G3" i="14"/>
  <c r="F3" i="14"/>
  <c r="E3" i="14"/>
  <c r="D3" i="14"/>
  <c r="C3" i="14"/>
  <c r="B3" i="14"/>
  <c r="A3" i="14"/>
  <c r="K2" i="14"/>
  <c r="J2" i="14"/>
  <c r="I2" i="14"/>
  <c r="H2" i="14"/>
  <c r="G2" i="14"/>
  <c r="F2" i="14"/>
  <c r="E2" i="14"/>
  <c r="D2" i="14"/>
  <c r="C2" i="14"/>
  <c r="B2" i="14"/>
  <c r="A2" i="1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H3" i="4"/>
  <c r="I3" i="4"/>
  <c r="J3" i="4"/>
  <c r="K3" i="4"/>
  <c r="G3"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K135" i="3"/>
  <c r="C135" i="3"/>
  <c r="D135" i="3"/>
  <c r="E135" i="3"/>
  <c r="F135" i="3"/>
  <c r="G135" i="3"/>
  <c r="H135" i="3"/>
  <c r="I135" i="3"/>
  <c r="J135" i="3"/>
  <c r="B135" i="3"/>
  <c r="K2" i="3"/>
  <c r="J2" i="3"/>
  <c r="I2" i="3"/>
  <c r="H2" i="3"/>
  <c r="G2" i="3"/>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828" i="2"/>
  <c r="C827"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E690"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D828" i="2"/>
  <c r="D553" i="2"/>
  <c r="D415" i="2"/>
  <c r="D278" i="2"/>
  <c r="D141" i="2"/>
  <c r="E8" i="23" l="1"/>
  <c r="D9" i="23"/>
  <c r="F7" i="23"/>
  <c r="F2" i="3"/>
  <c r="E2" i="3"/>
  <c r="D2" i="3"/>
  <c r="C2" i="3"/>
  <c r="B2" i="3"/>
  <c r="A3" i="3"/>
  <c r="K3" i="3" s="1"/>
  <c r="E9" i="23" l="1"/>
  <c r="F8" i="23"/>
  <c r="F9" i="23"/>
  <c r="D10" i="23"/>
  <c r="G8" i="23"/>
  <c r="G9" i="23" s="1"/>
  <c r="I3" i="3"/>
  <c r="J3" i="3"/>
  <c r="G3" i="3"/>
  <c r="H3" i="3"/>
  <c r="C3" i="3"/>
  <c r="A4" i="3"/>
  <c r="K4" i="3" s="1"/>
  <c r="D3" i="3"/>
  <c r="E3" i="3"/>
  <c r="F3" i="3"/>
  <c r="B3" i="3"/>
  <c r="D11" i="23" l="1"/>
  <c r="E10" i="23"/>
  <c r="E11" i="23" s="1"/>
  <c r="I4" i="3"/>
  <c r="J4" i="3"/>
  <c r="G4" i="3"/>
  <c r="H4" i="3"/>
  <c r="C3" i="4"/>
  <c r="F3" i="4"/>
  <c r="D3" i="4"/>
  <c r="A5" i="3"/>
  <c r="K5" i="3" s="1"/>
  <c r="D4" i="3"/>
  <c r="B4" i="3"/>
  <c r="F4" i="3"/>
  <c r="E4" i="3"/>
  <c r="C4" i="3"/>
  <c r="B3" i="4"/>
  <c r="E3" i="4"/>
  <c r="F10" i="23" l="1"/>
  <c r="D12" i="23"/>
  <c r="F11" i="23"/>
  <c r="G10" i="23"/>
  <c r="G11" i="23" s="1"/>
  <c r="I5" i="3"/>
  <c r="J5" i="3"/>
  <c r="G5" i="3"/>
  <c r="H5" i="3"/>
  <c r="C4" i="4"/>
  <c r="E4" i="4"/>
  <c r="F4" i="4"/>
  <c r="B4" i="4"/>
  <c r="D4" i="4"/>
  <c r="A6" i="3"/>
  <c r="K6" i="3" s="1"/>
  <c r="D5" i="3"/>
  <c r="F5" i="3"/>
  <c r="C5" i="3"/>
  <c r="B5" i="3"/>
  <c r="E5" i="3"/>
  <c r="D13" i="23" l="1"/>
  <c r="E12" i="23"/>
  <c r="E13" i="23" s="1"/>
  <c r="I6" i="3"/>
  <c r="J6" i="3"/>
  <c r="G6" i="3"/>
  <c r="H6" i="3"/>
  <c r="E5" i="4"/>
  <c r="B5" i="4"/>
  <c r="D5" i="4"/>
  <c r="A7" i="3"/>
  <c r="K7" i="3" s="1"/>
  <c r="D6" i="3"/>
  <c r="C6" i="3"/>
  <c r="F6" i="3"/>
  <c r="B6" i="3"/>
  <c r="E6" i="3"/>
  <c r="C5" i="4"/>
  <c r="F5" i="4"/>
  <c r="G12" i="23" l="1"/>
  <c r="F12" i="23"/>
  <c r="D14" i="23"/>
  <c r="F13" i="23"/>
  <c r="G13" i="23"/>
  <c r="I7" i="3"/>
  <c r="J7" i="3"/>
  <c r="G7" i="3"/>
  <c r="H7" i="3"/>
  <c r="E6" i="4"/>
  <c r="B6" i="4"/>
  <c r="F6" i="4"/>
  <c r="C6" i="4"/>
  <c r="D6" i="4"/>
  <c r="A8" i="3"/>
  <c r="K8" i="3" s="1"/>
  <c r="D7" i="3"/>
  <c r="E7" i="3"/>
  <c r="C7" i="3"/>
  <c r="F7" i="3"/>
  <c r="B7" i="3"/>
  <c r="D15" i="23" l="1"/>
  <c r="E14" i="23"/>
  <c r="E15" i="23" s="1"/>
  <c r="I8" i="3"/>
  <c r="J8" i="3"/>
  <c r="G8" i="3"/>
  <c r="H8" i="3"/>
  <c r="B7" i="4"/>
  <c r="F7" i="4"/>
  <c r="C7" i="4"/>
  <c r="E7" i="4"/>
  <c r="D7" i="4"/>
  <c r="A9" i="3"/>
  <c r="K9" i="3" s="1"/>
  <c r="B8" i="3"/>
  <c r="E8" i="3"/>
  <c r="C8" i="3"/>
  <c r="F8" i="3"/>
  <c r="D8" i="3"/>
  <c r="G14" i="23" l="1"/>
  <c r="G15" i="23" s="1"/>
  <c r="F14" i="23"/>
  <c r="D16" i="23"/>
  <c r="F15" i="23"/>
  <c r="I9" i="3"/>
  <c r="J9" i="3"/>
  <c r="G9" i="3"/>
  <c r="H9" i="3"/>
  <c r="D8" i="4"/>
  <c r="F8" i="4"/>
  <c r="C8" i="4"/>
  <c r="E8" i="4"/>
  <c r="B8" i="4"/>
  <c r="A10" i="3"/>
  <c r="K10" i="3" s="1"/>
  <c r="F9" i="3"/>
  <c r="D9" i="3"/>
  <c r="B9" i="3"/>
  <c r="E9" i="3"/>
  <c r="C9" i="3"/>
  <c r="D17" i="23" l="1"/>
  <c r="E16" i="23"/>
  <c r="E17" i="23" s="1"/>
  <c r="I10" i="3"/>
  <c r="J10" i="3"/>
  <c r="G10" i="3"/>
  <c r="H10" i="3"/>
  <c r="C9" i="4"/>
  <c r="E9" i="4"/>
  <c r="B9" i="4"/>
  <c r="D9" i="4"/>
  <c r="F9" i="4"/>
  <c r="A11" i="3"/>
  <c r="K11" i="3" s="1"/>
  <c r="C10" i="3"/>
  <c r="F10" i="3"/>
  <c r="D10" i="3"/>
  <c r="B10" i="3"/>
  <c r="E10" i="3"/>
  <c r="F16" i="23" l="1"/>
  <c r="D18" i="23"/>
  <c r="F17" i="23"/>
  <c r="G17" i="23"/>
  <c r="G16" i="23"/>
  <c r="I11" i="3"/>
  <c r="J11" i="3"/>
  <c r="G11" i="3"/>
  <c r="H11" i="3"/>
  <c r="F10" i="4"/>
  <c r="C10" i="4"/>
  <c r="A12" i="3"/>
  <c r="K12" i="3" s="1"/>
  <c r="C11" i="3"/>
  <c r="F11" i="3"/>
  <c r="D11" i="3"/>
  <c r="B11" i="3"/>
  <c r="E11" i="3"/>
  <c r="E10" i="4"/>
  <c r="B10" i="4"/>
  <c r="D10" i="4"/>
  <c r="D19" i="23" l="1"/>
  <c r="E18" i="23"/>
  <c r="E19" i="23" s="1"/>
  <c r="I12" i="3"/>
  <c r="J12" i="3"/>
  <c r="G12" i="3"/>
  <c r="H12" i="3"/>
  <c r="F11" i="4"/>
  <c r="C11" i="4"/>
  <c r="E11" i="4"/>
  <c r="B11" i="4"/>
  <c r="D11" i="4"/>
  <c r="A13" i="3"/>
  <c r="K13" i="3" s="1"/>
  <c r="C12" i="3"/>
  <c r="F12" i="3"/>
  <c r="D12" i="3"/>
  <c r="B12" i="3"/>
  <c r="E12" i="3"/>
  <c r="F18" i="23" l="1"/>
  <c r="G18" i="23"/>
  <c r="D20" i="23"/>
  <c r="G19" i="23"/>
  <c r="F19" i="23"/>
  <c r="I13" i="3"/>
  <c r="J13" i="3"/>
  <c r="G13" i="3"/>
  <c r="H13" i="3"/>
  <c r="B12" i="4"/>
  <c r="D12" i="4"/>
  <c r="F12" i="4"/>
  <c r="C12" i="4"/>
  <c r="A14" i="3"/>
  <c r="K14" i="3" s="1"/>
  <c r="C13" i="3"/>
  <c r="F13" i="3"/>
  <c r="D13" i="3"/>
  <c r="B13" i="3"/>
  <c r="E13" i="3"/>
  <c r="E12" i="4"/>
  <c r="D21" i="23" l="1"/>
  <c r="E20" i="23"/>
  <c r="E21" i="23" s="1"/>
  <c r="I14" i="3"/>
  <c r="J14" i="3"/>
  <c r="G14" i="3"/>
  <c r="H14" i="3"/>
  <c r="B13" i="4"/>
  <c r="D13" i="4"/>
  <c r="F13" i="4"/>
  <c r="C13" i="4"/>
  <c r="A15" i="3"/>
  <c r="K15" i="3" s="1"/>
  <c r="C14" i="3"/>
  <c r="F14" i="3"/>
  <c r="D14" i="3"/>
  <c r="B14" i="3"/>
  <c r="E14" i="3"/>
  <c r="E13" i="4"/>
  <c r="F20" i="23" l="1"/>
  <c r="G20" i="23"/>
  <c r="D22" i="23"/>
  <c r="G21" i="23"/>
  <c r="F21" i="23"/>
  <c r="I15" i="3"/>
  <c r="J15" i="3"/>
  <c r="G15" i="3"/>
  <c r="H15" i="3"/>
  <c r="B14" i="4"/>
  <c r="D14" i="4"/>
  <c r="F14" i="4"/>
  <c r="C14" i="4"/>
  <c r="A16" i="3"/>
  <c r="K16" i="3" s="1"/>
  <c r="C15" i="3"/>
  <c r="F15" i="3"/>
  <c r="D15" i="3"/>
  <c r="B15" i="3"/>
  <c r="E15" i="3"/>
  <c r="E14" i="4"/>
  <c r="D23" i="23" l="1"/>
  <c r="E22" i="23"/>
  <c r="E23" i="23" s="1"/>
  <c r="I16" i="3"/>
  <c r="J16" i="3"/>
  <c r="G16" i="3"/>
  <c r="H16" i="3"/>
  <c r="E15" i="4"/>
  <c r="B15" i="4"/>
  <c r="D15" i="4"/>
  <c r="F15" i="4"/>
  <c r="C15" i="4"/>
  <c r="A17" i="3"/>
  <c r="K17" i="3" s="1"/>
  <c r="E16" i="3"/>
  <c r="C16" i="3"/>
  <c r="F16" i="3"/>
  <c r="D16" i="3"/>
  <c r="B16" i="3"/>
  <c r="F22" i="23" l="1"/>
  <c r="G22" i="23"/>
  <c r="D24" i="23"/>
  <c r="G23" i="23"/>
  <c r="F23" i="23"/>
  <c r="I17" i="3"/>
  <c r="J17" i="3"/>
  <c r="G17" i="3"/>
  <c r="H17" i="3"/>
  <c r="B16" i="4"/>
  <c r="D16" i="4"/>
  <c r="F16" i="4"/>
  <c r="C16" i="4"/>
  <c r="E16" i="4"/>
  <c r="A18" i="3"/>
  <c r="K18" i="3" s="1"/>
  <c r="B17" i="3"/>
  <c r="E17" i="3"/>
  <c r="C17" i="3"/>
  <c r="F17" i="3"/>
  <c r="D17" i="3"/>
  <c r="D25" i="23" l="1"/>
  <c r="E24" i="23"/>
  <c r="E25" i="23" s="1"/>
  <c r="I18" i="3"/>
  <c r="J18" i="3"/>
  <c r="G18" i="3"/>
  <c r="H18" i="3"/>
  <c r="F17" i="4"/>
  <c r="C17" i="4"/>
  <c r="E17" i="4"/>
  <c r="B17" i="4"/>
  <c r="A19" i="3"/>
  <c r="K19" i="3" s="1"/>
  <c r="B18" i="3"/>
  <c r="E18" i="3"/>
  <c r="C18" i="3"/>
  <c r="F18" i="3"/>
  <c r="D18" i="3"/>
  <c r="D17" i="4"/>
  <c r="F24" i="23" l="1"/>
  <c r="G24" i="23"/>
  <c r="D26" i="23"/>
  <c r="G25" i="23"/>
  <c r="F25" i="23"/>
  <c r="I19" i="3"/>
  <c r="J19" i="3"/>
  <c r="G19" i="3"/>
  <c r="H19" i="3"/>
  <c r="D18" i="4"/>
  <c r="F18" i="4"/>
  <c r="C18" i="4"/>
  <c r="E18" i="4"/>
  <c r="B18" i="4"/>
  <c r="A20" i="3"/>
  <c r="K20" i="3" s="1"/>
  <c r="B19" i="3"/>
  <c r="E19" i="3"/>
  <c r="C19" i="3"/>
  <c r="F19" i="3"/>
  <c r="D19" i="3"/>
  <c r="D27" i="23" l="1"/>
  <c r="E26" i="23"/>
  <c r="E27" i="23" s="1"/>
  <c r="I20" i="3"/>
  <c r="J20" i="3"/>
  <c r="G20" i="3"/>
  <c r="H20" i="3"/>
  <c r="D19" i="4"/>
  <c r="F19" i="4"/>
  <c r="C19" i="4"/>
  <c r="E19" i="4"/>
  <c r="B19" i="4"/>
  <c r="A21" i="3"/>
  <c r="K21" i="3" s="1"/>
  <c r="B20" i="3"/>
  <c r="E20" i="3"/>
  <c r="C20" i="3"/>
  <c r="F20" i="3"/>
  <c r="D20" i="3"/>
  <c r="F26" i="23" l="1"/>
  <c r="G26" i="23"/>
  <c r="D28" i="23"/>
  <c r="G27" i="23"/>
  <c r="F27" i="23"/>
  <c r="I21" i="3"/>
  <c r="J21" i="3"/>
  <c r="G21" i="3"/>
  <c r="H21" i="3"/>
  <c r="D20" i="4"/>
  <c r="B20" i="4"/>
  <c r="F20" i="4"/>
  <c r="C20" i="4"/>
  <c r="E20" i="4"/>
  <c r="A22" i="3"/>
  <c r="K22" i="3" s="1"/>
  <c r="B21" i="3"/>
  <c r="E21" i="3"/>
  <c r="C21" i="3"/>
  <c r="F21" i="3"/>
  <c r="D21" i="3"/>
  <c r="D29" i="23" l="1"/>
  <c r="E28" i="23"/>
  <c r="E29" i="23" s="1"/>
  <c r="I22" i="3"/>
  <c r="J22" i="3"/>
  <c r="G22" i="3"/>
  <c r="H22" i="3"/>
  <c r="C21" i="4"/>
  <c r="D21" i="4"/>
  <c r="F21" i="4"/>
  <c r="E21" i="4"/>
  <c r="B21" i="4"/>
  <c r="A23" i="3"/>
  <c r="K23" i="3" s="1"/>
  <c r="D22" i="3"/>
  <c r="B22" i="3"/>
  <c r="E22" i="3"/>
  <c r="C22" i="3"/>
  <c r="F22" i="3"/>
  <c r="F28" i="23" l="1"/>
  <c r="G28" i="23"/>
  <c r="D30" i="23"/>
  <c r="F29" i="23"/>
  <c r="G29" i="23"/>
  <c r="I23" i="3"/>
  <c r="J23" i="3"/>
  <c r="G23" i="3"/>
  <c r="H23" i="3"/>
  <c r="C22" i="4"/>
  <c r="F22" i="4"/>
  <c r="E22" i="4"/>
  <c r="B22" i="4"/>
  <c r="D22" i="4"/>
  <c r="A24" i="3"/>
  <c r="K24" i="3" s="1"/>
  <c r="D23" i="3"/>
  <c r="F23" i="3"/>
  <c r="B23" i="3"/>
  <c r="E23" i="3"/>
  <c r="C23" i="3"/>
  <c r="D31" i="23" l="1"/>
  <c r="E30" i="23"/>
  <c r="E31" i="23" s="1"/>
  <c r="I24" i="3"/>
  <c r="J24" i="3"/>
  <c r="G24" i="3"/>
  <c r="H24" i="3"/>
  <c r="C23" i="4"/>
  <c r="E23" i="4"/>
  <c r="B23" i="4"/>
  <c r="F23" i="4"/>
  <c r="D23" i="4"/>
  <c r="A25" i="3"/>
  <c r="K25" i="3" s="1"/>
  <c r="D24" i="3"/>
  <c r="C24" i="3"/>
  <c r="F24" i="3"/>
  <c r="B24" i="3"/>
  <c r="E24" i="3"/>
  <c r="G30" i="23" l="1"/>
  <c r="F30" i="23"/>
  <c r="D32" i="23"/>
  <c r="F31" i="23"/>
  <c r="G31" i="23"/>
  <c r="I25" i="3"/>
  <c r="J25" i="3"/>
  <c r="G25" i="3"/>
  <c r="H25" i="3"/>
  <c r="E24" i="4"/>
  <c r="B24" i="4"/>
  <c r="F24" i="4"/>
  <c r="C24" i="4"/>
  <c r="D24" i="4"/>
  <c r="A26" i="3"/>
  <c r="K26" i="3" s="1"/>
  <c r="D25" i="3"/>
  <c r="E25" i="3"/>
  <c r="C25" i="3"/>
  <c r="B25" i="3"/>
  <c r="F25" i="3"/>
  <c r="D33" i="23" l="1"/>
  <c r="E32" i="23"/>
  <c r="E33" i="23" s="1"/>
  <c r="I26" i="3"/>
  <c r="J26" i="3"/>
  <c r="G26" i="3"/>
  <c r="H26" i="3"/>
  <c r="B25" i="4"/>
  <c r="E25" i="4"/>
  <c r="F25" i="4"/>
  <c r="C25" i="4"/>
  <c r="D25" i="4"/>
  <c r="A27" i="3"/>
  <c r="K27" i="3" s="1"/>
  <c r="D26" i="3"/>
  <c r="B26" i="3"/>
  <c r="E26" i="3"/>
  <c r="C26" i="3"/>
  <c r="F26" i="3"/>
  <c r="G32" i="23" l="1"/>
  <c r="F32" i="23"/>
  <c r="D34" i="23"/>
  <c r="F33" i="23"/>
  <c r="G33" i="23"/>
  <c r="I27" i="3"/>
  <c r="J27" i="3"/>
  <c r="G27" i="3"/>
  <c r="H27" i="3"/>
  <c r="C26" i="4"/>
  <c r="F26" i="4"/>
  <c r="E26" i="4"/>
  <c r="B26" i="4"/>
  <c r="D26" i="4"/>
  <c r="A28" i="3"/>
  <c r="K28" i="3" s="1"/>
  <c r="D27" i="3"/>
  <c r="B27" i="3"/>
  <c r="C27" i="3"/>
  <c r="F27" i="3"/>
  <c r="E27" i="3"/>
  <c r="D35" i="23" l="1"/>
  <c r="E34" i="23"/>
  <c r="E35" i="23" s="1"/>
  <c r="I28" i="3"/>
  <c r="J28" i="3"/>
  <c r="G28" i="3"/>
  <c r="H28" i="3"/>
  <c r="E27" i="4"/>
  <c r="F27" i="4"/>
  <c r="C27" i="4"/>
  <c r="B27" i="4"/>
  <c r="D27" i="4"/>
  <c r="A29" i="3"/>
  <c r="K29" i="3" s="1"/>
  <c r="D28" i="3"/>
  <c r="C28" i="3"/>
  <c r="B28" i="3"/>
  <c r="F28" i="3"/>
  <c r="E28" i="3"/>
  <c r="G34" i="23" l="1"/>
  <c r="F34" i="23"/>
  <c r="D36" i="23"/>
  <c r="F35" i="23"/>
  <c r="G35" i="23"/>
  <c r="I29" i="3"/>
  <c r="J29" i="3"/>
  <c r="G29" i="3"/>
  <c r="H29" i="3"/>
  <c r="F28" i="4"/>
  <c r="B28" i="4"/>
  <c r="C28" i="4"/>
  <c r="D28" i="4"/>
  <c r="A30" i="3"/>
  <c r="K30" i="3" s="1"/>
  <c r="F29" i="3"/>
  <c r="C29" i="3"/>
  <c r="D29" i="3"/>
  <c r="B29" i="3"/>
  <c r="E29" i="3"/>
  <c r="E28" i="4"/>
  <c r="D37" i="23" l="1"/>
  <c r="E36" i="23"/>
  <c r="E37" i="23" s="1"/>
  <c r="I30" i="3"/>
  <c r="J30" i="3"/>
  <c r="G30" i="3"/>
  <c r="H30" i="3"/>
  <c r="E29" i="4"/>
  <c r="B29" i="4"/>
  <c r="D29" i="4"/>
  <c r="C29" i="4"/>
  <c r="F29" i="4"/>
  <c r="A31" i="3"/>
  <c r="K31" i="3" s="1"/>
  <c r="C30" i="3"/>
  <c r="F30" i="3"/>
  <c r="D30" i="3"/>
  <c r="B30" i="3"/>
  <c r="E30" i="3"/>
  <c r="G36" i="23" l="1"/>
  <c r="F36" i="23"/>
  <c r="D38" i="23"/>
  <c r="F37" i="23"/>
  <c r="G37" i="23"/>
  <c r="I31" i="3"/>
  <c r="J31" i="3"/>
  <c r="G31" i="3"/>
  <c r="H31" i="3"/>
  <c r="B30" i="4"/>
  <c r="F30" i="4"/>
  <c r="E30" i="4"/>
  <c r="D30" i="4"/>
  <c r="C30" i="4"/>
  <c r="A32" i="3"/>
  <c r="K32" i="3" s="1"/>
  <c r="C31" i="3"/>
  <c r="F31" i="3"/>
  <c r="E31" i="3"/>
  <c r="D31" i="3"/>
  <c r="B31" i="3"/>
  <c r="D39" i="23" l="1"/>
  <c r="E38" i="23"/>
  <c r="E39" i="23" s="1"/>
  <c r="I32" i="3"/>
  <c r="J32" i="3"/>
  <c r="G32" i="3"/>
  <c r="H32" i="3"/>
  <c r="B31" i="4"/>
  <c r="E31" i="4"/>
  <c r="C31" i="4"/>
  <c r="D31" i="4"/>
  <c r="F31" i="4"/>
  <c r="A33" i="3"/>
  <c r="K33" i="3" s="1"/>
  <c r="C32" i="3"/>
  <c r="F32" i="3"/>
  <c r="E32" i="3"/>
  <c r="B32" i="3"/>
  <c r="D32" i="3"/>
  <c r="F38" i="23" l="1"/>
  <c r="G38" i="23"/>
  <c r="D40" i="23"/>
  <c r="G39" i="23"/>
  <c r="F39" i="23"/>
  <c r="I33" i="3"/>
  <c r="J33" i="3"/>
  <c r="G33" i="3"/>
  <c r="H33" i="3"/>
  <c r="B32" i="4"/>
  <c r="C32" i="4"/>
  <c r="D32" i="4"/>
  <c r="E32" i="4"/>
  <c r="F32" i="4"/>
  <c r="A34" i="3"/>
  <c r="K34" i="3" s="1"/>
  <c r="C33" i="3"/>
  <c r="F33" i="3"/>
  <c r="B33" i="3"/>
  <c r="E33" i="3"/>
  <c r="D33" i="3"/>
  <c r="D41" i="23" l="1"/>
  <c r="E40" i="23"/>
  <c r="E41" i="23" s="1"/>
  <c r="I34" i="3"/>
  <c r="J34" i="3"/>
  <c r="G34" i="3"/>
  <c r="H34" i="3"/>
  <c r="D33" i="4"/>
  <c r="F33" i="4"/>
  <c r="E33" i="4"/>
  <c r="B33" i="4"/>
  <c r="C33" i="4"/>
  <c r="A35" i="3"/>
  <c r="K35" i="3" s="1"/>
  <c r="C34" i="3"/>
  <c r="D34" i="3"/>
  <c r="B34" i="3"/>
  <c r="E34" i="3"/>
  <c r="F34" i="3"/>
  <c r="F40" i="23" l="1"/>
  <c r="G40" i="23"/>
  <c r="D42" i="23"/>
  <c r="G41" i="23"/>
  <c r="F41" i="23"/>
  <c r="I35" i="3"/>
  <c r="J35" i="3"/>
  <c r="G35" i="3"/>
  <c r="H35" i="3"/>
  <c r="E34" i="4"/>
  <c r="D34" i="4"/>
  <c r="F34" i="4"/>
  <c r="B34" i="4"/>
  <c r="C34" i="4"/>
  <c r="A36" i="3"/>
  <c r="K36" i="3" s="1"/>
  <c r="F35" i="3"/>
  <c r="D35" i="3"/>
  <c r="B35" i="3"/>
  <c r="E35" i="3"/>
  <c r="C35" i="3"/>
  <c r="D43" i="23" l="1"/>
  <c r="E42" i="23"/>
  <c r="E43" i="23" s="1"/>
  <c r="I36" i="3"/>
  <c r="J36" i="3"/>
  <c r="G36" i="3"/>
  <c r="H36" i="3"/>
  <c r="C35" i="4"/>
  <c r="D35" i="4"/>
  <c r="E35" i="4"/>
  <c r="B35" i="4"/>
  <c r="F35" i="4"/>
  <c r="A37" i="3"/>
  <c r="K37" i="3" s="1"/>
  <c r="E36" i="3"/>
  <c r="C36" i="3"/>
  <c r="F36" i="3"/>
  <c r="D36" i="3"/>
  <c r="B36" i="3"/>
  <c r="F42" i="23" l="1"/>
  <c r="G42" i="23"/>
  <c r="D44" i="23"/>
  <c r="G43" i="23"/>
  <c r="F43" i="23"/>
  <c r="I37" i="3"/>
  <c r="J37" i="3"/>
  <c r="G37" i="3"/>
  <c r="H37" i="3"/>
  <c r="B36" i="4"/>
  <c r="C36" i="4"/>
  <c r="D36" i="4"/>
  <c r="F36" i="4"/>
  <c r="E36" i="4"/>
  <c r="A38" i="3"/>
  <c r="K38" i="3" s="1"/>
  <c r="B37" i="3"/>
  <c r="E37" i="3"/>
  <c r="C37" i="3"/>
  <c r="F37" i="3"/>
  <c r="D37" i="3"/>
  <c r="D45" i="23" l="1"/>
  <c r="E44" i="23"/>
  <c r="E45" i="23" s="1"/>
  <c r="I38" i="3"/>
  <c r="J38" i="3"/>
  <c r="G38" i="3"/>
  <c r="H38" i="3"/>
  <c r="D37" i="4"/>
  <c r="E37" i="4"/>
  <c r="F37" i="4"/>
  <c r="C37" i="4"/>
  <c r="B37" i="4"/>
  <c r="A39" i="3"/>
  <c r="K39" i="3" s="1"/>
  <c r="B38" i="3"/>
  <c r="E38" i="3"/>
  <c r="C38" i="3"/>
  <c r="F38" i="3"/>
  <c r="D38" i="3"/>
  <c r="F44" i="23" l="1"/>
  <c r="G44" i="23"/>
  <c r="D46" i="23"/>
  <c r="G45" i="23"/>
  <c r="F45" i="23"/>
  <c r="I39" i="3"/>
  <c r="J39" i="3"/>
  <c r="G39" i="3"/>
  <c r="H39" i="3"/>
  <c r="C38" i="4"/>
  <c r="D38" i="4"/>
  <c r="F38" i="4"/>
  <c r="E38" i="4"/>
  <c r="B38" i="4"/>
  <c r="A40" i="3"/>
  <c r="K40" i="3" s="1"/>
  <c r="B39" i="3"/>
  <c r="E39" i="3"/>
  <c r="C39" i="3"/>
  <c r="F39" i="3"/>
  <c r="D39" i="3"/>
  <c r="D47" i="23" l="1"/>
  <c r="E46" i="23"/>
  <c r="E47" i="23" s="1"/>
  <c r="I40" i="3"/>
  <c r="J40" i="3"/>
  <c r="G40" i="3"/>
  <c r="H40" i="3"/>
  <c r="D39" i="4"/>
  <c r="F39" i="4"/>
  <c r="C39" i="4"/>
  <c r="E39" i="4"/>
  <c r="B39" i="4"/>
  <c r="A41" i="3"/>
  <c r="K41" i="3" s="1"/>
  <c r="B40" i="3"/>
  <c r="E40" i="3"/>
  <c r="C40" i="3"/>
  <c r="F40" i="3"/>
  <c r="D40" i="3"/>
  <c r="F46" i="23" l="1"/>
  <c r="G46" i="23"/>
  <c r="D48" i="23"/>
  <c r="G47" i="23"/>
  <c r="F47" i="23"/>
  <c r="I41" i="3"/>
  <c r="J41" i="3"/>
  <c r="G41" i="3"/>
  <c r="H41" i="3"/>
  <c r="E40" i="4"/>
  <c r="A42" i="3"/>
  <c r="K42" i="3" s="1"/>
  <c r="B41" i="3"/>
  <c r="E41" i="3"/>
  <c r="C41" i="3"/>
  <c r="F41" i="3"/>
  <c r="D41" i="3"/>
  <c r="D40" i="4"/>
  <c r="F40" i="4"/>
  <c r="C40" i="4"/>
  <c r="B40" i="4"/>
  <c r="D49" i="23" l="1"/>
  <c r="E48" i="23"/>
  <c r="E49" i="23" s="1"/>
  <c r="I42" i="3"/>
  <c r="J42" i="3"/>
  <c r="G42" i="3"/>
  <c r="H42" i="3"/>
  <c r="F41" i="4"/>
  <c r="E41" i="4"/>
  <c r="A43" i="3"/>
  <c r="K43" i="3" s="1"/>
  <c r="B42" i="3"/>
  <c r="E42" i="3"/>
  <c r="C42" i="3"/>
  <c r="F42" i="3"/>
  <c r="D42" i="3"/>
  <c r="D41" i="4"/>
  <c r="C41" i="4"/>
  <c r="B41" i="4"/>
  <c r="F48" i="23" l="1"/>
  <c r="G48" i="23"/>
  <c r="D50" i="23"/>
  <c r="F49" i="23"/>
  <c r="G49" i="23"/>
  <c r="I43" i="3"/>
  <c r="J43" i="3"/>
  <c r="G43" i="3"/>
  <c r="H43" i="3"/>
  <c r="D42" i="4"/>
  <c r="F42" i="4"/>
  <c r="C42" i="4"/>
  <c r="E42" i="4"/>
  <c r="B42" i="4"/>
  <c r="A44" i="3"/>
  <c r="K44" i="3" s="1"/>
  <c r="D43" i="3"/>
  <c r="B43" i="3"/>
  <c r="E43" i="3"/>
  <c r="C43" i="3"/>
  <c r="F43" i="3"/>
  <c r="D51" i="23" l="1"/>
  <c r="E50" i="23"/>
  <c r="E51" i="23" s="1"/>
  <c r="I44" i="3"/>
  <c r="J44" i="3"/>
  <c r="G44" i="3"/>
  <c r="H44" i="3"/>
  <c r="F43" i="4"/>
  <c r="C43" i="4"/>
  <c r="E43" i="4"/>
  <c r="B43" i="4"/>
  <c r="A45" i="3"/>
  <c r="K45" i="3" s="1"/>
  <c r="D44" i="3"/>
  <c r="B44" i="3"/>
  <c r="E44" i="3"/>
  <c r="C44" i="3"/>
  <c r="F44" i="3"/>
  <c r="D43" i="4"/>
  <c r="G50" i="23" l="1"/>
  <c r="F50" i="23"/>
  <c r="D52" i="23"/>
  <c r="F51" i="23"/>
  <c r="G51" i="23"/>
  <c r="I45" i="3"/>
  <c r="J45" i="3"/>
  <c r="G45" i="3"/>
  <c r="H45" i="3"/>
  <c r="F44" i="4"/>
  <c r="E44" i="4"/>
  <c r="D44" i="4"/>
  <c r="C44" i="4"/>
  <c r="B44" i="4"/>
  <c r="A46" i="3"/>
  <c r="K46" i="3" s="1"/>
  <c r="D45" i="3"/>
  <c r="B45" i="3"/>
  <c r="E45" i="3"/>
  <c r="C45" i="3"/>
  <c r="F45" i="3"/>
  <c r="D53" i="23" l="1"/>
  <c r="E52" i="23"/>
  <c r="E53" i="23" s="1"/>
  <c r="I46" i="3"/>
  <c r="J46" i="3"/>
  <c r="G46" i="3"/>
  <c r="H46" i="3"/>
  <c r="F45" i="4"/>
  <c r="E45" i="4"/>
  <c r="D45" i="4"/>
  <c r="C45" i="4"/>
  <c r="B45" i="4"/>
  <c r="A47" i="3"/>
  <c r="K47" i="3" s="1"/>
  <c r="D46" i="3"/>
  <c r="B46" i="3"/>
  <c r="E46" i="3"/>
  <c r="C46" i="3"/>
  <c r="F46" i="3"/>
  <c r="F52" i="23" l="1"/>
  <c r="D54" i="23"/>
  <c r="F53" i="23"/>
  <c r="G52" i="23"/>
  <c r="G53" i="23" s="1"/>
  <c r="I47" i="3"/>
  <c r="J47" i="3"/>
  <c r="G47" i="3"/>
  <c r="H47" i="3"/>
  <c r="C46" i="4"/>
  <c r="B46" i="4"/>
  <c r="A48" i="3"/>
  <c r="K48" i="3" s="1"/>
  <c r="D47" i="3"/>
  <c r="B47" i="3"/>
  <c r="E47" i="3"/>
  <c r="C47" i="3"/>
  <c r="F47" i="3"/>
  <c r="F46" i="4"/>
  <c r="E46" i="4"/>
  <c r="D46" i="4"/>
  <c r="D55" i="23" l="1"/>
  <c r="E54" i="23"/>
  <c r="E55" i="23" s="1"/>
  <c r="I48" i="3"/>
  <c r="J48" i="3"/>
  <c r="G48" i="3"/>
  <c r="H48" i="3"/>
  <c r="F47" i="4"/>
  <c r="E47" i="4"/>
  <c r="D47" i="4"/>
  <c r="C47" i="4"/>
  <c r="B47" i="4"/>
  <c r="A49" i="3"/>
  <c r="K49" i="3" s="1"/>
  <c r="F48" i="3"/>
  <c r="D48" i="3"/>
  <c r="B48" i="3"/>
  <c r="E48" i="3"/>
  <c r="C48" i="3"/>
  <c r="F54" i="23" l="1"/>
  <c r="D56" i="23"/>
  <c r="F55" i="23"/>
  <c r="G54" i="23"/>
  <c r="G55" i="23" s="1"/>
  <c r="I49" i="3"/>
  <c r="J49" i="3"/>
  <c r="G49" i="3"/>
  <c r="H49" i="3"/>
  <c r="E48" i="4"/>
  <c r="D48" i="4"/>
  <c r="A50" i="3"/>
  <c r="K50" i="3" s="1"/>
  <c r="F49" i="3"/>
  <c r="C49" i="3"/>
  <c r="D49" i="3"/>
  <c r="B49" i="3"/>
  <c r="E49" i="3"/>
  <c r="C48" i="4"/>
  <c r="B48" i="4"/>
  <c r="F48" i="4"/>
  <c r="D57" i="23" l="1"/>
  <c r="E56" i="23"/>
  <c r="E57" i="23" s="1"/>
  <c r="I50" i="3"/>
  <c r="J50" i="3"/>
  <c r="G50" i="3"/>
  <c r="H50" i="3"/>
  <c r="B49" i="4"/>
  <c r="D49" i="4"/>
  <c r="F49" i="4"/>
  <c r="E49" i="4"/>
  <c r="C49" i="4"/>
  <c r="A51" i="3"/>
  <c r="K51" i="3" s="1"/>
  <c r="C50" i="3"/>
  <c r="F50" i="3"/>
  <c r="E50" i="3"/>
  <c r="D50" i="3"/>
  <c r="B50" i="3"/>
  <c r="G56" i="23" l="1"/>
  <c r="F56" i="23"/>
  <c r="D58" i="23"/>
  <c r="F57" i="23"/>
  <c r="G57" i="23"/>
  <c r="I51" i="3"/>
  <c r="J51" i="3"/>
  <c r="G51" i="3"/>
  <c r="H51" i="3"/>
  <c r="D50" i="4"/>
  <c r="F50" i="4"/>
  <c r="A52" i="3"/>
  <c r="K52" i="3" s="1"/>
  <c r="C51" i="3"/>
  <c r="F51" i="3"/>
  <c r="B51" i="3"/>
  <c r="E51" i="3"/>
  <c r="D51" i="3"/>
  <c r="B50" i="4"/>
  <c r="E50" i="4"/>
  <c r="C50" i="4"/>
  <c r="D59" i="23" l="1"/>
  <c r="E58" i="23"/>
  <c r="E59" i="23" s="1"/>
  <c r="I52" i="3"/>
  <c r="J52" i="3"/>
  <c r="G52" i="3"/>
  <c r="H52" i="3"/>
  <c r="D51" i="4"/>
  <c r="B51" i="4"/>
  <c r="C51" i="4"/>
  <c r="E51" i="4"/>
  <c r="F51" i="4"/>
  <c r="A53" i="3"/>
  <c r="K53" i="3" s="1"/>
  <c r="C52" i="3"/>
  <c r="F52" i="3"/>
  <c r="D52" i="3"/>
  <c r="B52" i="3"/>
  <c r="E52" i="3"/>
  <c r="G58" i="23" l="1"/>
  <c r="F58" i="23"/>
  <c r="D60" i="23"/>
  <c r="F59" i="23"/>
  <c r="G59" i="23"/>
  <c r="I53" i="3"/>
  <c r="J53" i="3"/>
  <c r="G53" i="3"/>
  <c r="H53" i="3"/>
  <c r="B52" i="4"/>
  <c r="F52" i="4"/>
  <c r="A54" i="3"/>
  <c r="K54" i="3" s="1"/>
  <c r="C53" i="3"/>
  <c r="F53" i="3"/>
  <c r="D53" i="3"/>
  <c r="B53" i="3"/>
  <c r="E53" i="3"/>
  <c r="E52" i="4"/>
  <c r="D52" i="4"/>
  <c r="C52" i="4"/>
  <c r="D61" i="23" l="1"/>
  <c r="E60" i="23"/>
  <c r="E61" i="23" s="1"/>
  <c r="I54" i="3"/>
  <c r="J54" i="3"/>
  <c r="G54" i="3"/>
  <c r="H54" i="3"/>
  <c r="E53" i="4"/>
  <c r="D53" i="4"/>
  <c r="C53" i="4"/>
  <c r="B53" i="4"/>
  <c r="F53" i="4"/>
  <c r="A55" i="3"/>
  <c r="K55" i="3" s="1"/>
  <c r="C54" i="3"/>
  <c r="F54" i="3"/>
  <c r="D54" i="3"/>
  <c r="E54" i="3"/>
  <c r="B54" i="3"/>
  <c r="G60" i="23" l="1"/>
  <c r="F60" i="23"/>
  <c r="D62" i="23"/>
  <c r="F61" i="23"/>
  <c r="G61" i="23"/>
  <c r="I55" i="3"/>
  <c r="J55" i="3"/>
  <c r="G55" i="3"/>
  <c r="H55" i="3"/>
  <c r="B54" i="4"/>
  <c r="D54" i="4"/>
  <c r="C54" i="4"/>
  <c r="E54" i="4"/>
  <c r="F54" i="4"/>
  <c r="A56" i="3"/>
  <c r="K56" i="3" s="1"/>
  <c r="C55" i="3"/>
  <c r="D55" i="3"/>
  <c r="B55" i="3"/>
  <c r="F55" i="3"/>
  <c r="E55" i="3"/>
  <c r="D63" i="23" l="1"/>
  <c r="E62" i="23"/>
  <c r="E63" i="23" s="1"/>
  <c r="I56" i="3"/>
  <c r="J56" i="3"/>
  <c r="G56" i="3"/>
  <c r="H56" i="3"/>
  <c r="E55" i="4"/>
  <c r="B55" i="4"/>
  <c r="C55" i="4"/>
  <c r="F55" i="4"/>
  <c r="D55" i="4"/>
  <c r="A57" i="3"/>
  <c r="K57" i="3" s="1"/>
  <c r="E56" i="3"/>
  <c r="D56" i="3"/>
  <c r="C56" i="3"/>
  <c r="B56" i="3"/>
  <c r="F56" i="3"/>
  <c r="F62" i="23" l="1"/>
  <c r="G62" i="23"/>
  <c r="D64" i="23"/>
  <c r="G63" i="23"/>
  <c r="F63" i="23"/>
  <c r="I57" i="3"/>
  <c r="J57" i="3"/>
  <c r="G57" i="3"/>
  <c r="H57" i="3"/>
  <c r="F56" i="4"/>
  <c r="B56" i="4"/>
  <c r="C56" i="4"/>
  <c r="D56" i="4"/>
  <c r="E56" i="4"/>
  <c r="A58" i="3"/>
  <c r="K58" i="3" s="1"/>
  <c r="B57" i="3"/>
  <c r="E57" i="3"/>
  <c r="D57" i="3"/>
  <c r="C57" i="3"/>
  <c r="F57" i="3"/>
  <c r="D65" i="23" l="1"/>
  <c r="E64" i="23"/>
  <c r="E65" i="23" s="1"/>
  <c r="I58" i="3"/>
  <c r="J58" i="3"/>
  <c r="G58" i="3"/>
  <c r="H58" i="3"/>
  <c r="F57" i="4"/>
  <c r="C57" i="4"/>
  <c r="D57" i="4"/>
  <c r="E57" i="4"/>
  <c r="B57" i="4"/>
  <c r="A59" i="3"/>
  <c r="K59" i="3" s="1"/>
  <c r="B58" i="3"/>
  <c r="E58" i="3"/>
  <c r="D58" i="3"/>
  <c r="C58" i="3"/>
  <c r="F58" i="3"/>
  <c r="F64" i="23" l="1"/>
  <c r="G64" i="23"/>
  <c r="D66" i="23"/>
  <c r="G65" i="23"/>
  <c r="F65" i="23"/>
  <c r="I59" i="3"/>
  <c r="J59" i="3"/>
  <c r="G59" i="3"/>
  <c r="H59" i="3"/>
  <c r="F58" i="4"/>
  <c r="C58" i="4"/>
  <c r="D58" i="4"/>
  <c r="E58" i="4"/>
  <c r="B58" i="4"/>
  <c r="A60" i="3"/>
  <c r="K60" i="3" s="1"/>
  <c r="B59" i="3"/>
  <c r="E59" i="3"/>
  <c r="D59" i="3"/>
  <c r="F59" i="3"/>
  <c r="C59" i="3"/>
  <c r="D67" i="23" l="1"/>
  <c r="E66" i="23"/>
  <c r="E67" i="23" s="1"/>
  <c r="I60" i="3"/>
  <c r="J60" i="3"/>
  <c r="G60" i="3"/>
  <c r="H60" i="3"/>
  <c r="C59" i="4"/>
  <c r="F59" i="4"/>
  <c r="D59" i="4"/>
  <c r="E59" i="4"/>
  <c r="B59" i="4"/>
  <c r="A61" i="3"/>
  <c r="K61" i="3" s="1"/>
  <c r="B60" i="3"/>
  <c r="E60" i="3"/>
  <c r="F60" i="3"/>
  <c r="D60" i="3"/>
  <c r="C60" i="3"/>
  <c r="F66" i="23" l="1"/>
  <c r="D68" i="23"/>
  <c r="G67" i="23"/>
  <c r="F67" i="23"/>
  <c r="G66" i="23"/>
  <c r="I61" i="3"/>
  <c r="J61" i="3"/>
  <c r="G61" i="3"/>
  <c r="H61" i="3"/>
  <c r="C60" i="4"/>
  <c r="D60" i="4"/>
  <c r="F60" i="4"/>
  <c r="E60" i="4"/>
  <c r="B60" i="4"/>
  <c r="A62" i="3"/>
  <c r="K62" i="3" s="1"/>
  <c r="B61" i="3"/>
  <c r="C61" i="3"/>
  <c r="F61" i="3"/>
  <c r="D61" i="3"/>
  <c r="E61" i="3"/>
  <c r="D69" i="23" l="1"/>
  <c r="E68" i="23"/>
  <c r="E69" i="23" s="1"/>
  <c r="I62" i="3"/>
  <c r="J62" i="3"/>
  <c r="G62" i="3"/>
  <c r="H62" i="3"/>
  <c r="E61" i="4"/>
  <c r="D61" i="4"/>
  <c r="F61" i="4"/>
  <c r="C61" i="4"/>
  <c r="B61" i="4"/>
  <c r="A63" i="3"/>
  <c r="K63" i="3" s="1"/>
  <c r="E62" i="3"/>
  <c r="C62" i="3"/>
  <c r="F62" i="3"/>
  <c r="D62" i="3"/>
  <c r="B62" i="3"/>
  <c r="F68" i="23" l="1"/>
  <c r="G68" i="23"/>
  <c r="D70" i="23"/>
  <c r="F69" i="23"/>
  <c r="G69" i="23"/>
  <c r="I63" i="3"/>
  <c r="J63" i="3"/>
  <c r="G63" i="3"/>
  <c r="H63" i="3"/>
  <c r="B62" i="4"/>
  <c r="D62" i="4"/>
  <c r="F62" i="4"/>
  <c r="C62" i="4"/>
  <c r="E62" i="4"/>
  <c r="A64" i="3"/>
  <c r="K64" i="3" s="1"/>
  <c r="D63" i="3"/>
  <c r="B63" i="3"/>
  <c r="E63" i="3"/>
  <c r="C63" i="3"/>
  <c r="F63" i="3"/>
  <c r="D71" i="23" l="1"/>
  <c r="E70" i="23"/>
  <c r="E71" i="23" s="1"/>
  <c r="I64" i="3"/>
  <c r="J64" i="3"/>
  <c r="G64" i="3"/>
  <c r="H64" i="3"/>
  <c r="F63" i="4"/>
  <c r="C63" i="4"/>
  <c r="E63" i="4"/>
  <c r="B63" i="4"/>
  <c r="D63" i="4"/>
  <c r="A65" i="3"/>
  <c r="K65" i="3" s="1"/>
  <c r="D64" i="3"/>
  <c r="B64" i="3"/>
  <c r="E64" i="3"/>
  <c r="C64" i="3"/>
  <c r="F64" i="3"/>
  <c r="G70" i="23" l="1"/>
  <c r="F70" i="23"/>
  <c r="D72" i="23"/>
  <c r="F71" i="23"/>
  <c r="G71" i="23"/>
  <c r="I65" i="3"/>
  <c r="J65" i="3"/>
  <c r="G65" i="3"/>
  <c r="H65" i="3"/>
  <c r="F64" i="4"/>
  <c r="C64" i="4"/>
  <c r="E64" i="4"/>
  <c r="B64" i="4"/>
  <c r="D64" i="4"/>
  <c r="A66" i="3"/>
  <c r="K66" i="3" s="1"/>
  <c r="D65" i="3"/>
  <c r="B65" i="3"/>
  <c r="E65" i="3"/>
  <c r="C65" i="3"/>
  <c r="F65" i="3"/>
  <c r="D73" i="23" l="1"/>
  <c r="E72" i="23"/>
  <c r="E73" i="23" s="1"/>
  <c r="I66" i="3"/>
  <c r="J66" i="3"/>
  <c r="G66" i="3"/>
  <c r="H66" i="3"/>
  <c r="F65" i="4"/>
  <c r="B65" i="4"/>
  <c r="C65" i="4"/>
  <c r="E65" i="4"/>
  <c r="D65" i="4"/>
  <c r="A67" i="3"/>
  <c r="K67" i="3" s="1"/>
  <c r="D66" i="3"/>
  <c r="B66" i="3"/>
  <c r="E66" i="3"/>
  <c r="C66" i="3"/>
  <c r="F66" i="3"/>
  <c r="G72" i="23" l="1"/>
  <c r="F72" i="23"/>
  <c r="D74" i="23"/>
  <c r="F73" i="23"/>
  <c r="G73" i="23"/>
  <c r="I67" i="3"/>
  <c r="J67" i="3"/>
  <c r="G67" i="3"/>
  <c r="H67" i="3"/>
  <c r="F66" i="4"/>
  <c r="C66" i="4"/>
  <c r="E66" i="4"/>
  <c r="B66" i="4"/>
  <c r="D66" i="4"/>
  <c r="A68" i="3"/>
  <c r="K68" i="3" s="1"/>
  <c r="D67" i="3"/>
  <c r="B67" i="3"/>
  <c r="E67" i="3"/>
  <c r="C67" i="3"/>
  <c r="F67" i="3"/>
  <c r="D75" i="23" l="1"/>
  <c r="E74" i="23"/>
  <c r="I68" i="3"/>
  <c r="J68" i="3"/>
  <c r="G68" i="3"/>
  <c r="H68" i="3"/>
  <c r="F67" i="4"/>
  <c r="C67" i="4"/>
  <c r="E67" i="4"/>
  <c r="B67" i="4"/>
  <c r="D67" i="4"/>
  <c r="A69" i="3"/>
  <c r="K69" i="3" s="1"/>
  <c r="D68" i="3"/>
  <c r="B68" i="3"/>
  <c r="E68" i="3"/>
  <c r="C68" i="3"/>
  <c r="F68" i="3"/>
  <c r="E75" i="23" l="1"/>
  <c r="G74" i="23"/>
  <c r="F74" i="23"/>
  <c r="D76" i="23"/>
  <c r="F75" i="23"/>
  <c r="G75" i="23"/>
  <c r="I69" i="3"/>
  <c r="J69" i="3"/>
  <c r="G69" i="3"/>
  <c r="H69" i="3"/>
  <c r="F68" i="4"/>
  <c r="C68" i="4"/>
  <c r="E68" i="4"/>
  <c r="B68" i="4"/>
  <c r="D68" i="4"/>
  <c r="A70" i="3"/>
  <c r="K70" i="3" s="1"/>
  <c r="F69" i="3"/>
  <c r="D69" i="3"/>
  <c r="B69" i="3"/>
  <c r="E69" i="3"/>
  <c r="C69" i="3"/>
  <c r="D77" i="23" l="1"/>
  <c r="E76" i="23"/>
  <c r="E77" i="23" s="1"/>
  <c r="I70" i="3"/>
  <c r="J70" i="3"/>
  <c r="G70" i="3"/>
  <c r="H70" i="3"/>
  <c r="C69" i="4"/>
  <c r="E69" i="4"/>
  <c r="B69" i="4"/>
  <c r="D69" i="4"/>
  <c r="F69" i="4"/>
  <c r="A71" i="3"/>
  <c r="K71" i="3" s="1"/>
  <c r="C70" i="3"/>
  <c r="F70" i="3"/>
  <c r="D70" i="3"/>
  <c r="B70" i="3"/>
  <c r="E70" i="3"/>
  <c r="G76" i="23" l="1"/>
  <c r="F76" i="23"/>
  <c r="D78" i="23"/>
  <c r="F77" i="23"/>
  <c r="G77" i="23"/>
  <c r="I71" i="3"/>
  <c r="J71" i="3"/>
  <c r="G71" i="3"/>
  <c r="H71" i="3"/>
  <c r="D70" i="4"/>
  <c r="E70" i="4"/>
  <c r="B70" i="4"/>
  <c r="F70" i="4"/>
  <c r="C70" i="4"/>
  <c r="A72" i="3"/>
  <c r="K72" i="3" s="1"/>
  <c r="C71" i="3"/>
  <c r="F71" i="3"/>
  <c r="D71" i="3"/>
  <c r="B71" i="3"/>
  <c r="E71" i="3"/>
  <c r="D79" i="23" l="1"/>
  <c r="E78" i="23"/>
  <c r="E79" i="23" s="1"/>
  <c r="I72" i="3"/>
  <c r="J72" i="3"/>
  <c r="G72" i="3"/>
  <c r="H72" i="3"/>
  <c r="E71" i="4"/>
  <c r="B71" i="4"/>
  <c r="D71" i="4"/>
  <c r="F71" i="4"/>
  <c r="C71" i="4"/>
  <c r="A73" i="3"/>
  <c r="K73" i="3" s="1"/>
  <c r="C72" i="3"/>
  <c r="F72" i="3"/>
  <c r="D72" i="3"/>
  <c r="B72" i="3"/>
  <c r="E72" i="3"/>
  <c r="G78" i="23" l="1"/>
  <c r="F78" i="23"/>
  <c r="D80" i="23"/>
  <c r="G79" i="23"/>
  <c r="F79" i="23"/>
  <c r="I73" i="3"/>
  <c r="J73" i="3"/>
  <c r="G73" i="3"/>
  <c r="H73" i="3"/>
  <c r="D72" i="4"/>
  <c r="E72" i="4"/>
  <c r="B72" i="4"/>
  <c r="F72" i="4"/>
  <c r="C72" i="4"/>
  <c r="A74" i="3"/>
  <c r="K74" i="3" s="1"/>
  <c r="C73" i="3"/>
  <c r="F73" i="3"/>
  <c r="D73" i="3"/>
  <c r="B73" i="3"/>
  <c r="E73" i="3"/>
  <c r="D81" i="23" l="1"/>
  <c r="E80" i="23"/>
  <c r="E81" i="23" s="1"/>
  <c r="I74" i="3"/>
  <c r="J74" i="3"/>
  <c r="G74" i="3"/>
  <c r="H74" i="3"/>
  <c r="E73" i="4"/>
  <c r="B73" i="4"/>
  <c r="D73" i="4"/>
  <c r="F73" i="4"/>
  <c r="C73" i="4"/>
  <c r="A75" i="3"/>
  <c r="K75" i="3" s="1"/>
  <c r="C74" i="3"/>
  <c r="F74" i="3"/>
  <c r="D74" i="3"/>
  <c r="B74" i="3"/>
  <c r="E74" i="3"/>
  <c r="G80" i="23" l="1"/>
  <c r="F80" i="23"/>
  <c r="D82" i="23"/>
  <c r="F81" i="23"/>
  <c r="G81" i="23"/>
  <c r="I75" i="3"/>
  <c r="J75" i="3"/>
  <c r="G75" i="3"/>
  <c r="H75" i="3"/>
  <c r="E74" i="4"/>
  <c r="B74" i="4"/>
  <c r="D74" i="4"/>
  <c r="F74" i="4"/>
  <c r="C74" i="4"/>
  <c r="A76" i="3"/>
  <c r="K76" i="3" s="1"/>
  <c r="E75" i="3"/>
  <c r="C75" i="3"/>
  <c r="F75" i="3"/>
  <c r="D75" i="3"/>
  <c r="B75" i="3"/>
  <c r="D83" i="23" l="1"/>
  <c r="E82" i="23"/>
  <c r="E83" i="23" s="1"/>
  <c r="I76" i="3"/>
  <c r="J76" i="3"/>
  <c r="G76" i="3"/>
  <c r="H76" i="3"/>
  <c r="B75" i="4"/>
  <c r="D75" i="4"/>
  <c r="F75" i="4"/>
  <c r="C75" i="4"/>
  <c r="E75" i="4"/>
  <c r="A77" i="3"/>
  <c r="K77" i="3" s="1"/>
  <c r="E76" i="3"/>
  <c r="B76" i="3"/>
  <c r="C76" i="3"/>
  <c r="F76" i="3"/>
  <c r="D76" i="3"/>
  <c r="G82" i="23" l="1"/>
  <c r="F82" i="23"/>
  <c r="D84" i="23"/>
  <c r="F83" i="23"/>
  <c r="G83" i="23"/>
  <c r="I77" i="3"/>
  <c r="J77" i="3"/>
  <c r="G77" i="3"/>
  <c r="H77" i="3"/>
  <c r="D76" i="4"/>
  <c r="F76" i="4"/>
  <c r="C76" i="4"/>
  <c r="B76" i="4"/>
  <c r="E76" i="4"/>
  <c r="A78" i="3"/>
  <c r="K78" i="3" s="1"/>
  <c r="B77" i="3"/>
  <c r="E77" i="3"/>
  <c r="D77" i="3"/>
  <c r="C77" i="3"/>
  <c r="F77" i="3"/>
  <c r="D85" i="23" l="1"/>
  <c r="E84" i="23"/>
  <c r="E85" i="23" s="1"/>
  <c r="I78" i="3"/>
  <c r="J78" i="3"/>
  <c r="G78" i="3"/>
  <c r="H78" i="3"/>
  <c r="F77" i="4"/>
  <c r="C77" i="4"/>
  <c r="D77" i="4"/>
  <c r="E77" i="4"/>
  <c r="B77" i="4"/>
  <c r="A79" i="3"/>
  <c r="K79" i="3" s="1"/>
  <c r="B78" i="3"/>
  <c r="E78" i="3"/>
  <c r="F78" i="3"/>
  <c r="D78" i="3"/>
  <c r="C78" i="3"/>
  <c r="F84" i="23" l="1"/>
  <c r="G84" i="23"/>
  <c r="D86" i="23"/>
  <c r="G85" i="23"/>
  <c r="F85" i="23"/>
  <c r="I79" i="3"/>
  <c r="J79" i="3"/>
  <c r="G79" i="3"/>
  <c r="H79" i="3"/>
  <c r="C78" i="4"/>
  <c r="D78" i="4"/>
  <c r="F78" i="4"/>
  <c r="E78" i="4"/>
  <c r="B78" i="4"/>
  <c r="A80" i="3"/>
  <c r="K80" i="3" s="1"/>
  <c r="B79" i="3"/>
  <c r="E79" i="3"/>
  <c r="C79" i="3"/>
  <c r="F79" i="3"/>
  <c r="D79" i="3"/>
  <c r="D87" i="23" l="1"/>
  <c r="E86" i="23"/>
  <c r="E87" i="23" s="1"/>
  <c r="I80" i="3"/>
  <c r="J80" i="3"/>
  <c r="G80" i="3"/>
  <c r="H80" i="3"/>
  <c r="D79" i="4"/>
  <c r="F79" i="4"/>
  <c r="C79" i="4"/>
  <c r="E79" i="4"/>
  <c r="B79" i="4"/>
  <c r="A81" i="3"/>
  <c r="K81" i="3" s="1"/>
  <c r="B80" i="3"/>
  <c r="E80" i="3"/>
  <c r="C80" i="3"/>
  <c r="F80" i="3"/>
  <c r="D80" i="3"/>
  <c r="F86" i="23" l="1"/>
  <c r="G86" i="23"/>
  <c r="G87" i="23" s="1"/>
  <c r="D88" i="23"/>
  <c r="F87" i="23"/>
  <c r="I81" i="3"/>
  <c r="J81" i="3"/>
  <c r="G81" i="3"/>
  <c r="H81" i="3"/>
  <c r="D80" i="4"/>
  <c r="F80" i="4"/>
  <c r="C80" i="4"/>
  <c r="E80" i="4"/>
  <c r="B80" i="4"/>
  <c r="A82" i="3"/>
  <c r="K82" i="3" s="1"/>
  <c r="B81" i="3"/>
  <c r="E81" i="3"/>
  <c r="F81" i="3"/>
  <c r="D81" i="3"/>
  <c r="C81" i="3"/>
  <c r="D89" i="23" l="1"/>
  <c r="E88" i="23"/>
  <c r="E89" i="23" s="1"/>
  <c r="I82" i="3"/>
  <c r="J82" i="3"/>
  <c r="G82" i="3"/>
  <c r="H82" i="3"/>
  <c r="C81" i="4"/>
  <c r="D81" i="4"/>
  <c r="F81" i="4"/>
  <c r="E81" i="4"/>
  <c r="B81" i="4"/>
  <c r="A83" i="3"/>
  <c r="K83" i="3" s="1"/>
  <c r="B82" i="3"/>
  <c r="E82" i="3"/>
  <c r="F82" i="3"/>
  <c r="D82" i="3"/>
  <c r="C82" i="3"/>
  <c r="F88" i="23" l="1"/>
  <c r="G88" i="23"/>
  <c r="G89" i="23" s="1"/>
  <c r="D90" i="23"/>
  <c r="F89" i="23"/>
  <c r="I83" i="3"/>
  <c r="J83" i="3"/>
  <c r="G83" i="3"/>
  <c r="H83" i="3"/>
  <c r="C82" i="4"/>
  <c r="D82" i="4"/>
  <c r="F82" i="4"/>
  <c r="E82" i="4"/>
  <c r="B82" i="4"/>
  <c r="A84" i="3"/>
  <c r="K84" i="3" s="1"/>
  <c r="D83" i="3"/>
  <c r="E83" i="3"/>
  <c r="B83" i="3"/>
  <c r="C83" i="3"/>
  <c r="F83" i="3"/>
  <c r="D91" i="23" l="1"/>
  <c r="E90" i="23"/>
  <c r="I84" i="3"/>
  <c r="J84" i="3"/>
  <c r="G84" i="3"/>
  <c r="H84" i="3"/>
  <c r="F83" i="4"/>
  <c r="C83" i="4"/>
  <c r="B83" i="4"/>
  <c r="E83" i="4"/>
  <c r="D83" i="4"/>
  <c r="A85" i="3"/>
  <c r="K85" i="3" s="1"/>
  <c r="D84" i="3"/>
  <c r="F84" i="3"/>
  <c r="E84" i="3"/>
  <c r="C84" i="3"/>
  <c r="B84" i="3"/>
  <c r="E91" i="23" l="1"/>
  <c r="F90" i="23"/>
  <c r="D92" i="23"/>
  <c r="F91" i="23"/>
  <c r="G90" i="23"/>
  <c r="G91" i="23" s="1"/>
  <c r="I85" i="3"/>
  <c r="J85" i="3"/>
  <c r="G85" i="3"/>
  <c r="H85" i="3"/>
  <c r="B84" i="4"/>
  <c r="C84" i="4"/>
  <c r="E84" i="4"/>
  <c r="F84" i="4"/>
  <c r="D84" i="4"/>
  <c r="A86" i="3"/>
  <c r="K86" i="3" s="1"/>
  <c r="D85" i="3"/>
  <c r="F85" i="3"/>
  <c r="E85" i="3"/>
  <c r="C85" i="3"/>
  <c r="B85" i="3"/>
  <c r="D93" i="23" l="1"/>
  <c r="E92" i="23"/>
  <c r="E93" i="23" s="1"/>
  <c r="I86" i="3"/>
  <c r="J86" i="3"/>
  <c r="G86" i="3"/>
  <c r="H86" i="3"/>
  <c r="B85" i="4"/>
  <c r="C85" i="4"/>
  <c r="E85" i="4"/>
  <c r="F85" i="4"/>
  <c r="D85" i="4"/>
  <c r="A87" i="3"/>
  <c r="K87" i="3" s="1"/>
  <c r="D86" i="3"/>
  <c r="C86" i="3"/>
  <c r="F86" i="3"/>
  <c r="B86" i="3"/>
  <c r="E86" i="3"/>
  <c r="F92" i="23" l="1"/>
  <c r="D94" i="23"/>
  <c r="F93" i="23"/>
  <c r="G92" i="23"/>
  <c r="G93" i="23" s="1"/>
  <c r="I87" i="3"/>
  <c r="J87" i="3"/>
  <c r="G87" i="3"/>
  <c r="H87" i="3"/>
  <c r="E86" i="4"/>
  <c r="B86" i="4"/>
  <c r="F86" i="4"/>
  <c r="C86" i="4"/>
  <c r="D86" i="4"/>
  <c r="A88" i="3"/>
  <c r="K88" i="3" s="1"/>
  <c r="D87" i="3"/>
  <c r="E87" i="3"/>
  <c r="C87" i="3"/>
  <c r="F87" i="3"/>
  <c r="B87" i="3"/>
  <c r="D95" i="23" l="1"/>
  <c r="E94" i="23"/>
  <c r="E95" i="23" s="1"/>
  <c r="I88" i="3"/>
  <c r="J88" i="3"/>
  <c r="G88" i="3"/>
  <c r="H88" i="3"/>
  <c r="B87" i="4"/>
  <c r="F87" i="4"/>
  <c r="C87" i="4"/>
  <c r="E87" i="4"/>
  <c r="D87" i="4"/>
  <c r="A89" i="3"/>
  <c r="K89" i="3" s="1"/>
  <c r="B88" i="3"/>
  <c r="E88" i="3"/>
  <c r="C88" i="3"/>
  <c r="F88" i="3"/>
  <c r="D88" i="3"/>
  <c r="F94" i="23" l="1"/>
  <c r="D96" i="23"/>
  <c r="F95" i="23"/>
  <c r="G94" i="23"/>
  <c r="G95" i="23" s="1"/>
  <c r="I89" i="3"/>
  <c r="J89" i="3"/>
  <c r="G89" i="3"/>
  <c r="H89" i="3"/>
  <c r="D88" i="4"/>
  <c r="F88" i="4"/>
  <c r="C88" i="4"/>
  <c r="E88" i="4"/>
  <c r="B88" i="4"/>
  <c r="A90" i="3"/>
  <c r="K90" i="3" s="1"/>
  <c r="F89" i="3"/>
  <c r="D89" i="3"/>
  <c r="B89" i="3"/>
  <c r="E89" i="3"/>
  <c r="C89" i="3"/>
  <c r="D97" i="23" l="1"/>
  <c r="E96" i="23"/>
  <c r="E97" i="23" s="1"/>
  <c r="I90" i="3"/>
  <c r="J90" i="3"/>
  <c r="G90" i="3"/>
  <c r="H90" i="3"/>
  <c r="C89" i="4"/>
  <c r="E89" i="4"/>
  <c r="B89" i="4"/>
  <c r="D89" i="4"/>
  <c r="F89" i="4"/>
  <c r="A91" i="3"/>
  <c r="K91" i="3" s="1"/>
  <c r="C90" i="3"/>
  <c r="F90" i="3"/>
  <c r="D90" i="3"/>
  <c r="B90" i="3"/>
  <c r="E90" i="3"/>
  <c r="F96" i="23" l="1"/>
  <c r="D98" i="23"/>
  <c r="F97" i="23"/>
  <c r="G96" i="23"/>
  <c r="G97" i="23" s="1"/>
  <c r="I91" i="3"/>
  <c r="J91" i="3"/>
  <c r="G91" i="3"/>
  <c r="H91" i="3"/>
  <c r="E90" i="4"/>
  <c r="B90" i="4"/>
  <c r="D90" i="4"/>
  <c r="F90" i="4"/>
  <c r="C90" i="4"/>
  <c r="A92" i="3"/>
  <c r="K92" i="3" s="1"/>
  <c r="C91" i="3"/>
  <c r="F91" i="3"/>
  <c r="D91" i="3"/>
  <c r="B91" i="3"/>
  <c r="E91" i="3"/>
  <c r="D99" i="23" l="1"/>
  <c r="E98" i="23"/>
  <c r="E99" i="23" s="1"/>
  <c r="I92" i="3"/>
  <c r="J92" i="3"/>
  <c r="G92" i="3"/>
  <c r="H92" i="3"/>
  <c r="E91" i="4"/>
  <c r="B91" i="4"/>
  <c r="D91" i="4"/>
  <c r="F91" i="4"/>
  <c r="C91" i="4"/>
  <c r="A93" i="3"/>
  <c r="K93" i="3" s="1"/>
  <c r="C92" i="3"/>
  <c r="F92" i="3"/>
  <c r="D92" i="3"/>
  <c r="B92" i="3"/>
  <c r="E92" i="3"/>
  <c r="F98" i="23" l="1"/>
  <c r="D100" i="23"/>
  <c r="F99" i="23"/>
  <c r="G98" i="23"/>
  <c r="G99" i="23" s="1"/>
  <c r="I93" i="3"/>
  <c r="J93" i="3"/>
  <c r="G93" i="3"/>
  <c r="H93" i="3"/>
  <c r="E92" i="4"/>
  <c r="B92" i="4"/>
  <c r="D92" i="4"/>
  <c r="F92" i="4"/>
  <c r="C92" i="4"/>
  <c r="A94" i="3"/>
  <c r="K94" i="3" s="1"/>
  <c r="C93" i="3"/>
  <c r="F93" i="3"/>
  <c r="D93" i="3"/>
  <c r="B93" i="3"/>
  <c r="E93" i="3"/>
  <c r="D101" i="23" l="1"/>
  <c r="E100" i="23"/>
  <c r="E101" i="23" s="1"/>
  <c r="I94" i="3"/>
  <c r="J94" i="3"/>
  <c r="G94" i="3"/>
  <c r="H94" i="3"/>
  <c r="E93" i="4"/>
  <c r="B93" i="4"/>
  <c r="D93" i="4"/>
  <c r="F93" i="4"/>
  <c r="C93" i="4"/>
  <c r="A95" i="3"/>
  <c r="K95" i="3" s="1"/>
  <c r="C94" i="3"/>
  <c r="F94" i="3"/>
  <c r="D94" i="3"/>
  <c r="B94" i="3"/>
  <c r="E94" i="3"/>
  <c r="F100" i="23" l="1"/>
  <c r="D102" i="23"/>
  <c r="F101" i="23"/>
  <c r="G100" i="23"/>
  <c r="G101" i="23" s="1"/>
  <c r="I95" i="3"/>
  <c r="J95" i="3"/>
  <c r="G95" i="3"/>
  <c r="H95" i="3"/>
  <c r="E94" i="4"/>
  <c r="B94" i="4"/>
  <c r="D94" i="4"/>
  <c r="F94" i="4"/>
  <c r="C94" i="4"/>
  <c r="A96" i="3"/>
  <c r="K96" i="3" s="1"/>
  <c r="C95" i="3"/>
  <c r="F95" i="3"/>
  <c r="D95" i="3"/>
  <c r="B95" i="3"/>
  <c r="E95" i="3"/>
  <c r="D103" i="23" l="1"/>
  <c r="E102" i="23"/>
  <c r="E103" i="23" s="1"/>
  <c r="I96" i="3"/>
  <c r="J96" i="3"/>
  <c r="G96" i="3"/>
  <c r="H96" i="3"/>
  <c r="E95" i="4"/>
  <c r="B95" i="4"/>
  <c r="D95" i="4"/>
  <c r="F95" i="4"/>
  <c r="C95" i="4"/>
  <c r="A97" i="3"/>
  <c r="K97" i="3" s="1"/>
  <c r="E96" i="3"/>
  <c r="C96" i="3"/>
  <c r="F96" i="3"/>
  <c r="D96" i="3"/>
  <c r="B96" i="3"/>
  <c r="G102" i="23" l="1"/>
  <c r="F102" i="23"/>
  <c r="D104" i="23"/>
  <c r="G103" i="23"/>
  <c r="F103" i="23"/>
  <c r="I97" i="3"/>
  <c r="J97" i="3"/>
  <c r="G97" i="3"/>
  <c r="H97" i="3"/>
  <c r="B96" i="4"/>
  <c r="D96" i="4"/>
  <c r="F96" i="4"/>
  <c r="C96" i="4"/>
  <c r="E96" i="4"/>
  <c r="A98" i="3"/>
  <c r="K98" i="3" s="1"/>
  <c r="B97" i="3"/>
  <c r="E97" i="3"/>
  <c r="C97" i="3"/>
  <c r="F97" i="3"/>
  <c r="D97" i="3"/>
  <c r="D105" i="23" l="1"/>
  <c r="E104" i="23"/>
  <c r="E105" i="23" s="1"/>
  <c r="I98" i="3"/>
  <c r="J98" i="3"/>
  <c r="G98" i="3"/>
  <c r="H98" i="3"/>
  <c r="D97" i="4"/>
  <c r="F97" i="4"/>
  <c r="C97" i="4"/>
  <c r="E97" i="4"/>
  <c r="B97" i="4"/>
  <c r="A99" i="3"/>
  <c r="K99" i="3" s="1"/>
  <c r="B98" i="3"/>
  <c r="E98" i="3"/>
  <c r="C98" i="3"/>
  <c r="F98" i="3"/>
  <c r="D98" i="3"/>
  <c r="F104" i="23" l="1"/>
  <c r="G104" i="23"/>
  <c r="D106" i="23"/>
  <c r="G105" i="23"/>
  <c r="F105" i="23"/>
  <c r="I99" i="3"/>
  <c r="J99" i="3"/>
  <c r="G99" i="3"/>
  <c r="H99" i="3"/>
  <c r="D98" i="4"/>
  <c r="F98" i="4"/>
  <c r="C98" i="4"/>
  <c r="E98" i="4"/>
  <c r="B98" i="4"/>
  <c r="A100" i="3"/>
  <c r="K100" i="3" s="1"/>
  <c r="B99" i="3"/>
  <c r="E99" i="3"/>
  <c r="C99" i="3"/>
  <c r="F99" i="3"/>
  <c r="D99" i="3"/>
  <c r="D107" i="23" l="1"/>
  <c r="E106" i="23"/>
  <c r="E107" i="23" s="1"/>
  <c r="I100" i="3"/>
  <c r="J100" i="3"/>
  <c r="G100" i="3"/>
  <c r="H100" i="3"/>
  <c r="D99" i="4"/>
  <c r="F99" i="4"/>
  <c r="C99" i="4"/>
  <c r="E99" i="4"/>
  <c r="B99" i="4"/>
  <c r="A101" i="3"/>
  <c r="K101" i="3" s="1"/>
  <c r="B100" i="3"/>
  <c r="E100" i="3"/>
  <c r="C100" i="3"/>
  <c r="F100" i="3"/>
  <c r="D100" i="3"/>
  <c r="G106" i="23" l="1"/>
  <c r="G107" i="23" s="1"/>
  <c r="F106" i="23"/>
  <c r="D108" i="23"/>
  <c r="F107" i="23"/>
  <c r="I101" i="3"/>
  <c r="J101" i="3"/>
  <c r="G101" i="3"/>
  <c r="H101" i="3"/>
  <c r="D100" i="4"/>
  <c r="F100" i="4"/>
  <c r="C100" i="4"/>
  <c r="E100" i="4"/>
  <c r="B100" i="4"/>
  <c r="A102" i="3"/>
  <c r="K102" i="3" s="1"/>
  <c r="B101" i="3"/>
  <c r="E101" i="3"/>
  <c r="C101" i="3"/>
  <c r="F101" i="3"/>
  <c r="D101" i="3"/>
  <c r="D109" i="23" l="1"/>
  <c r="E108" i="23"/>
  <c r="E109" i="23" s="1"/>
  <c r="I102" i="3"/>
  <c r="J102" i="3"/>
  <c r="G102" i="3"/>
  <c r="H102" i="3"/>
  <c r="D101" i="4"/>
  <c r="F101" i="4"/>
  <c r="C101" i="4"/>
  <c r="E101" i="4"/>
  <c r="B101" i="4"/>
  <c r="A103" i="3"/>
  <c r="K103" i="3" s="1"/>
  <c r="D102" i="3"/>
  <c r="B102" i="3"/>
  <c r="E102" i="3"/>
  <c r="C102" i="3"/>
  <c r="F102" i="3"/>
  <c r="G108" i="23" l="1"/>
  <c r="F108" i="23"/>
  <c r="D110" i="23"/>
  <c r="F109" i="23"/>
  <c r="G109" i="23"/>
  <c r="I103" i="3"/>
  <c r="J103" i="3"/>
  <c r="G103" i="3"/>
  <c r="H103" i="3"/>
  <c r="F102" i="4"/>
  <c r="C102" i="4"/>
  <c r="E102" i="4"/>
  <c r="B102" i="4"/>
  <c r="D102" i="4"/>
  <c r="A104" i="3"/>
  <c r="K104" i="3" s="1"/>
  <c r="D103" i="3"/>
  <c r="F103" i="3"/>
  <c r="B103" i="3"/>
  <c r="E103" i="3"/>
  <c r="C103" i="3"/>
  <c r="D111" i="23" l="1"/>
  <c r="E110" i="23"/>
  <c r="E111" i="23" s="1"/>
  <c r="I104" i="3"/>
  <c r="J104" i="3"/>
  <c r="G104" i="3"/>
  <c r="H104" i="3"/>
  <c r="C103" i="4"/>
  <c r="E103" i="4"/>
  <c r="B103" i="4"/>
  <c r="F103" i="4"/>
  <c r="D103" i="4"/>
  <c r="A105" i="3"/>
  <c r="K105" i="3" s="1"/>
  <c r="D104" i="3"/>
  <c r="C104" i="3"/>
  <c r="F104" i="3"/>
  <c r="B104" i="3"/>
  <c r="E104" i="3"/>
  <c r="G110" i="23" l="1"/>
  <c r="F110" i="23"/>
  <c r="D112" i="23"/>
  <c r="F111" i="23"/>
  <c r="G111" i="23"/>
  <c r="I105" i="3"/>
  <c r="J105" i="3"/>
  <c r="G105" i="3"/>
  <c r="H105" i="3"/>
  <c r="B104" i="4"/>
  <c r="C104" i="4"/>
  <c r="A106" i="3"/>
  <c r="K106" i="3" s="1"/>
  <c r="D105" i="3"/>
  <c r="E105" i="3"/>
  <c r="C105" i="3"/>
  <c r="B105" i="3"/>
  <c r="F105" i="3"/>
  <c r="E104" i="4"/>
  <c r="F104" i="4"/>
  <c r="D104" i="4"/>
  <c r="D113" i="23" l="1"/>
  <c r="E112" i="23"/>
  <c r="E113" i="23" s="1"/>
  <c r="I106" i="3"/>
  <c r="J106" i="3"/>
  <c r="G106" i="3"/>
  <c r="H106" i="3"/>
  <c r="E105" i="4"/>
  <c r="D105" i="4"/>
  <c r="A107" i="3"/>
  <c r="K107" i="3" s="1"/>
  <c r="D106" i="3"/>
  <c r="B106" i="3"/>
  <c r="E106" i="3"/>
  <c r="F106" i="3"/>
  <c r="C106" i="3"/>
  <c r="F105" i="4"/>
  <c r="B105" i="4"/>
  <c r="C105" i="4"/>
  <c r="G112" i="23" l="1"/>
  <c r="F112" i="23"/>
  <c r="D114" i="23"/>
  <c r="F113" i="23"/>
  <c r="G113" i="23"/>
  <c r="I107" i="3"/>
  <c r="J107" i="3"/>
  <c r="G107" i="3"/>
  <c r="H107" i="3"/>
  <c r="D106" i="4"/>
  <c r="B106" i="4"/>
  <c r="A108" i="3"/>
  <c r="K108" i="3" s="1"/>
  <c r="D107" i="3"/>
  <c r="B107" i="3"/>
  <c r="F107" i="3"/>
  <c r="E107" i="3"/>
  <c r="C107" i="3"/>
  <c r="C106" i="4"/>
  <c r="F106" i="4"/>
  <c r="E106" i="4"/>
  <c r="D115" i="23" l="1"/>
  <c r="E114" i="23"/>
  <c r="E115" i="23" s="1"/>
  <c r="I108" i="3"/>
  <c r="J108" i="3"/>
  <c r="G108" i="3"/>
  <c r="H108" i="3"/>
  <c r="B107" i="4"/>
  <c r="D107" i="4"/>
  <c r="A109" i="3"/>
  <c r="K109" i="3" s="1"/>
  <c r="D108" i="3"/>
  <c r="B108" i="3"/>
  <c r="F108" i="3"/>
  <c r="E108" i="3"/>
  <c r="C108" i="3"/>
  <c r="C107" i="4"/>
  <c r="E107" i="4"/>
  <c r="F107" i="4"/>
  <c r="G114" i="23" l="1"/>
  <c r="F114" i="23"/>
  <c r="D116" i="23"/>
  <c r="F115" i="23"/>
  <c r="G115" i="23"/>
  <c r="I109" i="3"/>
  <c r="J109" i="3"/>
  <c r="G109" i="3"/>
  <c r="H109" i="3"/>
  <c r="B108" i="4"/>
  <c r="D108" i="4"/>
  <c r="C108" i="4"/>
  <c r="E108" i="4"/>
  <c r="F108" i="4"/>
  <c r="A110" i="3"/>
  <c r="K110" i="3" s="1"/>
  <c r="F109" i="3"/>
  <c r="B109" i="3"/>
  <c r="E109" i="3"/>
  <c r="D109" i="3"/>
  <c r="C109" i="3"/>
  <c r="D117" i="23" l="1"/>
  <c r="E116" i="23"/>
  <c r="E117" i="23" s="1"/>
  <c r="I110" i="3"/>
  <c r="J110" i="3"/>
  <c r="G110" i="3"/>
  <c r="H110" i="3"/>
  <c r="C109" i="4"/>
  <c r="D109" i="4"/>
  <c r="E109" i="4"/>
  <c r="B109" i="4"/>
  <c r="F109" i="4"/>
  <c r="A111" i="3"/>
  <c r="K111" i="3" s="1"/>
  <c r="C110" i="3"/>
  <c r="F110" i="3"/>
  <c r="B110" i="3"/>
  <c r="D110" i="3"/>
  <c r="E110" i="3"/>
  <c r="G116" i="23" l="1"/>
  <c r="F116" i="23"/>
  <c r="D118" i="23"/>
  <c r="F117" i="23"/>
  <c r="G117" i="23"/>
  <c r="I111" i="3"/>
  <c r="J111" i="3"/>
  <c r="G111" i="3"/>
  <c r="H111" i="3"/>
  <c r="E110" i="4"/>
  <c r="D110" i="4"/>
  <c r="B110" i="4"/>
  <c r="F110" i="4"/>
  <c r="C110" i="4"/>
  <c r="A112" i="3"/>
  <c r="K112" i="3" s="1"/>
  <c r="C111" i="3"/>
  <c r="F111" i="3"/>
  <c r="B111" i="3"/>
  <c r="E111" i="3"/>
  <c r="D111" i="3"/>
  <c r="D119" i="23" l="1"/>
  <c r="E118" i="23"/>
  <c r="E119" i="23" s="1"/>
  <c r="I112" i="3"/>
  <c r="J112" i="3"/>
  <c r="G112" i="3"/>
  <c r="H112" i="3"/>
  <c r="D111" i="4"/>
  <c r="E111" i="4"/>
  <c r="B111" i="4"/>
  <c r="F111" i="4"/>
  <c r="C111" i="4"/>
  <c r="A113" i="3"/>
  <c r="K113" i="3" s="1"/>
  <c r="C112" i="3"/>
  <c r="F112" i="3"/>
  <c r="E112" i="3"/>
  <c r="B112" i="3"/>
  <c r="D112" i="3"/>
  <c r="F118" i="23" l="1"/>
  <c r="G118" i="23"/>
  <c r="D120" i="23"/>
  <c r="F119" i="23"/>
  <c r="G119" i="23"/>
  <c r="I113" i="3"/>
  <c r="J113" i="3"/>
  <c r="G113" i="3"/>
  <c r="H113" i="3"/>
  <c r="D112" i="4"/>
  <c r="B112" i="4"/>
  <c r="E112" i="4"/>
  <c r="F112" i="4"/>
  <c r="C112" i="4"/>
  <c r="A114" i="3"/>
  <c r="K114" i="3" s="1"/>
  <c r="C113" i="3"/>
  <c r="F113" i="3"/>
  <c r="B113" i="3"/>
  <c r="E113" i="3"/>
  <c r="D113" i="3"/>
  <c r="D121" i="23" l="1"/>
  <c r="E120" i="23"/>
  <c r="E121" i="23" s="1"/>
  <c r="I114" i="3"/>
  <c r="J114" i="3"/>
  <c r="G114" i="3"/>
  <c r="H114" i="3"/>
  <c r="D113" i="4"/>
  <c r="E113" i="4"/>
  <c r="B113" i="4"/>
  <c r="F113" i="4"/>
  <c r="C113" i="4"/>
  <c r="A115" i="3"/>
  <c r="K115" i="3" s="1"/>
  <c r="C114" i="3"/>
  <c r="D114" i="3"/>
  <c r="B114" i="3"/>
  <c r="E114" i="3"/>
  <c r="F114" i="3"/>
  <c r="G120" i="23" l="1"/>
  <c r="F120" i="23"/>
  <c r="D122" i="23"/>
  <c r="F121" i="23"/>
  <c r="G121" i="23"/>
  <c r="I115" i="3"/>
  <c r="J115" i="3"/>
  <c r="G115" i="3"/>
  <c r="H115" i="3"/>
  <c r="F114" i="4"/>
  <c r="E114" i="4"/>
  <c r="B114" i="4"/>
  <c r="D114" i="4"/>
  <c r="C114" i="4"/>
  <c r="A116" i="3"/>
  <c r="K116" i="3" s="1"/>
  <c r="F115" i="3"/>
  <c r="D115" i="3"/>
  <c r="B115" i="3"/>
  <c r="E115" i="3"/>
  <c r="C115" i="3"/>
  <c r="D123" i="23" l="1"/>
  <c r="E122" i="23"/>
  <c r="E123" i="23" s="1"/>
  <c r="I116" i="3"/>
  <c r="J116" i="3"/>
  <c r="G116" i="3"/>
  <c r="H116" i="3"/>
  <c r="C115" i="4"/>
  <c r="E115" i="4"/>
  <c r="B115" i="4"/>
  <c r="D115" i="4"/>
  <c r="F115" i="4"/>
  <c r="A117" i="3"/>
  <c r="K117" i="3" s="1"/>
  <c r="E116" i="3"/>
  <c r="C116" i="3"/>
  <c r="F116" i="3"/>
  <c r="D116" i="3"/>
  <c r="B116" i="3"/>
  <c r="G122" i="23" l="1"/>
  <c r="F122" i="23"/>
  <c r="D124" i="23"/>
  <c r="G123" i="23"/>
  <c r="F123" i="23"/>
  <c r="I117" i="3"/>
  <c r="J117" i="3"/>
  <c r="G117" i="3"/>
  <c r="H117" i="3"/>
  <c r="B116" i="4"/>
  <c r="D116" i="4"/>
  <c r="F116" i="4"/>
  <c r="C116" i="4"/>
  <c r="E116" i="4"/>
  <c r="A118" i="3"/>
  <c r="K118" i="3" s="1"/>
  <c r="B117" i="3"/>
  <c r="E117" i="3"/>
  <c r="C117" i="3"/>
  <c r="F117" i="3"/>
  <c r="D117" i="3"/>
  <c r="D125" i="23" l="1"/>
  <c r="E124" i="23"/>
  <c r="E125" i="23" s="1"/>
  <c r="I118" i="3"/>
  <c r="J118" i="3"/>
  <c r="G118" i="3"/>
  <c r="H118" i="3"/>
  <c r="D117" i="4"/>
  <c r="F117" i="4"/>
  <c r="C117" i="4"/>
  <c r="E117" i="4"/>
  <c r="B117" i="4"/>
  <c r="A119" i="3"/>
  <c r="K119" i="3" s="1"/>
  <c r="B118" i="3"/>
  <c r="E118" i="3"/>
  <c r="C118" i="3"/>
  <c r="F118" i="3"/>
  <c r="D118" i="3"/>
  <c r="F124" i="23" l="1"/>
  <c r="G124" i="23"/>
  <c r="D126" i="23"/>
  <c r="G125" i="23"/>
  <c r="F125" i="23"/>
  <c r="I119" i="3"/>
  <c r="J119" i="3"/>
  <c r="G119" i="3"/>
  <c r="H119" i="3"/>
  <c r="D118" i="4"/>
  <c r="F118" i="4"/>
  <c r="C118" i="4"/>
  <c r="E118" i="4"/>
  <c r="B118" i="4"/>
  <c r="A120" i="3"/>
  <c r="K120" i="3" s="1"/>
  <c r="B119" i="3"/>
  <c r="E119" i="3"/>
  <c r="C119" i="3"/>
  <c r="F119" i="3"/>
  <c r="D119" i="3"/>
  <c r="D127" i="23" l="1"/>
  <c r="E126" i="23"/>
  <c r="E127" i="23" s="1"/>
  <c r="I120" i="3"/>
  <c r="J120" i="3"/>
  <c r="G120" i="3"/>
  <c r="H120" i="3"/>
  <c r="D119" i="4"/>
  <c r="F119" i="4"/>
  <c r="C119" i="4"/>
  <c r="E119" i="4"/>
  <c r="B119" i="4"/>
  <c r="A121" i="3"/>
  <c r="K121" i="3" s="1"/>
  <c r="B120" i="3"/>
  <c r="E120" i="3"/>
  <c r="C120" i="3"/>
  <c r="F120" i="3"/>
  <c r="D120" i="3"/>
  <c r="F126" i="23" l="1"/>
  <c r="D128" i="23"/>
  <c r="G127" i="23"/>
  <c r="F127" i="23"/>
  <c r="G126" i="23"/>
  <c r="I121" i="3"/>
  <c r="J121" i="3"/>
  <c r="G121" i="3"/>
  <c r="H121" i="3"/>
  <c r="D120" i="4"/>
  <c r="F120" i="4"/>
  <c r="E120" i="4"/>
  <c r="B120" i="4"/>
  <c r="C120" i="4"/>
  <c r="A122" i="3"/>
  <c r="K122" i="3" s="1"/>
  <c r="B121" i="3"/>
  <c r="E121" i="3"/>
  <c r="C121" i="3"/>
  <c r="F121" i="3"/>
  <c r="D121" i="3"/>
  <c r="D129" i="23" l="1"/>
  <c r="E128" i="23"/>
  <c r="E129" i="23" s="1"/>
  <c r="I122" i="3"/>
  <c r="J122" i="3"/>
  <c r="G122" i="3"/>
  <c r="H122" i="3"/>
  <c r="C121" i="4"/>
  <c r="D121" i="4"/>
  <c r="F121" i="4"/>
  <c r="E121" i="4"/>
  <c r="B121" i="4"/>
  <c r="A123" i="3"/>
  <c r="K123" i="3" s="1"/>
  <c r="B122" i="3"/>
  <c r="E122" i="3"/>
  <c r="C122" i="3"/>
  <c r="F122" i="3"/>
  <c r="D122" i="3"/>
  <c r="F128" i="23" l="1"/>
  <c r="G128" i="23"/>
  <c r="D130" i="23"/>
  <c r="F129" i="23"/>
  <c r="G129" i="23"/>
  <c r="I123" i="3"/>
  <c r="J123" i="3"/>
  <c r="G123" i="3"/>
  <c r="H123" i="3"/>
  <c r="E122" i="4"/>
  <c r="D122" i="4"/>
  <c r="F122" i="4"/>
  <c r="C122" i="4"/>
  <c r="B122" i="4"/>
  <c r="A124" i="3"/>
  <c r="K124" i="3" s="1"/>
  <c r="D123" i="3"/>
  <c r="B123" i="3"/>
  <c r="E123" i="3"/>
  <c r="C123" i="3"/>
  <c r="F123" i="3"/>
  <c r="D131" i="23" l="1"/>
  <c r="E130" i="23"/>
  <c r="E131" i="23" s="1"/>
  <c r="I124" i="3"/>
  <c r="J124" i="3"/>
  <c r="G124" i="3"/>
  <c r="H124" i="3"/>
  <c r="F123" i="4"/>
  <c r="C123" i="4"/>
  <c r="E123" i="4"/>
  <c r="B123" i="4"/>
  <c r="D123" i="4"/>
  <c r="A125" i="3"/>
  <c r="K125" i="3" s="1"/>
  <c r="D124" i="3"/>
  <c r="B124" i="3"/>
  <c r="E124" i="3"/>
  <c r="C124" i="3"/>
  <c r="F124" i="3"/>
  <c r="G130" i="23" l="1"/>
  <c r="F130" i="23"/>
  <c r="D132" i="23"/>
  <c r="F131" i="23"/>
  <c r="G131" i="23"/>
  <c r="I125" i="3"/>
  <c r="J125" i="3"/>
  <c r="G125" i="3"/>
  <c r="H125" i="3"/>
  <c r="E124" i="4"/>
  <c r="F124" i="4"/>
  <c r="C124" i="4"/>
  <c r="B124" i="4"/>
  <c r="D124" i="4"/>
  <c r="A126" i="3"/>
  <c r="K126" i="3" s="1"/>
  <c r="D125" i="3"/>
  <c r="B125" i="3"/>
  <c r="E125" i="3"/>
  <c r="C125" i="3"/>
  <c r="F125" i="3"/>
  <c r="D133" i="23" l="1"/>
  <c r="E132" i="23"/>
  <c r="E133" i="23" s="1"/>
  <c r="I126" i="3"/>
  <c r="J126" i="3"/>
  <c r="G126" i="3"/>
  <c r="H126" i="3"/>
  <c r="F125" i="4"/>
  <c r="C125" i="4"/>
  <c r="E125" i="4"/>
  <c r="D125" i="4"/>
  <c r="A127" i="3"/>
  <c r="K127" i="3" s="1"/>
  <c r="D126" i="3"/>
  <c r="B126" i="3"/>
  <c r="E126" i="3"/>
  <c r="C126" i="3"/>
  <c r="F126" i="3"/>
  <c r="B125" i="4"/>
  <c r="G132" i="23" l="1"/>
  <c r="F132" i="23"/>
  <c r="D134" i="23"/>
  <c r="F133" i="23"/>
  <c r="G133" i="23"/>
  <c r="I127" i="3"/>
  <c r="J127" i="3"/>
  <c r="G127" i="3"/>
  <c r="H127" i="3"/>
  <c r="F126" i="4"/>
  <c r="E126" i="4"/>
  <c r="B126" i="4"/>
  <c r="A128" i="3"/>
  <c r="K128" i="3" s="1"/>
  <c r="D127" i="3"/>
  <c r="B127" i="3"/>
  <c r="E127" i="3"/>
  <c r="C127" i="3"/>
  <c r="F127" i="3"/>
  <c r="C126" i="4"/>
  <c r="D126" i="4"/>
  <c r="D135" i="23" l="1"/>
  <c r="E134" i="23"/>
  <c r="E135" i="23" s="1"/>
  <c r="I128" i="3"/>
  <c r="J128" i="3"/>
  <c r="G128" i="3"/>
  <c r="H128" i="3"/>
  <c r="A129" i="3"/>
  <c r="K129" i="3" s="1"/>
  <c r="F128" i="3"/>
  <c r="D128" i="3"/>
  <c r="B128" i="3"/>
  <c r="E128" i="3"/>
  <c r="C128" i="3"/>
  <c r="F127" i="4"/>
  <c r="C127" i="4"/>
  <c r="E127" i="4"/>
  <c r="B127" i="4"/>
  <c r="D127" i="4"/>
  <c r="G134" i="23" l="1"/>
  <c r="F134" i="23"/>
  <c r="F135" i="23"/>
  <c r="G135" i="23"/>
  <c r="B155" i="23" s="1"/>
  <c r="I129" i="3"/>
  <c r="J129" i="3"/>
  <c r="G129" i="3"/>
  <c r="H129" i="3"/>
  <c r="C128" i="4"/>
  <c r="E128" i="4"/>
  <c r="B128" i="4"/>
  <c r="D128" i="4"/>
  <c r="F128" i="4"/>
  <c r="A130" i="3"/>
  <c r="K130" i="3" s="1"/>
  <c r="F129" i="3"/>
  <c r="C129" i="3"/>
  <c r="D129" i="3"/>
  <c r="B129" i="3"/>
  <c r="E129" i="3"/>
  <c r="C144" i="23" l="1"/>
  <c r="B151" i="23"/>
  <c r="C151" i="23" s="1"/>
  <c r="C145" i="23"/>
  <c r="I130" i="3"/>
  <c r="J130" i="3"/>
  <c r="G130" i="3"/>
  <c r="H130" i="3"/>
  <c r="E129" i="4"/>
  <c r="B129" i="4"/>
  <c r="D129" i="4"/>
  <c r="C129" i="4"/>
  <c r="F129" i="4"/>
  <c r="A131" i="3"/>
  <c r="K131" i="3" s="1"/>
  <c r="C130" i="3"/>
  <c r="F130" i="3"/>
  <c r="E130" i="3"/>
  <c r="D130" i="3"/>
  <c r="B130" i="3"/>
  <c r="I131" i="3" l="1"/>
  <c r="J131" i="3"/>
  <c r="G131" i="3"/>
  <c r="H131" i="3"/>
  <c r="B130" i="4"/>
  <c r="D130" i="4"/>
  <c r="E130" i="4"/>
  <c r="F130" i="4"/>
  <c r="C130" i="4"/>
  <c r="A132" i="3"/>
  <c r="K132" i="3" s="1"/>
  <c r="C131" i="3"/>
  <c r="F131" i="3"/>
  <c r="B131" i="3"/>
  <c r="E131" i="3"/>
  <c r="D131" i="3"/>
  <c r="I132" i="3" l="1"/>
  <c r="J132" i="3"/>
  <c r="G132" i="3"/>
  <c r="H132" i="3"/>
  <c r="D131" i="4"/>
  <c r="E131" i="4"/>
  <c r="B131" i="4"/>
  <c r="F131" i="4"/>
  <c r="C131" i="4"/>
  <c r="A133" i="3"/>
  <c r="K133" i="3" s="1"/>
  <c r="C132" i="3"/>
  <c r="F132" i="3"/>
  <c r="D132" i="3"/>
  <c r="B132" i="3"/>
  <c r="E132" i="3"/>
  <c r="I133" i="3" l="1"/>
  <c r="J133" i="3"/>
  <c r="G133" i="3"/>
  <c r="H133" i="3"/>
  <c r="E132" i="4"/>
  <c r="B132" i="4"/>
  <c r="D132" i="4"/>
  <c r="C132" i="4"/>
  <c r="F132" i="4"/>
  <c r="A134" i="3"/>
  <c r="K134" i="3" s="1"/>
  <c r="C133" i="3"/>
  <c r="F133" i="3"/>
  <c r="D133" i="3"/>
  <c r="B133" i="3"/>
  <c r="E133" i="3"/>
  <c r="I134" i="3" l="1"/>
  <c r="J134" i="3"/>
  <c r="G134" i="3"/>
  <c r="H134" i="3"/>
  <c r="E133" i="4"/>
  <c r="C133" i="4"/>
  <c r="B133" i="4"/>
  <c r="D133" i="4"/>
  <c r="F133" i="4"/>
  <c r="C134" i="3"/>
  <c r="F134" i="3"/>
  <c r="D134" i="3"/>
  <c r="B134" i="3"/>
  <c r="E134" i="3"/>
  <c r="B134" i="4" l="1"/>
  <c r="D134" i="4"/>
  <c r="C134" i="4"/>
  <c r="E134" i="4"/>
  <c r="F134" i="4"/>
  <c r="F3" i="5" l="1"/>
  <c r="F5" i="5" s="1"/>
  <c r="F4" i="5"/>
  <c r="F6" i="5" s="1"/>
  <c r="E4" i="5"/>
  <c r="E6" i="5" s="1"/>
  <c r="E3" i="5"/>
  <c r="E5" i="5" s="1"/>
  <c r="C4" i="5"/>
  <c r="C6" i="5" s="1"/>
  <c r="C3" i="5"/>
  <c r="C5" i="5" s="1"/>
  <c r="D4" i="5"/>
  <c r="D6" i="5" s="1"/>
  <c r="D3" i="5"/>
  <c r="D5" i="5" s="1"/>
  <c r="B3" i="5"/>
  <c r="B5" i="5" s="1"/>
  <c r="B4" i="5"/>
  <c r="B6" i="5" s="1"/>
  <c r="F7" i="5" l="1"/>
  <c r="C6" i="16"/>
  <c r="C8" i="16"/>
  <c r="D7" i="5"/>
  <c r="C7" i="5"/>
  <c r="C7" i="16"/>
  <c r="C9" i="16"/>
  <c r="E7" i="5"/>
  <c r="I2" i="16" l="1"/>
  <c r="F2" i="16" s="1"/>
</calcChain>
</file>

<file path=xl/sharedStrings.xml><?xml version="1.0" encoding="utf-8"?>
<sst xmlns="http://schemas.openxmlformats.org/spreadsheetml/2006/main" count="1982" uniqueCount="1476">
  <si>
    <t>Date</t>
  </si>
  <si>
    <t>Price</t>
  </si>
  <si>
    <t>Open</t>
  </si>
  <si>
    <t>High</t>
  </si>
  <si>
    <t>Low</t>
  </si>
  <si>
    <t>Vol.</t>
  </si>
  <si>
    <t>Change %</t>
  </si>
  <si>
    <t>156.48M</t>
  </si>
  <si>
    <t>232.08M</t>
  </si>
  <si>
    <t>209.29M</t>
  </si>
  <si>
    <t>553.02M</t>
  </si>
  <si>
    <t>302.00M</t>
  </si>
  <si>
    <t>178.58M</t>
  </si>
  <si>
    <t>202.61M</t>
  </si>
  <si>
    <t>199.60M</t>
  </si>
  <si>
    <t>235.25M</t>
  </si>
  <si>
    <t>354.30M</t>
  </si>
  <si>
    <t>181.03M</t>
  </si>
  <si>
    <t>178.99M</t>
  </si>
  <si>
    <t>141.39M</t>
  </si>
  <si>
    <t>115.49M</t>
  </si>
  <si>
    <t>152.76M</t>
  </si>
  <si>
    <t>145.96M</t>
  </si>
  <si>
    <t>130.63M</t>
  </si>
  <si>
    <t>147.22M</t>
  </si>
  <si>
    <t>138.68M</t>
  </si>
  <si>
    <t>108.84M</t>
  </si>
  <si>
    <t>141.71M</t>
  </si>
  <si>
    <t>254.35M</t>
  </si>
  <si>
    <t>162.62M</t>
  </si>
  <si>
    <t>118.52M</t>
  </si>
  <si>
    <t>124.74M</t>
  </si>
  <si>
    <t>153.61M</t>
  </si>
  <si>
    <t>143.77M</t>
  </si>
  <si>
    <t>222.54M</t>
  </si>
  <si>
    <t>122.81M</t>
  </si>
  <si>
    <t>140.45M</t>
  </si>
  <si>
    <t>99.86M</t>
  </si>
  <si>
    <t>134.63M</t>
  </si>
  <si>
    <t>181.07M</t>
  </si>
  <si>
    <t>170.99M</t>
  </si>
  <si>
    <t>223.20M</t>
  </si>
  <si>
    <t>113.81M</t>
  </si>
  <si>
    <t>118.79M</t>
  </si>
  <si>
    <t>106.82M</t>
  </si>
  <si>
    <t>114.98M</t>
  </si>
  <si>
    <t>118.41M</t>
  </si>
  <si>
    <t>139.88M</t>
  </si>
  <si>
    <t>110.22M</t>
  </si>
  <si>
    <t>134.82M</t>
  </si>
  <si>
    <t>145.74M</t>
  </si>
  <si>
    <t>179.91M</t>
  </si>
  <si>
    <t>195.35M</t>
  </si>
  <si>
    <t>376.77M</t>
  </si>
  <si>
    <t>254.60M</t>
  </si>
  <si>
    <t>211.14M</t>
  </si>
  <si>
    <t>151.25M</t>
  </si>
  <si>
    <t>162.18M</t>
  </si>
  <si>
    <t>136.14M</t>
  </si>
  <si>
    <t>160.62M</t>
  </si>
  <si>
    <t>165.40M</t>
  </si>
  <si>
    <t>145.20M</t>
  </si>
  <si>
    <t>207.52M</t>
  </si>
  <si>
    <t>199.08M</t>
  </si>
  <si>
    <t>143.03M</t>
  </si>
  <si>
    <t>213.38M</t>
  </si>
  <si>
    <t>181.02M</t>
  </si>
  <si>
    <t>210.96M</t>
  </si>
  <si>
    <t>177.61M</t>
  </si>
  <si>
    <t>222.26M</t>
  </si>
  <si>
    <t>172.32M</t>
  </si>
  <si>
    <t>219.98M</t>
  </si>
  <si>
    <t>389.83M</t>
  </si>
  <si>
    <t>305.20M</t>
  </si>
  <si>
    <t>222.15M</t>
  </si>
  <si>
    <t>235.38M</t>
  </si>
  <si>
    <t>260.33M</t>
  </si>
  <si>
    <t>457.65M</t>
  </si>
  <si>
    <t>254.88M</t>
  </si>
  <si>
    <t>195.18M</t>
  </si>
  <si>
    <t>121.58M</t>
  </si>
  <si>
    <t>139.28M</t>
  </si>
  <si>
    <t>179.12M</t>
  </si>
  <si>
    <t>235.12M</t>
  </si>
  <si>
    <t>323.50M</t>
  </si>
  <si>
    <t>226.44M</t>
  </si>
  <si>
    <t>205.60M</t>
  </si>
  <si>
    <t>140.58M</t>
  </si>
  <si>
    <t>124.26M</t>
  </si>
  <si>
    <t>168.88M</t>
  </si>
  <si>
    <t>141.98M</t>
  </si>
  <si>
    <t>178.89M</t>
  </si>
  <si>
    <t>186.73M</t>
  </si>
  <si>
    <t>228.48M</t>
  </si>
  <si>
    <t>97.36M</t>
  </si>
  <si>
    <t>148.36M</t>
  </si>
  <si>
    <t>130.60M</t>
  </si>
  <si>
    <t>133.56M</t>
  </si>
  <si>
    <t>136.94M</t>
  </si>
  <si>
    <t>148.67M</t>
  </si>
  <si>
    <t>143.37M</t>
  </si>
  <si>
    <t>176.37M</t>
  </si>
  <si>
    <t>184.87M</t>
  </si>
  <si>
    <t>145.86M</t>
  </si>
  <si>
    <t>122.00M</t>
  </si>
  <si>
    <t>137.82M</t>
  </si>
  <si>
    <t>174.23M</t>
  </si>
  <si>
    <t>179.58M</t>
  </si>
  <si>
    <t>128.52M</t>
  </si>
  <si>
    <t>160.83M</t>
  </si>
  <si>
    <t>160.11M</t>
  </si>
  <si>
    <t>176.16M</t>
  </si>
  <si>
    <t>172.56M</t>
  </si>
  <si>
    <t>150.26M</t>
  </si>
  <si>
    <t>150.54M</t>
  </si>
  <si>
    <t>159.86M</t>
  </si>
  <si>
    <t>247.89M</t>
  </si>
  <si>
    <t>181.30M</t>
  </si>
  <si>
    <t>213.66M</t>
  </si>
  <si>
    <t>215.78M</t>
  </si>
  <si>
    <t>259.55M</t>
  </si>
  <si>
    <t>307.77M</t>
  </si>
  <si>
    <t>201.10M</t>
  </si>
  <si>
    <t>222.99M</t>
  </si>
  <si>
    <t>259.67M</t>
  </si>
  <si>
    <t>314.97M</t>
  </si>
  <si>
    <t>139.71M</t>
  </si>
  <si>
    <t>124.50M</t>
  </si>
  <si>
    <t>106.87M</t>
  </si>
  <si>
    <t>131.53M</t>
  </si>
  <si>
    <t>113.79M</t>
  </si>
  <si>
    <t>151.17M</t>
  </si>
  <si>
    <t>157.50M</t>
  </si>
  <si>
    <t>110.27M</t>
  </si>
  <si>
    <t>99.10M</t>
  </si>
  <si>
    <t>106.64M</t>
  </si>
  <si>
    <t>133.48M</t>
  </si>
  <si>
    <t>125.69M</t>
  </si>
  <si>
    <t>198.03M</t>
  </si>
  <si>
    <t>GLD</t>
  </si>
  <si>
    <t>191.96M</t>
  </si>
  <si>
    <t>344.72M</t>
  </si>
  <si>
    <t>279.42M</t>
  </si>
  <si>
    <t>288.64M</t>
  </si>
  <si>
    <t>351.99M</t>
  </si>
  <si>
    <t>327.74M</t>
  </si>
  <si>
    <t>317.77M</t>
  </si>
  <si>
    <t>410.07M</t>
  </si>
  <si>
    <t>327.02M</t>
  </si>
  <si>
    <t>398.12M</t>
  </si>
  <si>
    <t>385.65M</t>
  </si>
  <si>
    <t>274.85M</t>
  </si>
  <si>
    <t>307.75M</t>
  </si>
  <si>
    <t>355.12M</t>
  </si>
  <si>
    <t>290.43M</t>
  </si>
  <si>
    <t>302.69M</t>
  </si>
  <si>
    <t>320.44M</t>
  </si>
  <si>
    <t>284.67M</t>
  </si>
  <si>
    <t>277.96M</t>
  </si>
  <si>
    <t>347.60M</t>
  </si>
  <si>
    <t>415.98M</t>
  </si>
  <si>
    <t>385.77M</t>
  </si>
  <si>
    <t>353.95M</t>
  </si>
  <si>
    <t>360.92M</t>
  </si>
  <si>
    <t>413.19M</t>
  </si>
  <si>
    <t>453.94M</t>
  </si>
  <si>
    <t>433.39M</t>
  </si>
  <si>
    <t>493.95M</t>
  </si>
  <si>
    <t>320.62M</t>
  </si>
  <si>
    <t>315.95M</t>
  </si>
  <si>
    <t>350.40M</t>
  </si>
  <si>
    <t>324.25M</t>
  </si>
  <si>
    <t>332.37M</t>
  </si>
  <si>
    <t>293.30M</t>
  </si>
  <si>
    <t>412.56M</t>
  </si>
  <si>
    <t>311.25M</t>
  </si>
  <si>
    <t>329.85M</t>
  </si>
  <si>
    <t>376.51M</t>
  </si>
  <si>
    <t>368.05M</t>
  </si>
  <si>
    <t>431.63M</t>
  </si>
  <si>
    <t>411.41M</t>
  </si>
  <si>
    <t>424.56M</t>
  </si>
  <si>
    <t>427.92M</t>
  </si>
  <si>
    <t>660.32M</t>
  </si>
  <si>
    <t>659.84M</t>
  </si>
  <si>
    <t>505.64M</t>
  </si>
  <si>
    <t>853.55M</t>
  </si>
  <si>
    <t>628.66M</t>
  </si>
  <si>
    <t>607.51M</t>
  </si>
  <si>
    <t>433.28M</t>
  </si>
  <si>
    <t>416.07M</t>
  </si>
  <si>
    <t>435.21M</t>
  </si>
  <si>
    <t>482.96M</t>
  </si>
  <si>
    <t>406.38M</t>
  </si>
  <si>
    <t>435.92M</t>
  </si>
  <si>
    <t>526.46M</t>
  </si>
  <si>
    <t>521.31M</t>
  </si>
  <si>
    <t>457.85M</t>
  </si>
  <si>
    <t>790.80M</t>
  </si>
  <si>
    <t>544.00M</t>
  </si>
  <si>
    <t>594.84M</t>
  </si>
  <si>
    <t>603.95M</t>
  </si>
  <si>
    <t>704.01M</t>
  </si>
  <si>
    <t>630.47M</t>
  </si>
  <si>
    <t>590.86M</t>
  </si>
  <si>
    <t>449.50M</t>
  </si>
  <si>
    <t>447.16M</t>
  </si>
  <si>
    <t>584.99M</t>
  </si>
  <si>
    <t>477.23M</t>
  </si>
  <si>
    <t>791.63M</t>
  </si>
  <si>
    <t>1.17B</t>
  </si>
  <si>
    <t>479.92M</t>
  </si>
  <si>
    <t>359.25M</t>
  </si>
  <si>
    <t>286.70M</t>
  </si>
  <si>
    <t>249.63M</t>
  </si>
  <si>
    <t>244.84M</t>
  </si>
  <si>
    <t>217.79M</t>
  </si>
  <si>
    <t>277.65M</t>
  </si>
  <si>
    <t>186.92M</t>
  </si>
  <si>
    <t>218.95M</t>
  </si>
  <si>
    <t>250.10M</t>
  </si>
  <si>
    <t>219.52M</t>
  </si>
  <si>
    <t>272.46M</t>
  </si>
  <si>
    <t>245.07M</t>
  </si>
  <si>
    <t>269.23M</t>
  </si>
  <si>
    <t>380.65M</t>
  </si>
  <si>
    <t>287.08M</t>
  </si>
  <si>
    <t>305.91M</t>
  </si>
  <si>
    <t>227.02M</t>
  </si>
  <si>
    <t>215.07M</t>
  </si>
  <si>
    <t>204.69M</t>
  </si>
  <si>
    <t>257.83M</t>
  </si>
  <si>
    <t>299.34M</t>
  </si>
  <si>
    <t>286.11M</t>
  </si>
  <si>
    <t>356.74M</t>
  </si>
  <si>
    <t>369.41M</t>
  </si>
  <si>
    <t>233.94M</t>
  </si>
  <si>
    <t>220.60M</t>
  </si>
  <si>
    <t>191.81M</t>
  </si>
  <si>
    <t>172.41M</t>
  </si>
  <si>
    <t>216.25M</t>
  </si>
  <si>
    <t>224.41M</t>
  </si>
  <si>
    <t>201.33M</t>
  </si>
  <si>
    <t>303.84M</t>
  </si>
  <si>
    <t>220.25M</t>
  </si>
  <si>
    <t>192.62M</t>
  </si>
  <si>
    <t>315.59M</t>
  </si>
  <si>
    <t>237.35M</t>
  </si>
  <si>
    <t>252.51M</t>
  </si>
  <si>
    <t>220.44M</t>
  </si>
  <si>
    <t>233.15M</t>
  </si>
  <si>
    <t>192.04M</t>
  </si>
  <si>
    <t>271.64M</t>
  </si>
  <si>
    <t>235.41M</t>
  </si>
  <si>
    <t>210.62M</t>
  </si>
  <si>
    <t>252.32M</t>
  </si>
  <si>
    <t>219.17M</t>
  </si>
  <si>
    <t>221.80M</t>
  </si>
  <si>
    <t>292.84M</t>
  </si>
  <si>
    <t>359.84M</t>
  </si>
  <si>
    <t>418.95M</t>
  </si>
  <si>
    <t>367.07M</t>
  </si>
  <si>
    <t>264.21M</t>
  </si>
  <si>
    <t>318.13M</t>
  </si>
  <si>
    <t>316.64M</t>
  </si>
  <si>
    <t>387.94M</t>
  </si>
  <si>
    <t>274.03M</t>
  </si>
  <si>
    <t>238.81M</t>
  </si>
  <si>
    <t>198.92M</t>
  </si>
  <si>
    <t>251.67M</t>
  </si>
  <si>
    <t>330.26M</t>
  </si>
  <si>
    <t>276.45M</t>
  </si>
  <si>
    <t>326.82M</t>
  </si>
  <si>
    <t>SPY</t>
  </si>
  <si>
    <t>771.60M</t>
  </si>
  <si>
    <t>1.66B</t>
  </si>
  <si>
    <t>1.78B</t>
  </si>
  <si>
    <t>1.61B</t>
  </si>
  <si>
    <t>1.42B</t>
  </si>
  <si>
    <t>1.48B</t>
  </si>
  <si>
    <t>1.50B</t>
  </si>
  <si>
    <t>1.40B</t>
  </si>
  <si>
    <t>2.24B</t>
  </si>
  <si>
    <t>871.64M</t>
  </si>
  <si>
    <t>995.61M</t>
  </si>
  <si>
    <t>1.06B</t>
  </si>
  <si>
    <t>901.84M</t>
  </si>
  <si>
    <t>976.13M</t>
  </si>
  <si>
    <t>1.05B</t>
  </si>
  <si>
    <t>1.24B</t>
  </si>
  <si>
    <t>1.04B</t>
  </si>
  <si>
    <t>888.92M</t>
  </si>
  <si>
    <t>1.15B</t>
  </si>
  <si>
    <t>1.59B</t>
  </si>
  <si>
    <t>1.47B</t>
  </si>
  <si>
    <t>1.39B</t>
  </si>
  <si>
    <t>1.70B</t>
  </si>
  <si>
    <t>1.64B</t>
  </si>
  <si>
    <t>2.00B</t>
  </si>
  <si>
    <t>1.76B</t>
  </si>
  <si>
    <t>1.37B</t>
  </si>
  <si>
    <t>1.75B</t>
  </si>
  <si>
    <t>2.52B</t>
  </si>
  <si>
    <t>1.60B</t>
  </si>
  <si>
    <t>1.58B</t>
  </si>
  <si>
    <t>1.74B</t>
  </si>
  <si>
    <t>2.02B</t>
  </si>
  <si>
    <t>1.44B</t>
  </si>
  <si>
    <t>1.96B</t>
  </si>
  <si>
    <t>2.42B</t>
  </si>
  <si>
    <t>1.86B</t>
  </si>
  <si>
    <t>2.38B</t>
  </si>
  <si>
    <t>2.30B</t>
  </si>
  <si>
    <t>2.49B</t>
  </si>
  <si>
    <t>1.93B</t>
  </si>
  <si>
    <t>1.34B</t>
  </si>
  <si>
    <t>1.51B</t>
  </si>
  <si>
    <t>1.25B</t>
  </si>
  <si>
    <t>1.28B</t>
  </si>
  <si>
    <t>1.55B</t>
  </si>
  <si>
    <t>1.46B</t>
  </si>
  <si>
    <t>2.40B</t>
  </si>
  <si>
    <t>1.31B</t>
  </si>
  <si>
    <t>1.35B</t>
  </si>
  <si>
    <t>1.54B</t>
  </si>
  <si>
    <t>1.63B</t>
  </si>
  <si>
    <t>1.82B</t>
  </si>
  <si>
    <t>2.36B</t>
  </si>
  <si>
    <t>1.91B</t>
  </si>
  <si>
    <t>2.82B</t>
  </si>
  <si>
    <t>5.93B</t>
  </si>
  <si>
    <t>2.11B</t>
  </si>
  <si>
    <t>1.29B</t>
  </si>
  <si>
    <t>1.41B</t>
  </si>
  <si>
    <t>1.33B</t>
  </si>
  <si>
    <t>2.04B</t>
  </si>
  <si>
    <t>1.14B</t>
  </si>
  <si>
    <t>1.85B</t>
  </si>
  <si>
    <t>1.21B</t>
  </si>
  <si>
    <t>1.68B</t>
  </si>
  <si>
    <t>2.05B</t>
  </si>
  <si>
    <t>3.10B</t>
  </si>
  <si>
    <t>3.02B</t>
  </si>
  <si>
    <t>1.23B</t>
  </si>
  <si>
    <t>1.27B</t>
  </si>
  <si>
    <t>2.34B</t>
  </si>
  <si>
    <t>2.92B</t>
  </si>
  <si>
    <t>1.72B</t>
  </si>
  <si>
    <t>1.32B</t>
  </si>
  <si>
    <t>1.56B</t>
  </si>
  <si>
    <t>1.57B</t>
  </si>
  <si>
    <t>1.49B</t>
  </si>
  <si>
    <t>1.92B</t>
  </si>
  <si>
    <t>2.07B</t>
  </si>
  <si>
    <t>1.73B</t>
  </si>
  <si>
    <t>1.52B</t>
  </si>
  <si>
    <t>1.65B</t>
  </si>
  <si>
    <t>2.63B</t>
  </si>
  <si>
    <t>1.83B</t>
  </si>
  <si>
    <t>2.32B</t>
  </si>
  <si>
    <t>3.71B</t>
  </si>
  <si>
    <t>2.54B</t>
  </si>
  <si>
    <t>3.28B</t>
  </si>
  <si>
    <t>3.73B</t>
  </si>
  <si>
    <t>2.45B</t>
  </si>
  <si>
    <t>1.89B</t>
  </si>
  <si>
    <t>2.75B</t>
  </si>
  <si>
    <t>1.90B</t>
  </si>
  <si>
    <t>3.18B</t>
  </si>
  <si>
    <t>JPM</t>
  </si>
  <si>
    <t>124.09M</t>
  </si>
  <si>
    <t>211.62M</t>
  </si>
  <si>
    <t>150.22M</t>
  </si>
  <si>
    <t>189.43M</t>
  </si>
  <si>
    <t>182.56M</t>
  </si>
  <si>
    <t>148.83M</t>
  </si>
  <si>
    <t>198.60M</t>
  </si>
  <si>
    <t>174.37M</t>
  </si>
  <si>
    <t>165.12M</t>
  </si>
  <si>
    <t>287.38M</t>
  </si>
  <si>
    <t>265.19M</t>
  </si>
  <si>
    <t>156.63M</t>
  </si>
  <si>
    <t>209.83M</t>
  </si>
  <si>
    <t>181.27M</t>
  </si>
  <si>
    <t>188.85M</t>
  </si>
  <si>
    <t>178.34M</t>
  </si>
  <si>
    <t>206.49M</t>
  </si>
  <si>
    <t>172.44M</t>
  </si>
  <si>
    <t>197.46M</t>
  </si>
  <si>
    <t>174.90M</t>
  </si>
  <si>
    <t>195.90M</t>
  </si>
  <si>
    <t>224.78M</t>
  </si>
  <si>
    <t>166.26M</t>
  </si>
  <si>
    <t>154.74M</t>
  </si>
  <si>
    <t>231.66M</t>
  </si>
  <si>
    <t>184.77M</t>
  </si>
  <si>
    <t>162.20M</t>
  </si>
  <si>
    <t>244.07M</t>
  </si>
  <si>
    <t>172.25M</t>
  </si>
  <si>
    <t>169.32M</t>
  </si>
  <si>
    <t>231.27M</t>
  </si>
  <si>
    <t>207.75M</t>
  </si>
  <si>
    <t>235.31M</t>
  </si>
  <si>
    <t>242.87M</t>
  </si>
  <si>
    <t>458.50M</t>
  </si>
  <si>
    <t>169.57M</t>
  </si>
  <si>
    <t>209.97M</t>
  </si>
  <si>
    <t>202.05M</t>
  </si>
  <si>
    <t>226.63M</t>
  </si>
  <si>
    <t>318.23M</t>
  </si>
  <si>
    <t>248.56M</t>
  </si>
  <si>
    <t>258.44M</t>
  </si>
  <si>
    <t>239.57M</t>
  </si>
  <si>
    <t>268.24M</t>
  </si>
  <si>
    <t>313.63M</t>
  </si>
  <si>
    <t>303.66M</t>
  </si>
  <si>
    <t>390.80M</t>
  </si>
  <si>
    <t>288.73M</t>
  </si>
  <si>
    <t>374.02M</t>
  </si>
  <si>
    <t>252.03M</t>
  </si>
  <si>
    <t>203.51M</t>
  </si>
  <si>
    <t>231.68M</t>
  </si>
  <si>
    <t>234.83M</t>
  </si>
  <si>
    <t>208.09M</t>
  </si>
  <si>
    <t>280.58M</t>
  </si>
  <si>
    <t>356.72M</t>
  </si>
  <si>
    <t>248.96M</t>
  </si>
  <si>
    <t>288.70M</t>
  </si>
  <si>
    <t>399.42M</t>
  </si>
  <si>
    <t>229.27M</t>
  </si>
  <si>
    <t>318.60M</t>
  </si>
  <si>
    <t>274.17M</t>
  </si>
  <si>
    <t>333.82M</t>
  </si>
  <si>
    <t>325.38M</t>
  </si>
  <si>
    <t>390.73M</t>
  </si>
  <si>
    <t>319.81M</t>
  </si>
  <si>
    <t>432.66M</t>
  </si>
  <si>
    <t>536.05M</t>
  </si>
  <si>
    <t>497.93M</t>
  </si>
  <si>
    <t>532.02M</t>
  </si>
  <si>
    <t>734.38M</t>
  </si>
  <si>
    <t>240.74M</t>
  </si>
  <si>
    <t>248.12M</t>
  </si>
  <si>
    <t>213.31M</t>
  </si>
  <si>
    <t>191.29M</t>
  </si>
  <si>
    <t>263.39M</t>
  </si>
  <si>
    <t>230.96M</t>
  </si>
  <si>
    <t>259.53M</t>
  </si>
  <si>
    <t>232.06M</t>
  </si>
  <si>
    <t>248.21M</t>
  </si>
  <si>
    <t>230.71M</t>
  </si>
  <si>
    <t>252.52M</t>
  </si>
  <si>
    <t>306.60M</t>
  </si>
  <si>
    <t>224.93M</t>
  </si>
  <si>
    <t>325.93M</t>
  </si>
  <si>
    <t>425.22M</t>
  </si>
  <si>
    <t>283.23M</t>
  </si>
  <si>
    <t>433.04M</t>
  </si>
  <si>
    <t>232.55M</t>
  </si>
  <si>
    <t>234.43M</t>
  </si>
  <si>
    <t>298.28M</t>
  </si>
  <si>
    <t>308.23M</t>
  </si>
  <si>
    <t>273.65M</t>
  </si>
  <si>
    <t>340.15M</t>
  </si>
  <si>
    <t>321.51M</t>
  </si>
  <si>
    <t>354.63M</t>
  </si>
  <si>
    <t>304.94M</t>
  </si>
  <si>
    <t>284.43M</t>
  </si>
  <si>
    <t>256.09M</t>
  </si>
  <si>
    <t>259.43M</t>
  </si>
  <si>
    <t>251.06M</t>
  </si>
  <si>
    <t>253.24M</t>
  </si>
  <si>
    <t>271.47M</t>
  </si>
  <si>
    <t>334.14M</t>
  </si>
  <si>
    <t>283.73M</t>
  </si>
  <si>
    <t>321.14M</t>
  </si>
  <si>
    <t>371.71M</t>
  </si>
  <si>
    <t>271.41M</t>
  </si>
  <si>
    <t>343.16M</t>
  </si>
  <si>
    <t>343.14M</t>
  </si>
  <si>
    <t>458.59M</t>
  </si>
  <si>
    <t>304.12M</t>
  </si>
  <si>
    <t>316.62M</t>
  </si>
  <si>
    <t>263.31M</t>
  </si>
  <si>
    <t>284.02M</t>
  </si>
  <si>
    <t>395.39M</t>
  </si>
  <si>
    <t>283.96M</t>
  </si>
  <si>
    <t>344.77M</t>
  </si>
  <si>
    <t>356.91M</t>
  </si>
  <si>
    <t>477.95M</t>
  </si>
  <si>
    <t>470.26M</t>
  </si>
  <si>
    <t>316.55M</t>
  </si>
  <si>
    <t>248.03M</t>
  </si>
  <si>
    <t>332.54M</t>
  </si>
  <si>
    <t>354.03M</t>
  </si>
  <si>
    <t>373.29M</t>
  </si>
  <si>
    <t>325.43M</t>
  </si>
  <si>
    <t>337.24M</t>
  </si>
  <si>
    <t>267.79M</t>
  </si>
  <si>
    <t>325.07M</t>
  </si>
  <si>
    <t>332.55M</t>
  </si>
  <si>
    <t>319.01M</t>
  </si>
  <si>
    <t>468.21M</t>
  </si>
  <si>
    <t>NVDA</t>
  </si>
  <si>
    <t>3.63B</t>
  </si>
  <si>
    <t>4.16B</t>
  </si>
  <si>
    <t>4.03B</t>
  </si>
  <si>
    <t>3.89B</t>
  </si>
  <si>
    <t>3.61B</t>
  </si>
  <si>
    <t>3.60B</t>
  </si>
  <si>
    <t>3.82B</t>
  </si>
  <si>
    <t>4.76B</t>
  </si>
  <si>
    <t>6.81B</t>
  </si>
  <si>
    <t>6.18B</t>
  </si>
  <si>
    <t>5.95B</t>
  </si>
  <si>
    <t>4.09B</t>
  </si>
  <si>
    <t>4.50B</t>
  </si>
  <si>
    <t>5.63B</t>
  </si>
  <si>
    <t>6.27B</t>
  </si>
  <si>
    <t>8.11B</t>
  </si>
  <si>
    <t>6.41B</t>
  </si>
  <si>
    <t>7.44B</t>
  </si>
  <si>
    <t>9.65B</t>
  </si>
  <si>
    <t>10.07B</t>
  </si>
  <si>
    <t>12.15B</t>
  </si>
  <si>
    <t>11.08B</t>
  </si>
  <si>
    <t>9.71B</t>
  </si>
  <si>
    <t>7.41B</t>
  </si>
  <si>
    <t>9.15B</t>
  </si>
  <si>
    <t>10.14B</t>
  </si>
  <si>
    <t>8.58B</t>
  </si>
  <si>
    <t>13.64B</t>
  </si>
  <si>
    <t>8.71B</t>
  </si>
  <si>
    <t>10.53B</t>
  </si>
  <si>
    <t>11.70B</t>
  </si>
  <si>
    <t>11.27B</t>
  </si>
  <si>
    <t>10.39B</t>
  </si>
  <si>
    <t>9.45B</t>
  </si>
  <si>
    <t>8.95B</t>
  </si>
  <si>
    <t>10.60B</t>
  </si>
  <si>
    <t>12.55B</t>
  </si>
  <si>
    <t>13.13B</t>
  </si>
  <si>
    <t>12.07B</t>
  </si>
  <si>
    <t>10.57B</t>
  </si>
  <si>
    <t>10.56B</t>
  </si>
  <si>
    <t>13.83B</t>
  </si>
  <si>
    <t>11.11B</t>
  </si>
  <si>
    <t>11.65B</t>
  </si>
  <si>
    <t>10.65B</t>
  </si>
  <si>
    <t>10.68B</t>
  </si>
  <si>
    <t>11.06B</t>
  </si>
  <si>
    <t>10.81B</t>
  </si>
  <si>
    <t>4.97B</t>
  </si>
  <si>
    <t>5.00B</t>
  </si>
  <si>
    <t>6.42B</t>
  </si>
  <si>
    <t>7.82B</t>
  </si>
  <si>
    <t>10.27B</t>
  </si>
  <si>
    <t>7.05B</t>
  </si>
  <si>
    <t>6.72B</t>
  </si>
  <si>
    <t>7.65B</t>
  </si>
  <si>
    <t>6.68B</t>
  </si>
  <si>
    <t>6.16B</t>
  </si>
  <si>
    <t>5.12B</t>
  </si>
  <si>
    <t>7.60B</t>
  </si>
  <si>
    <t>8.02B</t>
  </si>
  <si>
    <t>15.86B</t>
  </si>
  <si>
    <t>9.67B</t>
  </si>
  <si>
    <t>8.10B</t>
  </si>
  <si>
    <t>9.72B</t>
  </si>
  <si>
    <t>11.28B</t>
  </si>
  <si>
    <t>15.78B</t>
  </si>
  <si>
    <t>11.86B</t>
  </si>
  <si>
    <t>6.13B</t>
  </si>
  <si>
    <t>6.57B</t>
  </si>
  <si>
    <t>7.34B</t>
  </si>
  <si>
    <t>7.81B</t>
  </si>
  <si>
    <t>9.55B</t>
  </si>
  <si>
    <t>8.42B</t>
  </si>
  <si>
    <t>8.23B</t>
  </si>
  <si>
    <t>11.18B</t>
  </si>
  <si>
    <t>9.44B</t>
  </si>
  <si>
    <t>11.45B</t>
  </si>
  <si>
    <t>16.87B</t>
  </si>
  <si>
    <t>12.45B</t>
  </si>
  <si>
    <t>16.16B</t>
  </si>
  <si>
    <t>12.98B</t>
  </si>
  <si>
    <t>6.34B</t>
  </si>
  <si>
    <t>10.92B</t>
  </si>
  <si>
    <t>6.32B</t>
  </si>
  <si>
    <t>8.79B</t>
  </si>
  <si>
    <t>11.98B</t>
  </si>
  <si>
    <t>11.15B</t>
  </si>
  <si>
    <t>14.12B</t>
  </si>
  <si>
    <t>14.92B</t>
  </si>
  <si>
    <t>11.46B</t>
  </si>
  <si>
    <t>10.11B</t>
  </si>
  <si>
    <t>11.83B</t>
  </si>
  <si>
    <t>11.42B</t>
  </si>
  <si>
    <t>14.45B</t>
  </si>
  <si>
    <t>14.73B</t>
  </si>
  <si>
    <t>15.49B</t>
  </si>
  <si>
    <t>23.45B</t>
  </si>
  <si>
    <t>19.21B</t>
  </si>
  <si>
    <t>9.57B</t>
  </si>
  <si>
    <t>14.29B</t>
  </si>
  <si>
    <t>14.21B</t>
  </si>
  <si>
    <t>13.40B</t>
  </si>
  <si>
    <t>18.08B</t>
  </si>
  <si>
    <t>12.77B</t>
  </si>
  <si>
    <t>6.55B</t>
  </si>
  <si>
    <t>8.67B</t>
  </si>
  <si>
    <t>9.31B</t>
  </si>
  <si>
    <t>7.21B</t>
  </si>
  <si>
    <t>8.20B</t>
  </si>
  <si>
    <t>10.37B</t>
  </si>
  <si>
    <t>6.73B</t>
  </si>
  <si>
    <t>6.58B</t>
  </si>
  <si>
    <t>9.00B</t>
  </si>
  <si>
    <t>8.14B</t>
  </si>
  <si>
    <t>7.35B</t>
  </si>
  <si>
    <t>8.05B</t>
  </si>
  <si>
    <t>6.48B</t>
  </si>
  <si>
    <t>9.47B</t>
  </si>
  <si>
    <t>5.48B</t>
  </si>
  <si>
    <t>7.33B</t>
  </si>
  <si>
    <t>7.08B</t>
  </si>
  <si>
    <t>5.67B</t>
  </si>
  <si>
    <t>7.31B</t>
  </si>
  <si>
    <t>4.19B</t>
  </si>
  <si>
    <t>4.14B</t>
  </si>
  <si>
    <t>XOM</t>
  </si>
  <si>
    <t>Std Dev (Monthly)</t>
  </si>
  <si>
    <t>Mean (Annualized)</t>
  </si>
  <si>
    <t>Std Dev (Annualized)</t>
  </si>
  <si>
    <t>Mean (Monthly)</t>
  </si>
  <si>
    <t>Metric</t>
  </si>
  <si>
    <t>Beta</t>
  </si>
  <si>
    <t>Asset</t>
  </si>
  <si>
    <t>Weight</t>
  </si>
  <si>
    <t>Expected Annual Return</t>
  </si>
  <si>
    <t>Portfolio Variance (Monthly)</t>
  </si>
  <si>
    <t>Portfolio Volatility (Annualized)</t>
  </si>
  <si>
    <t>Sharpe Ratio</t>
  </si>
  <si>
    <t xml:space="preserve">Risk-Free Rate </t>
  </si>
  <si>
    <t>Portfolio Sharp</t>
  </si>
  <si>
    <t>sum of</t>
  </si>
  <si>
    <t>Portfolio Optimization – Unconstrained vs Constrained</t>
  </si>
  <si>
    <t>Unconstrainded Model</t>
  </si>
  <si>
    <t>Constrained Model</t>
  </si>
  <si>
    <t>Min Weight</t>
  </si>
  <si>
    <t>Max Weight</t>
  </si>
  <si>
    <t>Constraints</t>
  </si>
  <si>
    <t>PG</t>
  </si>
  <si>
    <t>158.42M</t>
  </si>
  <si>
    <t>234.37M</t>
  </si>
  <si>
    <t>176.39M</t>
  </si>
  <si>
    <t>169.41M</t>
  </si>
  <si>
    <t>153.92M</t>
  </si>
  <si>
    <t>139.35M</t>
  </si>
  <si>
    <t>196.08M</t>
  </si>
  <si>
    <t>163.01M</t>
  </si>
  <si>
    <t>150.87M</t>
  </si>
  <si>
    <t>212.13M</t>
  </si>
  <si>
    <t>182.49M</t>
  </si>
  <si>
    <t>138.22M</t>
  </si>
  <si>
    <t>147.59M</t>
  </si>
  <si>
    <t>133.89M</t>
  </si>
  <si>
    <t>149.96M</t>
  </si>
  <si>
    <t>146.90M</t>
  </si>
  <si>
    <t>152.45M</t>
  </si>
  <si>
    <t>143.60M</t>
  </si>
  <si>
    <t>142.58M</t>
  </si>
  <si>
    <t>120.69M</t>
  </si>
  <si>
    <t>121.10M</t>
  </si>
  <si>
    <t>154.79M</t>
  </si>
  <si>
    <t>115.52M</t>
  </si>
  <si>
    <t>124.49M</t>
  </si>
  <si>
    <t>181.45M</t>
  </si>
  <si>
    <t>143.35M</t>
  </si>
  <si>
    <t>133.59M</t>
  </si>
  <si>
    <t>141.70M</t>
  </si>
  <si>
    <t>104.38M</t>
  </si>
  <si>
    <t>110.24M</t>
  </si>
  <si>
    <t>134.10M</t>
  </si>
  <si>
    <t>133.47M</t>
  </si>
  <si>
    <t>130.13M</t>
  </si>
  <si>
    <t>115.64M</t>
  </si>
  <si>
    <t>154.93M</t>
  </si>
  <si>
    <t>121.96M</t>
  </si>
  <si>
    <t>150.06M</t>
  </si>
  <si>
    <t>132.27M</t>
  </si>
  <si>
    <t>133.88M</t>
  </si>
  <si>
    <t>144.77M</t>
  </si>
  <si>
    <t>147.90M</t>
  </si>
  <si>
    <t>137.59M</t>
  </si>
  <si>
    <t>131.17M</t>
  </si>
  <si>
    <t>168.59M</t>
  </si>
  <si>
    <t>169.28M</t>
  </si>
  <si>
    <t>151.99M</t>
  </si>
  <si>
    <t>170.28M</t>
  </si>
  <si>
    <t>155.78M</t>
  </si>
  <si>
    <t>195.19M</t>
  </si>
  <si>
    <t>190.13M</t>
  </si>
  <si>
    <t>138.04M</t>
  </si>
  <si>
    <t>137.10M</t>
  </si>
  <si>
    <t>148.06M</t>
  </si>
  <si>
    <t>125.30M</t>
  </si>
  <si>
    <t>152.02M</t>
  </si>
  <si>
    <t>186.29M</t>
  </si>
  <si>
    <t>197.97M</t>
  </si>
  <si>
    <t>166.86M</t>
  </si>
  <si>
    <t>206.51M</t>
  </si>
  <si>
    <t>150.96M</t>
  </si>
  <si>
    <t>154.86M</t>
  </si>
  <si>
    <t>144.23M</t>
  </si>
  <si>
    <t>133.96M</t>
  </si>
  <si>
    <t>126.56M</t>
  </si>
  <si>
    <t>128.87M</t>
  </si>
  <si>
    <t>142.77M</t>
  </si>
  <si>
    <t>175.94M</t>
  </si>
  <si>
    <t>157.45M</t>
  </si>
  <si>
    <t>245.06M</t>
  </si>
  <si>
    <t>343.55M</t>
  </si>
  <si>
    <t>149.85M</t>
  </si>
  <si>
    <t>153.64M</t>
  </si>
  <si>
    <t>137.97M</t>
  </si>
  <si>
    <t>125.23M</t>
  </si>
  <si>
    <t>153.80M</t>
  </si>
  <si>
    <t>140.94M</t>
  </si>
  <si>
    <t>164.69M</t>
  </si>
  <si>
    <t>166.96M</t>
  </si>
  <si>
    <t>151.13M</t>
  </si>
  <si>
    <t>139.58M</t>
  </si>
  <si>
    <t>148.29M</t>
  </si>
  <si>
    <t>180.28M</t>
  </si>
  <si>
    <t>176.17M</t>
  </si>
  <si>
    <t>225.46M</t>
  </si>
  <si>
    <t>224.36M</t>
  </si>
  <si>
    <t>214.20M</t>
  </si>
  <si>
    <t>273.77M</t>
  </si>
  <si>
    <t>137.12M</t>
  </si>
  <si>
    <t>147.70M</t>
  </si>
  <si>
    <t>167.36M</t>
  </si>
  <si>
    <t>191.80M</t>
  </si>
  <si>
    <t>184.83M</t>
  </si>
  <si>
    <t>215.31M</t>
  </si>
  <si>
    <t>211.19M</t>
  </si>
  <si>
    <t>224.92M</t>
  </si>
  <si>
    <t>190.68M</t>
  </si>
  <si>
    <t>130.70M</t>
  </si>
  <si>
    <t>123.55M</t>
  </si>
  <si>
    <t>179.37M</t>
  </si>
  <si>
    <t>138.82M</t>
  </si>
  <si>
    <t>131.33M</t>
  </si>
  <si>
    <t>122.11M</t>
  </si>
  <si>
    <t>138.20M</t>
  </si>
  <si>
    <t>136.58M</t>
  </si>
  <si>
    <t>199.19M</t>
  </si>
  <si>
    <t>196.20M</t>
  </si>
  <si>
    <t>193.16M</t>
  </si>
  <si>
    <t>174.31M</t>
  </si>
  <si>
    <t>205.50M</t>
  </si>
  <si>
    <t>376.45M</t>
  </si>
  <si>
    <t>846.41M</t>
  </si>
  <si>
    <t>185.98M</t>
  </si>
  <si>
    <t>145.18M</t>
  </si>
  <si>
    <t>160.72M</t>
  </si>
  <si>
    <t>137.38M</t>
  </si>
  <si>
    <t>161.69M</t>
  </si>
  <si>
    <t>215.18M</t>
  </si>
  <si>
    <t>192.56M</t>
  </si>
  <si>
    <t>229.30M</t>
  </si>
  <si>
    <t>207.51M</t>
  </si>
  <si>
    <t>146.64M</t>
  </si>
  <si>
    <t>202.32M</t>
  </si>
  <si>
    <t>229.18M</t>
  </si>
  <si>
    <t>239.92M</t>
  </si>
  <si>
    <t>180.18M</t>
  </si>
  <si>
    <t>188.53M</t>
  </si>
  <si>
    <t>169.78M</t>
  </si>
  <si>
    <t>201.72M</t>
  </si>
  <si>
    <t>151.94M</t>
  </si>
  <si>
    <t>170.72M</t>
  </si>
  <si>
    <t>TLT</t>
  </si>
  <si>
    <t>571.80M</t>
  </si>
  <si>
    <t>708.84M</t>
  </si>
  <si>
    <t>612.76M</t>
  </si>
  <si>
    <t>732.52M</t>
  </si>
  <si>
    <t>823.69M</t>
  </si>
  <si>
    <t>712.88M</t>
  </si>
  <si>
    <t>784.07M</t>
  </si>
  <si>
    <t>784.30M</t>
  </si>
  <si>
    <t>841.45M</t>
  </si>
  <si>
    <t>1.11B</t>
  </si>
  <si>
    <t>732.06M</t>
  </si>
  <si>
    <t>705.21M</t>
  </si>
  <si>
    <t>675.34M</t>
  </si>
  <si>
    <t>782.42M</t>
  </si>
  <si>
    <t>947.99M</t>
  </si>
  <si>
    <t>897.06M</t>
  </si>
  <si>
    <t>748.20M</t>
  </si>
  <si>
    <t>872.03M</t>
  </si>
  <si>
    <t>763.24M</t>
  </si>
  <si>
    <t>649.33M</t>
  </si>
  <si>
    <t>796.61M</t>
  </si>
  <si>
    <t>996.46M</t>
  </si>
  <si>
    <t>698.68M</t>
  </si>
  <si>
    <t>846.26M</t>
  </si>
  <si>
    <t>972.79M</t>
  </si>
  <si>
    <t>1.16B</t>
  </si>
  <si>
    <t>636.43M</t>
  </si>
  <si>
    <t>665.42M</t>
  </si>
  <si>
    <t>536.60M</t>
  </si>
  <si>
    <t>468.07M</t>
  </si>
  <si>
    <t>494.45M</t>
  </si>
  <si>
    <t>360.32M</t>
  </si>
  <si>
    <t>630.65M</t>
  </si>
  <si>
    <t>336.81M</t>
  </si>
  <si>
    <t>383.03M</t>
  </si>
  <si>
    <t>469.51M</t>
  </si>
  <si>
    <t>434.49M</t>
  </si>
  <si>
    <t>496.58M</t>
  </si>
  <si>
    <t>434.66M</t>
  </si>
  <si>
    <t>342.29M</t>
  </si>
  <si>
    <t>325.76M</t>
  </si>
  <si>
    <t>401.13M</t>
  </si>
  <si>
    <t>499.39M</t>
  </si>
  <si>
    <t>469.45M</t>
  </si>
  <si>
    <t>554.10M</t>
  </si>
  <si>
    <t>403.89M</t>
  </si>
  <si>
    <t>399.86M</t>
  </si>
  <si>
    <t>405.74M</t>
  </si>
  <si>
    <t>354.58M</t>
  </si>
  <si>
    <t>346.12M</t>
  </si>
  <si>
    <t>350.06M</t>
  </si>
  <si>
    <t>340.01M</t>
  </si>
  <si>
    <t>355.31M</t>
  </si>
  <si>
    <t>320.96M</t>
  </si>
  <si>
    <t>273.42M</t>
  </si>
  <si>
    <t>262.45M</t>
  </si>
  <si>
    <t>393.41M</t>
  </si>
  <si>
    <t>290.18M</t>
  </si>
  <si>
    <t>216.82M</t>
  </si>
  <si>
    <t>193.44M</t>
  </si>
  <si>
    <t>235.68M</t>
  </si>
  <si>
    <t>222.98M</t>
  </si>
  <si>
    <t>197.68M</t>
  </si>
  <si>
    <t>209.74M</t>
  </si>
  <si>
    <t>195.16M</t>
  </si>
  <si>
    <t>192.34M</t>
  </si>
  <si>
    <t>187.90M</t>
  </si>
  <si>
    <t>566.25M</t>
  </si>
  <si>
    <t>261.48M</t>
  </si>
  <si>
    <t>204.52M</t>
  </si>
  <si>
    <t>171.14M</t>
  </si>
  <si>
    <t>158.07M</t>
  </si>
  <si>
    <t>251.11M</t>
  </si>
  <si>
    <t>261.84M</t>
  </si>
  <si>
    <t>334.25M</t>
  </si>
  <si>
    <t>181.41M</t>
  </si>
  <si>
    <t>192.14M</t>
  </si>
  <si>
    <t>184.96M</t>
  </si>
  <si>
    <t>180.16M</t>
  </si>
  <si>
    <t>171.80M</t>
  </si>
  <si>
    <t>129.95M</t>
  </si>
  <si>
    <t>200.47M</t>
  </si>
  <si>
    <t>219.35M</t>
  </si>
  <si>
    <t>145.33M</t>
  </si>
  <si>
    <t>262.92M</t>
  </si>
  <si>
    <t>158.19M</t>
  </si>
  <si>
    <t>142.44M</t>
  </si>
  <si>
    <t>135.00M</t>
  </si>
  <si>
    <t>158.64M</t>
  </si>
  <si>
    <t>173.08M</t>
  </si>
  <si>
    <t>152.62M</t>
  </si>
  <si>
    <t>165.44M</t>
  </si>
  <si>
    <t>246.35M</t>
  </si>
  <si>
    <t>237.84M</t>
  </si>
  <si>
    <t>173.25M</t>
  </si>
  <si>
    <t>149.49M</t>
  </si>
  <si>
    <t>163.37M</t>
  </si>
  <si>
    <t>191.95M</t>
  </si>
  <si>
    <t>165.00M</t>
  </si>
  <si>
    <t>151.22M</t>
  </si>
  <si>
    <t>181.93M</t>
  </si>
  <si>
    <t>159.27M</t>
  </si>
  <si>
    <t>161.56M</t>
  </si>
  <si>
    <t>192.31M</t>
  </si>
  <si>
    <t>189.73M</t>
  </si>
  <si>
    <t>201.20M</t>
  </si>
  <si>
    <t>224.75M</t>
  </si>
  <si>
    <t>250.53M</t>
  </si>
  <si>
    <t>170.30M</t>
  </si>
  <si>
    <t>197.03M</t>
  </si>
  <si>
    <t>153.04M</t>
  </si>
  <si>
    <t>182.80M</t>
  </si>
  <si>
    <t>206.28M</t>
  </si>
  <si>
    <t>149.59M</t>
  </si>
  <si>
    <t>140.75M</t>
  </si>
  <si>
    <t>170.32M</t>
  </si>
  <si>
    <t>219.93M</t>
  </si>
  <si>
    <t>201.41M</t>
  </si>
  <si>
    <t>194.66M</t>
  </si>
  <si>
    <t>123.26M</t>
  </si>
  <si>
    <t>181.57M</t>
  </si>
  <si>
    <t>198.34M</t>
  </si>
  <si>
    <t>198.87M</t>
  </si>
  <si>
    <t>189.79M</t>
  </si>
  <si>
    <t>238.98M</t>
  </si>
  <si>
    <t>215.30M</t>
  </si>
  <si>
    <t>139.26M</t>
  </si>
  <si>
    <t>186.21M</t>
  </si>
  <si>
    <t>202.57M</t>
  </si>
  <si>
    <t>197.98M</t>
  </si>
  <si>
    <t>VGT</t>
  </si>
  <si>
    <t>8.34M</t>
  </si>
  <si>
    <t>10.07M</t>
  </si>
  <si>
    <t>12.05M</t>
  </si>
  <si>
    <t>12.24M</t>
  </si>
  <si>
    <t>9.58M</t>
  </si>
  <si>
    <t>11.16M</t>
  </si>
  <si>
    <t>9.12M</t>
  </si>
  <si>
    <t>10.29M</t>
  </si>
  <si>
    <t>11.83M</t>
  </si>
  <si>
    <t>21.03M</t>
  </si>
  <si>
    <t>15.19M</t>
  </si>
  <si>
    <t>10.41M</t>
  </si>
  <si>
    <t>12.97M</t>
  </si>
  <si>
    <t>10.92M</t>
  </si>
  <si>
    <t>9.13M</t>
  </si>
  <si>
    <t>8.44M</t>
  </si>
  <si>
    <t>11.31M</t>
  </si>
  <si>
    <t>11.93M</t>
  </si>
  <si>
    <t>8.17M</t>
  </si>
  <si>
    <t>7.76M</t>
  </si>
  <si>
    <t>10.84M</t>
  </si>
  <si>
    <t>7.73M</t>
  </si>
  <si>
    <t>9.99M</t>
  </si>
  <si>
    <t>12.13M</t>
  </si>
  <si>
    <t>10.20M</t>
  </si>
  <si>
    <t>9.74M</t>
  </si>
  <si>
    <t>11.90M</t>
  </si>
  <si>
    <t>9.53M</t>
  </si>
  <si>
    <t>13.55M</t>
  </si>
  <si>
    <t>12.08M</t>
  </si>
  <si>
    <t>13.11M</t>
  </si>
  <si>
    <t>10.12M</t>
  </si>
  <si>
    <t>10.47M</t>
  </si>
  <si>
    <t>15.36M</t>
  </si>
  <si>
    <t>11.52M</t>
  </si>
  <si>
    <t>14.66M</t>
  </si>
  <si>
    <t>16.57M</t>
  </si>
  <si>
    <t>15.85M</t>
  </si>
  <si>
    <t>15.77M</t>
  </si>
  <si>
    <t>21.28M</t>
  </si>
  <si>
    <t>9.95M</t>
  </si>
  <si>
    <t>10.00M</t>
  </si>
  <si>
    <t>15.90M</t>
  </si>
  <si>
    <t>23.50M</t>
  </si>
  <si>
    <t>13.75M</t>
  </si>
  <si>
    <t>15.18M</t>
  </si>
  <si>
    <t>17.81M</t>
  </si>
  <si>
    <t>29.42M</t>
  </si>
  <si>
    <t>10.94M</t>
  </si>
  <si>
    <t>12.71M</t>
  </si>
  <si>
    <t>11.50M</t>
  </si>
  <si>
    <t>14.15M</t>
  </si>
  <si>
    <t>9.48M</t>
  </si>
  <si>
    <t>14.16M</t>
  </si>
  <si>
    <t>10.14M</t>
  </si>
  <si>
    <t>8.70M</t>
  </si>
  <si>
    <t>8.61M</t>
  </si>
  <si>
    <t>13.31M</t>
  </si>
  <si>
    <t>9.70M</t>
  </si>
  <si>
    <t>13.35M</t>
  </si>
  <si>
    <t>10.39M</t>
  </si>
  <si>
    <t>11.12M</t>
  </si>
  <si>
    <t>14.71M</t>
  </si>
  <si>
    <t>22.65M</t>
  </si>
  <si>
    <t>13.66M</t>
  </si>
  <si>
    <t>16.55M</t>
  </si>
  <si>
    <t>17.83M</t>
  </si>
  <si>
    <t>18.95M</t>
  </si>
  <si>
    <t>21.97M</t>
  </si>
  <si>
    <t>41.91M</t>
  </si>
  <si>
    <t>21.23M</t>
  </si>
  <si>
    <t>15.78M</t>
  </si>
  <si>
    <t>9.57M</t>
  </si>
  <si>
    <t>9.80M</t>
  </si>
  <si>
    <t>9.23M</t>
  </si>
  <si>
    <t>8.77M</t>
  </si>
  <si>
    <t>13.40M</t>
  </si>
  <si>
    <t>10.10M</t>
  </si>
  <si>
    <t>10.81M</t>
  </si>
  <si>
    <t>15.13M</t>
  </si>
  <si>
    <t>11.69M</t>
  </si>
  <si>
    <t>9.81M</t>
  </si>
  <si>
    <t>20.45M</t>
  </si>
  <si>
    <t>22.09M</t>
  </si>
  <si>
    <t>16.14M</t>
  </si>
  <si>
    <t>19.59M</t>
  </si>
  <si>
    <t>9.26M</t>
  </si>
  <si>
    <t>12.39M</t>
  </si>
  <si>
    <t>8.86M</t>
  </si>
  <si>
    <t>12.17M</t>
  </si>
  <si>
    <t>9.56M</t>
  </si>
  <si>
    <t>10.56M</t>
  </si>
  <si>
    <t>19.73M</t>
  </si>
  <si>
    <t>17.43M</t>
  </si>
  <si>
    <t>12.89M</t>
  </si>
  <si>
    <t>11.98M</t>
  </si>
  <si>
    <t>9.55M</t>
  </si>
  <si>
    <t>10.31M</t>
  </si>
  <si>
    <t>8.01M</t>
  </si>
  <si>
    <t>8.24M</t>
  </si>
  <si>
    <t>8.88M</t>
  </si>
  <si>
    <t>12.12M</t>
  </si>
  <si>
    <t>12.25M</t>
  </si>
  <si>
    <t>9.10M</t>
  </si>
  <si>
    <t>8.46M</t>
  </si>
  <si>
    <t>10.69M</t>
  </si>
  <si>
    <t>8.83M</t>
  </si>
  <si>
    <t>10.86M</t>
  </si>
  <si>
    <t>8.19M</t>
  </si>
  <si>
    <t>10.85M</t>
  </si>
  <si>
    <t>6.20M</t>
  </si>
  <si>
    <t>8.50M</t>
  </si>
  <si>
    <t>7.57M</t>
  </si>
  <si>
    <t>6.30M</t>
  </si>
  <si>
    <t>6.56M</t>
  </si>
  <si>
    <t>8.21M</t>
  </si>
  <si>
    <t>7.60M</t>
  </si>
  <si>
    <t>6.43M</t>
  </si>
  <si>
    <t>6.53M</t>
  </si>
  <si>
    <t>9.68M</t>
  </si>
  <si>
    <t>6.25M</t>
  </si>
  <si>
    <t>5.96M</t>
  </si>
  <si>
    <t>4.95M</t>
  </si>
  <si>
    <t>6.37M</t>
  </si>
  <si>
    <t>9.29M</t>
  </si>
  <si>
    <t>10.03M</t>
  </si>
  <si>
    <t>9.96M</t>
  </si>
  <si>
    <t>VNQ</t>
  </si>
  <si>
    <t>61.98M</t>
  </si>
  <si>
    <t>80.02M</t>
  </si>
  <si>
    <t>73.76M</t>
  </si>
  <si>
    <t>79.35M</t>
  </si>
  <si>
    <t>67.80M</t>
  </si>
  <si>
    <t>65.95M</t>
  </si>
  <si>
    <t>81.67M</t>
  </si>
  <si>
    <t>67.03M</t>
  </si>
  <si>
    <t>56.35M</t>
  </si>
  <si>
    <t>98.14M</t>
  </si>
  <si>
    <t>71.63M</t>
  </si>
  <si>
    <t>60.44M</t>
  </si>
  <si>
    <t>81.13M</t>
  </si>
  <si>
    <t>75.46M</t>
  </si>
  <si>
    <t>67.87M</t>
  </si>
  <si>
    <t>75.65M</t>
  </si>
  <si>
    <t>83.71M</t>
  </si>
  <si>
    <t>92.71M</t>
  </si>
  <si>
    <t>74.62M</t>
  </si>
  <si>
    <t>58.48M</t>
  </si>
  <si>
    <t>82.03M</t>
  </si>
  <si>
    <t>112.74M</t>
  </si>
  <si>
    <t>87.36M</t>
  </si>
  <si>
    <t>106.31M</t>
  </si>
  <si>
    <t>99.34M</t>
  </si>
  <si>
    <t>107.74M</t>
  </si>
  <si>
    <t>104.81M</t>
  </si>
  <si>
    <t>140.39M</t>
  </si>
  <si>
    <t>86.56M</t>
  </si>
  <si>
    <t>89.70M</t>
  </si>
  <si>
    <t>107.33M</t>
  </si>
  <si>
    <t>90.58M</t>
  </si>
  <si>
    <t>108.73M</t>
  </si>
  <si>
    <t>99.98M</t>
  </si>
  <si>
    <t>164.80M</t>
  </si>
  <si>
    <t>93.68M</t>
  </si>
  <si>
    <t>106.91M</t>
  </si>
  <si>
    <t>114.13M</t>
  </si>
  <si>
    <t>107.92M</t>
  </si>
  <si>
    <t>133.06M</t>
  </si>
  <si>
    <t>128.43M</t>
  </si>
  <si>
    <t>75.72M</t>
  </si>
  <si>
    <t>80.78M</t>
  </si>
  <si>
    <t>127.67M</t>
  </si>
  <si>
    <t>147.91M</t>
  </si>
  <si>
    <t>114.75M</t>
  </si>
  <si>
    <t>128.13M</t>
  </si>
  <si>
    <t>115.35M</t>
  </si>
  <si>
    <t>144.92M</t>
  </si>
  <si>
    <t>129.69M</t>
  </si>
  <si>
    <t>75.13M</t>
  </si>
  <si>
    <t>87.54M</t>
  </si>
  <si>
    <t>109.44M</t>
  </si>
  <si>
    <t>74.71M</t>
  </si>
  <si>
    <t>96.34M</t>
  </si>
  <si>
    <t>88.69M</t>
  </si>
  <si>
    <t>87.73M</t>
  </si>
  <si>
    <t>90.28M</t>
  </si>
  <si>
    <t>103.02M</t>
  </si>
  <si>
    <t>111.25M</t>
  </si>
  <si>
    <t>83.50M</t>
  </si>
  <si>
    <t>92.41M</t>
  </si>
  <si>
    <t>91.00M</t>
  </si>
  <si>
    <t>93.90M</t>
  </si>
  <si>
    <t>78.31M</t>
  </si>
  <si>
    <t>100.17M</t>
  </si>
  <si>
    <t>146.94M</t>
  </si>
  <si>
    <t>144.16M</t>
  </si>
  <si>
    <t>182.12M</t>
  </si>
  <si>
    <t>298.55M</t>
  </si>
  <si>
    <t>119.83M</t>
  </si>
  <si>
    <t>98.46M</t>
  </si>
  <si>
    <t>115.43M</t>
  </si>
  <si>
    <t>100.24M</t>
  </si>
  <si>
    <t>84.43M</t>
  </si>
  <si>
    <t>90.95M</t>
  </si>
  <si>
    <t>101.01M</t>
  </si>
  <si>
    <t>110.63M</t>
  </si>
  <si>
    <t>106.19M</t>
  </si>
  <si>
    <t>106.00M</t>
  </si>
  <si>
    <t>105.29M</t>
  </si>
  <si>
    <t>147.87M</t>
  </si>
  <si>
    <t>142.89M</t>
  </si>
  <si>
    <t>151.84M</t>
  </si>
  <si>
    <t>213.63M</t>
  </si>
  <si>
    <t>114.20M</t>
  </si>
  <si>
    <t>168.46M</t>
  </si>
  <si>
    <t>94.41M</t>
  </si>
  <si>
    <t>90.62M</t>
  </si>
  <si>
    <t>107.61M</t>
  </si>
  <si>
    <t>115.03M</t>
  </si>
  <si>
    <t>93.48M</t>
  </si>
  <si>
    <t>112.22M</t>
  </si>
  <si>
    <t>141.20M</t>
  </si>
  <si>
    <t>168.82M</t>
  </si>
  <si>
    <t>113.33M</t>
  </si>
  <si>
    <t>91.54M</t>
  </si>
  <si>
    <t>73.39M</t>
  </si>
  <si>
    <t>71.91M</t>
  </si>
  <si>
    <t>70.00M</t>
  </si>
  <si>
    <t>55.34M</t>
  </si>
  <si>
    <t>63.85M</t>
  </si>
  <si>
    <t>93.47M</t>
  </si>
  <si>
    <t>98.73M</t>
  </si>
  <si>
    <t>81.14M</t>
  </si>
  <si>
    <t>113.42M</t>
  </si>
  <si>
    <t>70.20M</t>
  </si>
  <si>
    <t>94.88M</t>
  </si>
  <si>
    <t>96.18M</t>
  </si>
  <si>
    <t>128.39M</t>
  </si>
  <si>
    <t>98.27M</t>
  </si>
  <si>
    <t>103.76M</t>
  </si>
  <si>
    <t>92.17M</t>
  </si>
  <si>
    <t>66.05M</t>
  </si>
  <si>
    <t>88.72M</t>
  </si>
  <si>
    <t>78.32M</t>
  </si>
  <si>
    <t>70.28M</t>
  </si>
  <si>
    <t>80.97M</t>
  </si>
  <si>
    <t>118.62M</t>
  </si>
  <si>
    <t>91.98M</t>
  </si>
  <si>
    <t>80.27M</t>
  </si>
  <si>
    <t>84.71M</t>
  </si>
  <si>
    <t>87.29M</t>
  </si>
  <si>
    <t>91.51M</t>
  </si>
  <si>
    <t>83.20M</t>
  </si>
  <si>
    <t>101.21M</t>
  </si>
  <si>
    <t>88.17M</t>
  </si>
  <si>
    <t>81.10M</t>
  </si>
  <si>
    <t>99.58M</t>
  </si>
  <si>
    <t>95.07M</t>
  </si>
  <si>
    <t>98.66M</t>
  </si>
  <si>
    <t>VXUS</t>
  </si>
  <si>
    <t>138.90M</t>
  </si>
  <si>
    <t>151.36M</t>
  </si>
  <si>
    <t>88.92M</t>
  </si>
  <si>
    <t>116.26M</t>
  </si>
  <si>
    <t>95.47M</t>
  </si>
  <si>
    <t>82.21M</t>
  </si>
  <si>
    <t>90.29M</t>
  </si>
  <si>
    <t>98.52M</t>
  </si>
  <si>
    <t>82.36M</t>
  </si>
  <si>
    <t>122.60M</t>
  </si>
  <si>
    <t>99.75M</t>
  </si>
  <si>
    <t>67.76M</t>
  </si>
  <si>
    <t>78.16M</t>
  </si>
  <si>
    <t>79.64M</t>
  </si>
  <si>
    <t>83.12M</t>
  </si>
  <si>
    <t>65.46M</t>
  </si>
  <si>
    <t>59.85M</t>
  </si>
  <si>
    <t>64.81M</t>
  </si>
  <si>
    <t>49.54M</t>
  </si>
  <si>
    <t>50.44M</t>
  </si>
  <si>
    <t>73.14M</t>
  </si>
  <si>
    <t>64.44M</t>
  </si>
  <si>
    <t>78.79M</t>
  </si>
  <si>
    <t>56.44M</t>
  </si>
  <si>
    <t>67.78M</t>
  </si>
  <si>
    <t>67.55M</t>
  </si>
  <si>
    <t>49.26M</t>
  </si>
  <si>
    <t>63.23M</t>
  </si>
  <si>
    <t>45.01M</t>
  </si>
  <si>
    <t>45.29M</t>
  </si>
  <si>
    <t>37.97M</t>
  </si>
  <si>
    <t>49.34M</t>
  </si>
  <si>
    <t>50.68M</t>
  </si>
  <si>
    <t>41.88M</t>
  </si>
  <si>
    <t>62.13M</t>
  </si>
  <si>
    <t>53.55M</t>
  </si>
  <si>
    <t>65.74M</t>
  </si>
  <si>
    <t>93.59M</t>
  </si>
  <si>
    <t>100.18M</t>
  </si>
  <si>
    <t>139.06M</t>
  </si>
  <si>
    <t>150.53M</t>
  </si>
  <si>
    <t>93.42M</t>
  </si>
  <si>
    <t>88.97M</t>
  </si>
  <si>
    <t>113.23M</t>
  </si>
  <si>
    <t>127.36M</t>
  </si>
  <si>
    <t>83.86M</t>
  </si>
  <si>
    <t>121.60M</t>
  </si>
  <si>
    <t>98.85M</t>
  </si>
  <si>
    <t>105.63M</t>
  </si>
  <si>
    <t>89.81M</t>
  </si>
  <si>
    <t>62.78M</t>
  </si>
  <si>
    <t>54.93M</t>
  </si>
  <si>
    <t>65.01M</t>
  </si>
  <si>
    <t>50.70M</t>
  </si>
  <si>
    <t>53.22M</t>
  </si>
  <si>
    <t>62.59M</t>
  </si>
  <si>
    <t>61.96M</t>
  </si>
  <si>
    <t>61.86M</t>
  </si>
  <si>
    <t>84.64M</t>
  </si>
  <si>
    <t>64.82M</t>
  </si>
  <si>
    <t>76.67M</t>
  </si>
  <si>
    <t>83.61M</t>
  </si>
  <si>
    <t>62.73M</t>
  </si>
  <si>
    <t>57.01M</t>
  </si>
  <si>
    <t>65.80M</t>
  </si>
  <si>
    <t>46.70M</t>
  </si>
  <si>
    <t>50.72M</t>
  </si>
  <si>
    <t>75.79M</t>
  </si>
  <si>
    <t>67.45M</t>
  </si>
  <si>
    <t>104.97M</t>
  </si>
  <si>
    <t>176.92M</t>
  </si>
  <si>
    <t>47.53M</t>
  </si>
  <si>
    <t>43.80M</t>
  </si>
  <si>
    <t>33.88M</t>
  </si>
  <si>
    <t>27.91M</t>
  </si>
  <si>
    <t>32.88M</t>
  </si>
  <si>
    <t>28.90M</t>
  </si>
  <si>
    <t>44.10M</t>
  </si>
  <si>
    <t>31.02M</t>
  </si>
  <si>
    <t>26.99M</t>
  </si>
  <si>
    <t>24.84M</t>
  </si>
  <si>
    <t>22.51M</t>
  </si>
  <si>
    <t>21.72M</t>
  </si>
  <si>
    <t>21.55M</t>
  </si>
  <si>
    <t>56.43M</t>
  </si>
  <si>
    <t>21.64M</t>
  </si>
  <si>
    <t>27.29M</t>
  </si>
  <si>
    <t>15.39M</t>
  </si>
  <si>
    <t>14.35M</t>
  </si>
  <si>
    <t>13.80M</t>
  </si>
  <si>
    <t>15.40M</t>
  </si>
  <si>
    <t>12.65M</t>
  </si>
  <si>
    <t>13.85M</t>
  </si>
  <si>
    <t>14.47M</t>
  </si>
  <si>
    <t>22.11M</t>
  </si>
  <si>
    <t>30.29M</t>
  </si>
  <si>
    <t>14.32M</t>
  </si>
  <si>
    <t>12.01M</t>
  </si>
  <si>
    <t>13.52M</t>
  </si>
  <si>
    <t>16.16M</t>
  </si>
  <si>
    <t>16.32M</t>
  </si>
  <si>
    <t>18.02M</t>
  </si>
  <si>
    <t>18.04M</t>
  </si>
  <si>
    <t>12.35M</t>
  </si>
  <si>
    <t>15.73M</t>
  </si>
  <si>
    <t>12.99M</t>
  </si>
  <si>
    <t>18.17M</t>
  </si>
  <si>
    <t>18.41M</t>
  </si>
  <si>
    <t>9.34M</t>
  </si>
  <si>
    <t>14.57M</t>
  </si>
  <si>
    <t>13.03M</t>
  </si>
  <si>
    <t>15.32M</t>
  </si>
  <si>
    <t>22.87M</t>
  </si>
  <si>
    <t>15.02M</t>
  </si>
  <si>
    <t>14.85M</t>
  </si>
  <si>
    <t>19.13M</t>
  </si>
  <si>
    <t>21.06M</t>
  </si>
  <si>
    <t>29.93M</t>
  </si>
  <si>
    <t>21.85M</t>
  </si>
  <si>
    <t>12.67M</t>
  </si>
  <si>
    <t>16.76M</t>
  </si>
  <si>
    <t>15.55M</t>
  </si>
  <si>
    <t>15.95M</t>
  </si>
  <si>
    <t>19.08M</t>
  </si>
  <si>
    <t>9.28M</t>
  </si>
  <si>
    <t>8.41M</t>
  </si>
  <si>
    <t>9.93M</t>
  </si>
  <si>
    <t>11.49M</t>
  </si>
  <si>
    <t>9.52M</t>
  </si>
  <si>
    <t>11.71M</t>
  </si>
  <si>
    <t>Date_Fixed</t>
  </si>
  <si>
    <t>Total</t>
  </si>
  <si>
    <t>Monthly  Returns</t>
  </si>
  <si>
    <t>Portfolio Composition</t>
  </si>
  <si>
    <t xml:space="preserve">correlation matrix </t>
  </si>
  <si>
    <t>Risk &amp; Return</t>
  </si>
  <si>
    <t xml:space="preserve">covariance matrix </t>
  </si>
  <si>
    <t>`</t>
  </si>
  <si>
    <t xml:space="preserve"> Sharp</t>
  </si>
  <si>
    <t xml:space="preserve"> Volatility </t>
  </si>
  <si>
    <t>Weight Transpose</t>
  </si>
  <si>
    <t xml:space="preserve"> Monthly Variance</t>
  </si>
  <si>
    <t xml:space="preserve"> Monthly Volatility</t>
  </si>
  <si>
    <t xml:space="preserve"> Annualized Volatility</t>
  </si>
  <si>
    <t>Monthly Risk Contribution</t>
  </si>
  <si>
    <t xml:space="preserve"> Volatility</t>
  </si>
  <si>
    <t>Expected Return</t>
  </si>
  <si>
    <t>Expected  Return</t>
  </si>
  <si>
    <t>MIN</t>
  </si>
  <si>
    <t>MAX</t>
  </si>
  <si>
    <t>Mean (Annual)</t>
  </si>
  <si>
    <t>Portfolio Return</t>
  </si>
  <si>
    <t>Weights</t>
  </si>
  <si>
    <t>Monthly Return</t>
  </si>
  <si>
    <t>Value</t>
  </si>
  <si>
    <t>VaR 90%</t>
  </si>
  <si>
    <t>VaR 95%</t>
  </si>
  <si>
    <t>VaR 99%</t>
  </si>
  <si>
    <t>Portfolio VaR</t>
  </si>
  <si>
    <t>Scenario</t>
  </si>
  <si>
    <t>Risk-Free Rate</t>
  </si>
  <si>
    <t>Sharpe</t>
  </si>
  <si>
    <t>Base (4%)</t>
  </si>
  <si>
    <t>Base</t>
  </si>
  <si>
    <t>Volatility</t>
  </si>
  <si>
    <t>High (6%)</t>
  </si>
  <si>
    <t>Low (2%)</t>
  </si>
  <si>
    <t>Portfolio Performance Under Different Interest Rate Scenarios</t>
  </si>
  <si>
    <t>Asset Allocation by Interest Rate Scenario</t>
  </si>
  <si>
    <t>Risk Contribution (%)</t>
  </si>
  <si>
    <t>Parameter</t>
  </si>
  <si>
    <t>Return Frequency</t>
  </si>
  <si>
    <t>Monthly</t>
  </si>
  <si>
    <t>Return Type</t>
  </si>
  <si>
    <t>Simple</t>
  </si>
  <si>
    <t>Benchmark (Market)</t>
  </si>
  <si>
    <t>Sample Start</t>
  </si>
  <si>
    <t>Sample End</t>
  </si>
  <si>
    <t>VaR Method</t>
  </si>
  <si>
    <t>Historical</t>
  </si>
  <si>
    <t>VaR Confidence Levels</t>
  </si>
  <si>
    <t>90%, 95%, 99%</t>
  </si>
  <si>
    <t>Risk-Free Rate (Annual)</t>
  </si>
  <si>
    <t>Risk-Free Rate (Monthly)</t>
  </si>
  <si>
    <t>Cumulative Return</t>
  </si>
  <si>
    <t>Running Peak</t>
  </si>
  <si>
    <t>Drawdown</t>
  </si>
  <si>
    <t>Maximum Drawdown</t>
  </si>
  <si>
    <t>Months Under Water</t>
  </si>
  <si>
    <t>Max Recovery Time (Months)</t>
  </si>
  <si>
    <t>Max DD Row</t>
  </si>
  <si>
    <t>Recovery Row</t>
  </si>
  <si>
    <t>Recovery Period (Months)</t>
  </si>
  <si>
    <t>Recovery Date</t>
  </si>
  <si>
    <t>Max DD date</t>
  </si>
  <si>
    <t>Recovery Period (Trough → Peak)</t>
  </si>
  <si>
    <t>8 Months</t>
  </si>
  <si>
    <t>16 Months</t>
  </si>
  <si>
    <t>Dec 2021 - May 2023</t>
  </si>
  <si>
    <t>Max Drawdown Duration (Peak → Peak)</t>
  </si>
  <si>
    <t>CVaR 90%</t>
  </si>
  <si>
    <t>CVaR 95%</t>
  </si>
  <si>
    <t>CVaR 99%</t>
  </si>
  <si>
    <t>Portfolio CVaR</t>
  </si>
  <si>
    <t>Confidence Level</t>
  </si>
  <si>
    <t>VaR</t>
  </si>
  <si>
    <t>CVaR</t>
  </si>
  <si>
    <t>בוצע</t>
  </si>
  <si>
    <t>Train %</t>
  </si>
  <si>
    <t>Test %</t>
  </si>
  <si>
    <t>Split Configuration</t>
  </si>
  <si>
    <t>Data Summary</t>
  </si>
  <si>
    <t xml:space="preserve">Observations </t>
  </si>
  <si>
    <t xml:space="preserve">Train </t>
  </si>
  <si>
    <t>Test</t>
  </si>
  <si>
    <t>Train End Date</t>
  </si>
  <si>
    <t>Test Start Date</t>
  </si>
  <si>
    <t>Split</t>
  </si>
  <si>
    <t>Train</t>
  </si>
  <si>
    <t xml:space="preserve">Metric </t>
  </si>
  <si>
    <t>Mean</t>
  </si>
  <si>
    <t>μ (Train)</t>
  </si>
  <si>
    <t>Covariance Matrix (Train)</t>
  </si>
  <si>
    <t>Expected  Return (Train)</t>
  </si>
  <si>
    <t xml:space="preserve"> Volatility (Train)</t>
  </si>
  <si>
    <t xml:space="preserve"> Variance (Train)</t>
  </si>
  <si>
    <t>Sharpe (Train)</t>
  </si>
  <si>
    <t>sum</t>
  </si>
  <si>
    <t>Monthly RF</t>
  </si>
  <si>
    <t>Annual RF</t>
  </si>
  <si>
    <t>SPY Return</t>
  </si>
  <si>
    <t xml:space="preserve">SPY Monthly Performance </t>
  </si>
  <si>
    <t>Avg Return</t>
  </si>
  <si>
    <t xml:space="preserve">SPY Annual Performance </t>
  </si>
  <si>
    <t xml:space="preserve">Portfolio Monthly Performance </t>
  </si>
  <si>
    <t>Portfolio Annualized Performance</t>
  </si>
  <si>
    <t>Portfolio Cumulative</t>
  </si>
  <si>
    <t>SPY Cumulative</t>
  </si>
  <si>
    <t>Portfolio Cum (Train)</t>
  </si>
  <si>
    <t>Portfolio Cum (Test)</t>
  </si>
  <si>
    <t>Portfolio</t>
  </si>
  <si>
    <t>Excess</t>
  </si>
  <si>
    <t>Out-of-Sample Excess Performance (Portfolio vs SPY – Test Period)</t>
  </si>
  <si>
    <t>CAPM Regression Data – Test Period (Oct 2022 – Jan 2026)</t>
  </si>
  <si>
    <t>RF</t>
  </si>
  <si>
    <t>Portfolio Excess Return</t>
  </si>
  <si>
    <t>SPY Excess Return</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</si>
  <si>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</si>
  <si>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</si>
  <si>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</si>
  <si>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</si>
  <si>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</si>
  <si>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</si>
  <si>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</si>
  <si>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</si>
  <si>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</si>
  <si>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</si>
  <si>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</si>
  <si>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</si>
  <si>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</si>
  <si>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</si>
  <si>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</si>
  <si>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</si>
  <si>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</si>
  <si>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</si>
  <si>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</si>
  <si>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</si>
  <si>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</si>
  <si>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</si>
  <si>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</si>
  <si>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CAPM Regression Coefficients</t>
  </si>
  <si>
    <t>Variable</t>
  </si>
  <si>
    <t>Coefficient</t>
  </si>
  <si>
    <t>t-stat</t>
  </si>
  <si>
    <t>p-value</t>
  </si>
  <si>
    <t>CAPM Model Summary</t>
  </si>
  <si>
    <t>Correlation</t>
  </si>
  <si>
    <t>R²</t>
  </si>
  <si>
    <t>F-statistic</t>
  </si>
  <si>
    <t>CAPM Alpha</t>
  </si>
  <si>
    <t>Monthly Alpha</t>
  </si>
  <si>
    <t>Annualized Alpha</t>
  </si>
  <si>
    <t>CAPM Expected Return</t>
  </si>
  <si>
    <t>Avg Test Return</t>
  </si>
  <si>
    <t>Contribution</t>
  </si>
  <si>
    <t>Contribution %</t>
  </si>
  <si>
    <t>Information Ratio</t>
  </si>
  <si>
    <t>Excess Return</t>
  </si>
  <si>
    <t>Tracking Error</t>
  </si>
  <si>
    <t>Event</t>
  </si>
  <si>
    <t>Month</t>
  </si>
  <si>
    <t>COVID Crash</t>
  </si>
  <si>
    <t>Inflation Shock</t>
  </si>
  <si>
    <t>AI Rally</t>
  </si>
  <si>
    <t>Multi-Asset Portfolio Strategy &amp; Performance Analytics</t>
  </si>
  <si>
    <t>Annualized Volatility</t>
  </si>
  <si>
    <t>Expected Monthly Return</t>
  </si>
  <si>
    <t>Monthly Volatility</t>
  </si>
  <si>
    <t>Initial</t>
  </si>
  <si>
    <t>Final</t>
  </si>
  <si>
    <t>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</si>
</sst>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00"/>
    <numFmt numFmtId="165" formatCode="B1mmm\-yy"/>
    <numFmt numFmtId="166" formatCode="0.0%"/>
    <numFmt numFmtId="167" formatCode="[$-409]mmm\-yy;@"/>
  </numFmts>
  <fonts count="23" x14ac:knownFonts="1">
    <font>
      <sz val="11"/>
      <color theme="1"/>
      <name val="Arial"/>
      <family val="2"/>
      <scheme val="minor"/>
    </font>
    <font>
      <b/>
      <sz val="11"/>
      <color theme="0"/>
      <name val="Arial"/>
      <family val="2"/>
      <scheme val="minor"/>
    </font>
    <font>
      <i/>
      <sz val="11"/>
      <color theme="1"/>
      <name val="Arial"/>
      <family val="2"/>
      <scheme val="minor"/>
    </font>
    <font>
      <sz val="12"/>
      <color theme="1"/>
      <name val="Arial"/>
      <family val="2"/>
      <scheme val="minor"/>
    </font>
    <font>
      <sz val="11"/>
      <color theme="1"/>
      <name val="Arial"/>
      <family val="2"/>
      <scheme val="minor"/>
    </font>
    <font>
      <b/>
      <sz val="12"/>
      <color theme="0"/>
      <name val="Arial"/>
      <family val="2"/>
      <scheme val="minor"/>
    </font>
    <font>
      <sz val="11"/>
      <name val="Arial"/>
      <family val="2"/>
      <scheme val="minor"/>
    </font>
    <font>
      <sz val="12"/>
      <name val="Arial"/>
      <family val="2"/>
      <scheme val="minor"/>
    </font>
    <font>
      <b/>
      <sz val="14"/>
      <color theme="0"/>
      <name val="Arial"/>
      <family val="2"/>
      <scheme val="minor"/>
    </font>
    <font>
      <sz val="11"/>
      <color theme="0"/>
      <name val="Arial"/>
      <family val="2"/>
      <scheme val="minor"/>
    </font>
    <font>
      <b/>
      <sz val="12"/>
      <color theme="1"/>
      <name val="Arial"/>
      <family val="2"/>
      <scheme val="minor"/>
    </font>
    <font>
      <b/>
      <sz val="11"/>
      <color theme="1"/>
      <name val="Arial"/>
      <family val="2"/>
      <scheme val="minor"/>
    </font>
    <font>
      <b/>
      <sz val="12"/>
      <color theme="1"/>
      <name val="Times New Roman"/>
      <family val="1"/>
      <scheme val="major"/>
    </font>
    <font>
      <b/>
      <sz val="18"/>
      <color theme="0"/>
      <name val="Arial"/>
      <family val="2"/>
      <scheme val="minor"/>
    </font>
    <font>
      <b/>
      <sz val="20"/>
      <color theme="0"/>
      <name val="Arial"/>
      <family val="2"/>
      <scheme val="minor"/>
    </font>
    <font>
      <b/>
      <sz val="14"/>
      <color theme="1"/>
      <name val="Arial"/>
      <family val="2"/>
      <scheme val="minor"/>
    </font>
    <font>
      <b/>
      <i/>
      <sz val="14"/>
      <color theme="1"/>
      <name val="Arial"/>
      <family val="2"/>
      <scheme val="minor"/>
    </font>
    <font>
      <b/>
      <sz val="10"/>
      <color theme="1"/>
      <name val="Arial"/>
      <family val="2"/>
      <scheme val="minor"/>
    </font>
    <font>
      <b/>
      <sz val="20"/>
      <color rgb="FF1E2A36"/>
      <name val="Segoe UI"/>
      <family val="2"/>
    </font>
    <font>
      <sz val="10"/>
      <color rgb="FF3A3A3A"/>
      <name val="Arial"/>
      <family val="2"/>
      <scheme val="minor"/>
    </font>
    <font>
      <b/>
      <sz val="11"/>
      <color theme="3" tint="-0.249977111117893"/>
      <name val="Arial"/>
      <family val="2"/>
      <scheme val="minor"/>
    </font>
    <font>
      <sz val="11"/>
      <color rgb="FF3A3A3A"/>
      <name val="Arial"/>
      <family val="2"/>
      <scheme val="minor"/>
    </font>
    <font>
      <b/>
      <sz val="11"/>
      <color rgb="FF3A3A3A"/>
      <name val="Arial"/>
      <family val="2"/>
      <scheme val="minor"/>
    </font>
  </fonts>
  <fills count="24">
    <fill>
      <patternFill patternType="none"/>
    </fill>
    <fill>
      <patternFill patternType="gray125"/>
    </fill>
    <fill>
      <patternFill patternType="solid">
        <fgColor rgb="FFFFC000"/>
        <bgColor indexed="64"/>
      </patternFill>
    </fill>
    <fill>
      <patternFill patternType="solid">
        <fgColor theme="4"/>
        <bgColor theme="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theme="0"/>
        <bgColor theme="4" tint="0.79998168889431442"/>
      </patternFill>
    </fill>
    <fill>
      <patternFill patternType="solid">
        <fgColor theme="2" tint="-9.9978637043366805E-2"/>
        <bgColor indexed="64"/>
      </patternFill>
    </fill>
    <fill>
      <patternFill patternType="solid">
        <fgColor theme="0" tint="-4.9989318521683403E-2"/>
        <bgColor theme="4"/>
      </patternFill>
    </fill>
    <fill>
      <patternFill patternType="solid">
        <fgColor theme="2" tint="-0.749992370372631"/>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7" tint="0.39997558519241921"/>
        <bgColor theme="4"/>
      </patternFill>
    </fill>
    <fill>
      <patternFill patternType="solid">
        <fgColor theme="7" tint="0.59999389629810485"/>
        <bgColor indexed="64"/>
      </patternFill>
    </fill>
    <fill>
      <patternFill patternType="solid">
        <fgColor theme="2"/>
        <bgColor theme="4"/>
      </patternFill>
    </fill>
    <fill>
      <patternFill patternType="solid">
        <fgColor theme="2" tint="-0.749992370372631"/>
        <bgColor theme="4"/>
      </patternFill>
    </fill>
    <fill>
      <patternFill patternType="solid">
        <fgColor theme="7" tint="0.39997558519241921"/>
        <bgColor indexed="64"/>
      </patternFill>
    </fill>
    <fill>
      <patternFill patternType="solid">
        <fgColor theme="1"/>
        <bgColor indexed="64"/>
      </patternFill>
    </fill>
    <fill>
      <patternFill patternType="solid">
        <fgColor theme="0" tint="-0.14999847407452621"/>
        <bgColor indexed="64"/>
      </patternFill>
    </fill>
    <fill>
      <patternFill patternType="solid">
        <fgColor rgb="FFFFB9B9"/>
        <bgColor theme="4"/>
      </patternFill>
    </fill>
    <fill>
      <patternFill patternType="solid">
        <fgColor theme="9" tint="0.79998168889431442"/>
        <bgColor indexed="64"/>
      </patternFill>
    </fill>
    <fill>
      <patternFill patternType="solid">
        <fgColor rgb="FFEEEEEE"/>
        <bgColor indexed="64"/>
      </patternFill>
    </fill>
    <fill>
      <patternFill patternType="solid">
        <fgColor rgb="FFEEEEEE"/>
        <bgColor theme="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theme="4" tint="0.39997558519241921"/>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4" tint="0.39997558519241921"/>
      </right>
      <top/>
      <bottom style="medium">
        <color indexed="64"/>
      </bottom>
      <diagonal/>
    </border>
    <border>
      <left style="thin">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thin">
        <color indexed="64"/>
      </bottom>
      <diagonal/>
    </border>
    <border>
      <left/>
      <right style="thin">
        <color rgb="FFECECEC"/>
      </right>
      <top/>
      <bottom/>
      <diagonal/>
    </border>
    <border>
      <left/>
      <right/>
      <top/>
      <bottom style="thin">
        <color rgb="FFE2E2E2"/>
      </bottom>
      <diagonal/>
    </border>
    <border>
      <left style="thin">
        <color rgb="FFE2E2E2"/>
      </left>
      <right/>
      <top style="thin">
        <color rgb="FFE2E2E2"/>
      </top>
      <bottom style="thin">
        <color rgb="FFE2E2E2"/>
      </bottom>
      <diagonal/>
    </border>
    <border>
      <left/>
      <right/>
      <top style="thin">
        <color rgb="FFE2E2E2"/>
      </top>
      <bottom style="thin">
        <color rgb="FFE2E2E2"/>
      </bottom>
      <diagonal/>
    </border>
    <border>
      <left/>
      <right style="thin">
        <color rgb="FFE2E2E2"/>
      </right>
      <top style="thin">
        <color rgb="FFE2E2E2"/>
      </top>
      <bottom style="thin">
        <color rgb="FFE2E2E2"/>
      </bottom>
      <diagonal/>
    </border>
    <border>
      <left style="thin">
        <color rgb="FFE2E2E2"/>
      </left>
      <right/>
      <top/>
      <bottom/>
      <diagonal/>
    </border>
    <border>
      <left/>
      <right style="thin">
        <color rgb="FFE2E2E2"/>
      </right>
      <top/>
      <bottom/>
      <diagonal/>
    </border>
    <border>
      <left style="thin">
        <color rgb="FFE2E2E2"/>
      </left>
      <right/>
      <top/>
      <bottom style="thin">
        <color rgb="FFE2E2E2"/>
      </bottom>
      <diagonal/>
    </border>
    <border>
      <left/>
      <right style="thin">
        <color rgb="FFE2E2E2"/>
      </right>
      <top/>
      <bottom style="thin">
        <color rgb="FFE2E2E2"/>
      </bottom>
      <diagonal/>
    </border>
  </borders>
  <cellStyleXfs count="2">
    <xf numFmtId="0" fontId="0" fillId="0" borderId="0"/>
    <xf numFmtId="9" fontId="4" fillId="0" borderId="0" applyFont="0" applyFill="0" applyBorder="0" applyAlignment="0" applyProtection="0"/>
  </cellStyleXfs>
  <cellXfs count="154">
    <xf numFmtId="0" fontId="0" fillId="0" borderId="0" xfId="0"/>
    <xf numFmtId="14" fontId="0" fillId="0" borderId="0" xfId="0" applyNumberFormat="1"/>
    <xf numFmtId="10" fontId="0" fillId="0" borderId="0" xfId="0" applyNumberFormat="1"/>
    <xf numFmtId="0" fontId="0" fillId="0" borderId="2" xfId="0" applyBorder="1"/>
    <xf numFmtId="0" fontId="2" fillId="0" borderId="3" xfId="0" applyFont="1" applyBorder="1" applyAlignment="1">
      <alignment horizontal="center"/>
    </xf>
    <xf numFmtId="0" fontId="0" fillId="0" borderId="1" xfId="0" applyBorder="1"/>
    <xf numFmtId="0" fontId="0" fillId="0" borderId="4" xfId="0" applyBorder="1"/>
    <xf numFmtId="0" fontId="0" fillId="5" borderId="4" xfId="0" applyFill="1" applyBorder="1"/>
    <xf numFmtId="0" fontId="3" fillId="0" borderId="0" xfId="0" applyFont="1"/>
    <xf numFmtId="0" fontId="5" fillId="3" borderId="1" xfId="0" applyFont="1" applyFill="1" applyBorder="1"/>
    <xf numFmtId="0" fontId="3" fillId="0" borderId="1" xfId="0" applyFont="1" applyBorder="1"/>
    <xf numFmtId="0" fontId="0" fillId="0" borderId="1" xfId="0" applyBorder="1" applyAlignment="1">
      <alignment vertical="center" wrapText="1"/>
    </xf>
    <xf numFmtId="0" fontId="0" fillId="5" borderId="1" xfId="0" applyFill="1" applyBorder="1" applyAlignment="1">
      <alignment vertical="center" wrapText="1"/>
    </xf>
    <xf numFmtId="14" fontId="0" fillId="7" borderId="1" xfId="0" applyNumberFormat="1" applyFill="1" applyBorder="1"/>
    <xf numFmtId="0" fontId="0" fillId="6" borderId="1" xfId="0" applyFill="1" applyBorder="1"/>
    <xf numFmtId="0" fontId="5" fillId="3" borderId="5" xfId="0" applyFont="1" applyFill="1" applyBorder="1"/>
    <xf numFmtId="0" fontId="0" fillId="8" borderId="1" xfId="0" applyFill="1" applyBorder="1"/>
    <xf numFmtId="0" fontId="0" fillId="4" borderId="1" xfId="0" applyFill="1" applyBorder="1"/>
    <xf numFmtId="0" fontId="6" fillId="4" borderId="1" xfId="0" applyFont="1" applyFill="1" applyBorder="1" applyAlignment="1">
      <alignment wrapText="1"/>
    </xf>
    <xf numFmtId="0" fontId="7" fillId="9" borderId="5" xfId="0" applyFont="1" applyFill="1" applyBorder="1" applyAlignment="1">
      <alignment wrapText="1"/>
    </xf>
    <xf numFmtId="0" fontId="7" fillId="9" borderId="6" xfId="0" applyFont="1" applyFill="1" applyBorder="1" applyAlignment="1">
      <alignment wrapText="1"/>
    </xf>
    <xf numFmtId="0" fontId="3" fillId="4" borderId="1" xfId="0" applyFont="1" applyFill="1" applyBorder="1" applyAlignment="1">
      <alignment wrapText="1"/>
    </xf>
    <xf numFmtId="0" fontId="0" fillId="0" borderId="1" xfId="1" applyNumberFormat="1" applyFont="1" applyBorder="1"/>
    <xf numFmtId="0" fontId="0" fillId="6" borderId="8" xfId="0" applyFill="1" applyBorder="1"/>
    <xf numFmtId="0" fontId="0" fillId="6" borderId="9" xfId="0" applyFill="1" applyBorder="1"/>
    <xf numFmtId="0" fontId="0" fillId="0" borderId="12" xfId="0" applyBorder="1"/>
    <xf numFmtId="0" fontId="1" fillId="3" borderId="16" xfId="0" applyFont="1" applyFill="1" applyBorder="1"/>
    <xf numFmtId="0" fontId="1" fillId="3" borderId="17" xfId="0" applyFont="1" applyFill="1" applyBorder="1"/>
    <xf numFmtId="0" fontId="1" fillId="3" borderId="18" xfId="0" applyFont="1" applyFill="1" applyBorder="1"/>
    <xf numFmtId="0" fontId="1" fillId="3" borderId="19" xfId="0" applyFont="1" applyFill="1" applyBorder="1"/>
    <xf numFmtId="0" fontId="1" fillId="3" borderId="10" xfId="0" applyFont="1" applyFill="1" applyBorder="1"/>
    <xf numFmtId="0" fontId="1" fillId="3" borderId="2" xfId="0" applyFont="1" applyFill="1" applyBorder="1"/>
    <xf numFmtId="0" fontId="1" fillId="3" borderId="20" xfId="0" applyFont="1" applyFill="1" applyBorder="1"/>
    <xf numFmtId="0" fontId="1" fillId="3" borderId="11" xfId="0" applyFont="1" applyFill="1" applyBorder="1"/>
    <xf numFmtId="14" fontId="0" fillId="7" borderId="6" xfId="0" applyNumberFormat="1" applyFill="1" applyBorder="1"/>
    <xf numFmtId="0" fontId="0" fillId="6" borderId="6" xfId="0" applyFill="1" applyBorder="1"/>
    <xf numFmtId="0" fontId="0" fillId="0" borderId="4" xfId="0" applyBorder="1" applyAlignment="1">
      <alignment vertical="center" wrapText="1"/>
    </xf>
    <xf numFmtId="0" fontId="1" fillId="3" borderId="1" xfId="0" applyFont="1" applyFill="1" applyBorder="1"/>
    <xf numFmtId="0" fontId="5" fillId="3" borderId="21" xfId="0" applyFont="1" applyFill="1" applyBorder="1"/>
    <xf numFmtId="0" fontId="10" fillId="5" borderId="1" xfId="0" applyFont="1" applyFill="1" applyBorder="1"/>
    <xf numFmtId="0" fontId="10" fillId="4" borderId="1" xfId="0" applyFont="1" applyFill="1" applyBorder="1"/>
    <xf numFmtId="0" fontId="0" fillId="0" borderId="0" xfId="0" applyAlignment="1">
      <alignment wrapText="1"/>
    </xf>
    <xf numFmtId="0" fontId="11" fillId="4" borderId="1" xfId="0" applyFont="1" applyFill="1" applyBorder="1" applyAlignment="1">
      <alignment wrapText="1"/>
    </xf>
    <xf numFmtId="0" fontId="12" fillId="11" borderId="24" xfId="0" applyFont="1" applyFill="1" applyBorder="1" applyAlignment="1">
      <alignment wrapText="1"/>
    </xf>
    <xf numFmtId="0" fontId="0" fillId="12" borderId="1" xfId="0" applyFill="1" applyBorder="1"/>
    <xf numFmtId="0" fontId="0" fillId="6" borderId="7" xfId="0" applyFill="1" applyBorder="1"/>
    <xf numFmtId="0" fontId="15" fillId="13" borderId="1" xfId="0" applyFont="1" applyFill="1" applyBorder="1" applyAlignment="1">
      <alignment vertical="center" wrapText="1"/>
    </xf>
    <xf numFmtId="0" fontId="15" fillId="13" borderId="1" xfId="0" applyFont="1" applyFill="1" applyBorder="1" applyAlignment="1">
      <alignment vertical="center"/>
    </xf>
    <xf numFmtId="0" fontId="0" fillId="0" borderId="1" xfId="0" applyBorder="1" applyAlignment="1">
      <alignment wrapText="1"/>
    </xf>
    <xf numFmtId="0" fontId="12" fillId="11" borderId="24" xfId="0" applyFont="1" applyFill="1" applyBorder="1"/>
    <xf numFmtId="9" fontId="10" fillId="14" borderId="15" xfId="1" applyFont="1" applyFill="1" applyBorder="1"/>
    <xf numFmtId="0" fontId="10" fillId="14" borderId="15" xfId="1" applyNumberFormat="1" applyFont="1" applyFill="1" applyBorder="1"/>
    <xf numFmtId="0" fontId="10" fillId="15" borderId="1"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9" fontId="0" fillId="0" borderId="4" xfId="1" applyFont="1" applyBorder="1"/>
    <xf numFmtId="9" fontId="0" fillId="0" borderId="0" xfId="0" applyNumberFormat="1"/>
    <xf numFmtId="0" fontId="0" fillId="0" borderId="0" xfId="1" applyNumberFormat="1" applyFont="1"/>
    <xf numFmtId="0" fontId="5" fillId="3" borderId="6" xfId="0" applyFont="1" applyFill="1" applyBorder="1" applyAlignment="1">
      <alignment wrapText="1"/>
    </xf>
    <xf numFmtId="164" fontId="0" fillId="0" borderId="1" xfId="0" applyNumberFormat="1" applyBorder="1"/>
    <xf numFmtId="0" fontId="15" fillId="6" borderId="4" xfId="0" applyFont="1" applyFill="1" applyBorder="1"/>
    <xf numFmtId="0" fontId="16" fillId="6" borderId="4" xfId="0" applyFont="1" applyFill="1" applyBorder="1"/>
    <xf numFmtId="0" fontId="10" fillId="17" borderId="4" xfId="0" applyFont="1" applyFill="1" applyBorder="1"/>
    <xf numFmtId="0" fontId="10" fillId="6" borderId="1" xfId="0" applyFont="1" applyFill="1" applyBorder="1"/>
    <xf numFmtId="0" fontId="5" fillId="3" borderId="6" xfId="0" applyFont="1" applyFill="1" applyBorder="1"/>
    <xf numFmtId="0" fontId="10" fillId="0" borderId="1" xfId="0" applyFont="1" applyBorder="1"/>
    <xf numFmtId="10" fontId="15" fillId="6" borderId="4" xfId="1" applyNumberFormat="1" applyFont="1" applyFill="1" applyBorder="1"/>
    <xf numFmtId="0" fontId="15" fillId="6" borderId="4" xfId="1" applyNumberFormat="1" applyFont="1" applyFill="1" applyBorder="1"/>
    <xf numFmtId="10" fontId="0" fillId="0" borderId="1" xfId="0" applyNumberFormat="1" applyBorder="1"/>
    <xf numFmtId="10" fontId="0" fillId="0" borderId="1" xfId="1" applyNumberFormat="1" applyFont="1" applyBorder="1"/>
    <xf numFmtId="0" fontId="0" fillId="19" borderId="1" xfId="0" applyFill="1" applyBorder="1"/>
    <xf numFmtId="14" fontId="3" fillId="7" borderId="1" xfId="0" applyNumberFormat="1" applyFont="1" applyFill="1" applyBorder="1"/>
    <xf numFmtId="0" fontId="10" fillId="19" borderId="1" xfId="0" applyFont="1" applyFill="1" applyBorder="1"/>
    <xf numFmtId="0" fontId="11" fillId="19" borderId="1" xfId="0" applyFont="1" applyFill="1" applyBorder="1"/>
    <xf numFmtId="14" fontId="0" fillId="0" borderId="1" xfId="0" applyNumberFormat="1" applyBorder="1"/>
    <xf numFmtId="0" fontId="17" fillId="19" borderId="1" xfId="0" applyFont="1" applyFill="1" applyBorder="1"/>
    <xf numFmtId="0" fontId="10" fillId="20" borderId="1" xfId="0" applyFont="1" applyFill="1" applyBorder="1"/>
    <xf numFmtId="10" fontId="0" fillId="0" borderId="0" xfId="1" applyNumberFormat="1" applyFont="1"/>
    <xf numFmtId="0" fontId="0" fillId="0" borderId="1" xfId="0" applyBorder="1" applyAlignment="1">
      <alignment horizontal="center"/>
    </xf>
    <xf numFmtId="14" fontId="0" fillId="0" borderId="1" xfId="0" applyNumberFormat="1" applyBorder="1" applyAlignment="1">
      <alignment horizontal="center"/>
    </xf>
    <xf numFmtId="14" fontId="0" fillId="6" borderId="1" xfId="0" applyNumberFormat="1" applyFill="1" applyBorder="1" applyAlignment="1">
      <alignment horizontal="center"/>
    </xf>
    <xf numFmtId="0" fontId="0" fillId="6" borderId="1" xfId="0" applyFill="1" applyBorder="1" applyAlignment="1">
      <alignment horizontal="center"/>
    </xf>
    <xf numFmtId="14" fontId="0" fillId="4" borderId="1" xfId="0" applyNumberFormat="1" applyFill="1" applyBorder="1" applyAlignment="1">
      <alignment horizontal="center"/>
    </xf>
    <xf numFmtId="0" fontId="0" fillId="4" borderId="1" xfId="0" applyFill="1" applyBorder="1" applyAlignment="1">
      <alignment horizontal="center"/>
    </xf>
    <xf numFmtId="0" fontId="0" fillId="0" borderId="0" xfId="0"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2" fillId="0" borderId="3" xfId="0" applyFont="1" applyBorder="1" applyAlignment="1">
      <alignment horizontal="centerContinuous"/>
    </xf>
    <xf numFmtId="0" fontId="3" fillId="4" borderId="1" xfId="0" applyFont="1" applyFill="1" applyBorder="1"/>
    <xf numFmtId="10" fontId="0" fillId="21" borderId="1" xfId="1" applyNumberFormat="1" applyFont="1" applyFill="1" applyBorder="1"/>
    <xf numFmtId="0" fontId="10" fillId="23" borderId="1" xfId="0" applyFont="1" applyFill="1" applyBorder="1"/>
    <xf numFmtId="0" fontId="11" fillId="22" borderId="1" xfId="0" applyFont="1" applyFill="1" applyBorder="1"/>
    <xf numFmtId="0" fontId="0" fillId="6" borderId="4" xfId="0" applyFill="1" applyBorder="1"/>
    <xf numFmtId="0" fontId="0" fillId="0" borderId="6" xfId="0" applyBorder="1"/>
    <xf numFmtId="0" fontId="0" fillId="0" borderId="24" xfId="0" applyBorder="1"/>
    <xf numFmtId="165" fontId="0" fillId="0" borderId="1" xfId="0" applyNumberFormat="1" applyBorder="1"/>
    <xf numFmtId="0" fontId="0" fillId="5" borderId="1" xfId="0" applyFill="1" applyBorder="1"/>
    <xf numFmtId="166" fontId="0" fillId="0" borderId="1" xfId="1" applyNumberFormat="1" applyFont="1" applyBorder="1"/>
    <xf numFmtId="2" fontId="0" fillId="0" borderId="1" xfId="0" applyNumberFormat="1" applyBorder="1"/>
    <xf numFmtId="2" fontId="0" fillId="0" borderId="0" xfId="0" applyNumberFormat="1"/>
    <xf numFmtId="0" fontId="19" fillId="0" borderId="0" xfId="0" applyFont="1"/>
    <xf numFmtId="0" fontId="20" fillId="6" borderId="0" xfId="0" applyFont="1" applyFill="1"/>
    <xf numFmtId="0" fontId="0" fillId="0" borderId="27" xfId="0" applyBorder="1"/>
    <xf numFmtId="10" fontId="0" fillId="0" borderId="0" xfId="1" applyNumberFormat="1" applyFont="1" applyBorder="1" applyAlignment="1">
      <alignment horizontal="left" vertical="top"/>
    </xf>
    <xf numFmtId="0" fontId="0" fillId="2" borderId="0" xfId="0" applyFill="1" applyAlignment="1">
      <alignment horizontal="center"/>
    </xf>
    <xf numFmtId="0" fontId="3" fillId="2" borderId="0" xfId="0" applyFont="1" applyFill="1" applyAlignment="1">
      <alignment horizontal="center"/>
    </xf>
    <xf numFmtId="0" fontId="8" fillId="10" borderId="16" xfId="0" applyFont="1" applyFill="1" applyBorder="1" applyAlignment="1">
      <alignment horizontal="center"/>
    </xf>
    <xf numFmtId="0" fontId="9" fillId="10" borderId="17" xfId="0" applyFont="1" applyFill="1" applyBorder="1" applyAlignment="1">
      <alignment horizontal="center"/>
    </xf>
    <xf numFmtId="0" fontId="9" fillId="10" borderId="19" xfId="0" applyFont="1" applyFill="1" applyBorder="1" applyAlignment="1">
      <alignment horizontal="center"/>
    </xf>
    <xf numFmtId="0" fontId="8" fillId="10" borderId="17" xfId="0" applyFont="1" applyFill="1" applyBorder="1" applyAlignment="1">
      <alignment horizontal="center"/>
    </xf>
    <xf numFmtId="0" fontId="5" fillId="10" borderId="16" xfId="0" applyFont="1" applyFill="1" applyBorder="1" applyAlignment="1">
      <alignment horizontal="center"/>
    </xf>
    <xf numFmtId="0" fontId="5" fillId="10" borderId="17" xfId="0" applyFont="1" applyFill="1" applyBorder="1" applyAlignment="1">
      <alignment horizontal="center"/>
    </xf>
    <xf numFmtId="0" fontId="8" fillId="10" borderId="22" xfId="0" applyFont="1" applyFill="1" applyBorder="1" applyAlignment="1">
      <alignment horizontal="center"/>
    </xf>
    <xf numFmtId="0" fontId="8" fillId="10" borderId="23" xfId="0" applyFont="1" applyFill="1" applyBorder="1" applyAlignment="1">
      <alignment horizontal="center"/>
    </xf>
    <xf numFmtId="0" fontId="1" fillId="18" borderId="23" xfId="0" applyFont="1" applyFill="1" applyBorder="1" applyAlignment="1">
      <alignment horizontal="center"/>
    </xf>
    <xf numFmtId="0" fontId="13" fillId="10" borderId="25" xfId="0" applyFont="1" applyFill="1" applyBorder="1" applyAlignment="1">
      <alignment horizontal="center"/>
    </xf>
    <xf numFmtId="0" fontId="13" fillId="10" borderId="22" xfId="0" applyFont="1" applyFill="1" applyBorder="1" applyAlignment="1">
      <alignment horizontal="center"/>
    </xf>
    <xf numFmtId="0" fontId="14" fillId="10" borderId="22" xfId="0" applyFont="1" applyFill="1" applyBorder="1" applyAlignment="1">
      <alignment horizontal="center"/>
    </xf>
    <xf numFmtId="0" fontId="14" fillId="10" borderId="23" xfId="0" applyFont="1" applyFill="1" applyBorder="1" applyAlignment="1">
      <alignment horizontal="center"/>
    </xf>
    <xf numFmtId="0" fontId="13" fillId="10" borderId="0" xfId="0" applyFont="1" applyFill="1" applyAlignment="1">
      <alignment horizontal="center"/>
    </xf>
    <xf numFmtId="0" fontId="13" fillId="10" borderId="12" xfId="0" applyFont="1" applyFill="1" applyBorder="1" applyAlignment="1">
      <alignment horizontal="center"/>
    </xf>
    <xf numFmtId="0" fontId="13" fillId="10" borderId="23" xfId="0" applyFont="1" applyFill="1" applyBorder="1" applyAlignment="1">
      <alignment horizontal="center"/>
    </xf>
    <xf numFmtId="0" fontId="13" fillId="10" borderId="26" xfId="0" applyFont="1" applyFill="1" applyBorder="1" applyAlignment="1">
      <alignment horizontal="center"/>
    </xf>
    <xf numFmtId="0" fontId="8" fillId="16" borderId="13" xfId="0" applyFont="1" applyFill="1" applyBorder="1" applyAlignment="1">
      <alignment horizontal="center"/>
    </xf>
    <xf numFmtId="0" fontId="8" fillId="16" borderId="14" xfId="0" applyFont="1" applyFill="1" applyBorder="1" applyAlignment="1">
      <alignment horizontal="center"/>
    </xf>
    <xf numFmtId="0" fontId="8" fillId="16" borderId="15" xfId="0" applyFont="1" applyFill="1" applyBorder="1" applyAlignment="1">
      <alignment horizontal="center"/>
    </xf>
    <xf numFmtId="0" fontId="1" fillId="18" borderId="0" xfId="0" applyFont="1" applyFill="1" applyAlignment="1">
      <alignment horizontal="center"/>
    </xf>
    <xf numFmtId="0" fontId="11" fillId="0" borderId="0" xfId="0" applyFont="1" applyAlignment="1">
      <alignment horizontal="center"/>
    </xf>
    <xf numFmtId="0" fontId="11" fillId="11" borderId="0" xfId="0" applyFont="1" applyFill="1" applyAlignment="1">
      <alignment horizontal="center"/>
    </xf>
    <xf numFmtId="0" fontId="10" fillId="11" borderId="23" xfId="0" applyFont="1" applyFill="1" applyBorder="1" applyAlignment="1">
      <alignment horizontal="center"/>
    </xf>
    <xf numFmtId="0" fontId="0" fillId="0" borderId="0" xfId="0" applyAlignment="1">
      <alignment horizontal="center"/>
    </xf>
    <xf numFmtId="0" fontId="10" fillId="11" borderId="0" xfId="0" applyFont="1" applyFill="1" applyAlignment="1">
      <alignment horizontal="center"/>
    </xf>
    <xf numFmtId="0" fontId="18" fillId="0" borderId="0" xfId="0" applyFont="1" applyAlignment="1">
      <alignment horizontal="center"/>
    </xf>
    <xf numFmtId="166" fontId="0" fillId="0" borderId="0" xfId="0" applyNumberFormat="1"/>
    <xf numFmtId="0" fontId="22" fillId="4" borderId="29" xfId="0" applyFont="1" applyFill="1" applyBorder="1" applyAlignment="1">
      <alignment horizontal="left"/>
    </xf>
    <xf numFmtId="0" fontId="22" fillId="4" borderId="30" xfId="0" applyFont="1" applyFill="1" applyBorder="1" applyAlignment="1">
      <alignment horizontal="left"/>
    </xf>
    <xf numFmtId="0" fontId="11" fillId="4" borderId="31" xfId="0" applyFont="1" applyFill="1" applyBorder="1" applyAlignment="1">
      <alignment horizontal="left"/>
    </xf>
    <xf numFmtId="0" fontId="21" fillId="0" borderId="32" xfId="0" applyFont="1" applyBorder="1" applyAlignment="1">
      <alignment horizontal="left"/>
    </xf>
    <xf numFmtId="0" fontId="21" fillId="0" borderId="34" xfId="0" applyFont="1" applyBorder="1" applyAlignment="1">
      <alignment horizontal="left"/>
    </xf>
    <xf numFmtId="0" fontId="0" fillId="0" borderId="0" xfId="0" applyBorder="1"/>
    <xf numFmtId="167" fontId="0" fillId="0" borderId="0" xfId="0" applyNumberFormat="1" applyBorder="1" applyAlignment="1">
      <alignment horizontal="left" vertical="top"/>
    </xf>
    <xf numFmtId="0" fontId="0" fillId="0" borderId="32" xfId="0" applyBorder="1" applyAlignment="1">
      <alignment horizontal="left" vertical="top"/>
    </xf>
    <xf numFmtId="10" fontId="0" fillId="0" borderId="33" xfId="1" applyNumberFormat="1" applyFont="1" applyBorder="1" applyAlignment="1">
      <alignment horizontal="left" vertical="top"/>
    </xf>
    <xf numFmtId="0" fontId="0" fillId="0" borderId="34" xfId="0" applyBorder="1" applyAlignment="1">
      <alignment horizontal="left" vertical="top"/>
    </xf>
    <xf numFmtId="167" fontId="0" fillId="0" borderId="28" xfId="0" applyNumberFormat="1" applyBorder="1" applyAlignment="1">
      <alignment horizontal="left" vertical="top"/>
    </xf>
    <xf numFmtId="10" fontId="0" fillId="0" borderId="28" xfId="1" applyNumberFormat="1" applyFont="1" applyBorder="1" applyAlignment="1">
      <alignment horizontal="left" vertical="top"/>
    </xf>
    <xf numFmtId="10" fontId="0" fillId="0" borderId="35" xfId="1" applyNumberFormat="1" applyFont="1" applyBorder="1" applyAlignment="1">
      <alignment horizontal="left" vertical="top"/>
    </xf>
    <xf numFmtId="0" fontId="11" fillId="4" borderId="29" xfId="0" applyFont="1" applyFill="1" applyBorder="1" applyAlignment="1">
      <alignment horizontal="left" vertical="top"/>
    </xf>
    <xf numFmtId="0" fontId="11" fillId="4" borderId="30" xfId="0" applyFont="1" applyFill="1" applyBorder="1" applyAlignment="1">
      <alignment horizontal="left" vertical="top"/>
    </xf>
    <xf numFmtId="0" fontId="11" fillId="4" borderId="31" xfId="0" applyFont="1" applyFill="1" applyBorder="1" applyAlignment="1">
      <alignment horizontal="left" vertical="top"/>
    </xf>
    <xf numFmtId="166" fontId="21" fillId="0" borderId="0" xfId="1" applyNumberFormat="1" applyFont="1" applyBorder="1" applyAlignment="1">
      <alignment horizontal="left" vertical="center"/>
    </xf>
    <xf numFmtId="2" fontId="21" fillId="0" borderId="28" xfId="0" applyNumberFormat="1" applyFont="1" applyBorder="1" applyAlignment="1">
      <alignment horizontal="left" vertical="center"/>
    </xf>
    <xf numFmtId="166" fontId="0" fillId="6" borderId="33" xfId="1" applyNumberFormat="1" applyFont="1" applyFill="1" applyBorder="1" applyAlignment="1">
      <alignment horizontal="left" vertical="center"/>
    </xf>
    <xf numFmtId="2" fontId="0" fillId="6" borderId="35" xfId="0" applyNumberFormat="1" applyFont="1" applyFill="1" applyBorder="1" applyAlignment="1">
      <alignment horizontal="left" vertical="center"/>
    </xf>
  </cellXfs>
  <cellStyles count="2">
    <cellStyle name="Normal" xfId="0" builtinId="0"/>
    <cellStyle name="Percent" xfId="1" builtinId="5"/>
  </cellStyles>
  <dxfs count="38">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top style="medium">
          <color indexed="64"/>
        </top>
        <bottom style="thin">
          <color indexed="64"/>
        </bottom>
      </border>
    </dxf>
    <dxf>
      <fill>
        <patternFill patternType="solid">
          <fgColor indexed="64"/>
          <bgColor theme="0"/>
        </patternFill>
      </fill>
    </dxf>
    <dxf>
      <border outline="0">
        <bottom style="medium">
          <color indexed="64"/>
        </bottom>
      </border>
    </dxf>
    <dxf>
      <font>
        <b/>
        <i val="0"/>
        <strike val="0"/>
        <condense val="0"/>
        <extend val="0"/>
        <outline val="0"/>
        <shadow val="0"/>
        <u val="none"/>
        <vertAlign val="baseline"/>
        <sz val="11"/>
        <color theme="0"/>
        <name val="Arial"/>
        <family val="2"/>
        <scheme val="minor"/>
      </font>
      <fill>
        <patternFill patternType="solid">
          <fgColor theme="4"/>
          <bgColor theme="4"/>
        </patternFill>
      </fil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9" formatCode="dd/mm/yyyy"/>
    </dxf>
  </dxfs>
  <tableStyles count="0" defaultTableStyle="TableStyleMedium2" defaultPivotStyle="PivotStyleLight16"/>
  <colors>
    <mruColors>
      <color rgb="FF66A2D8"/>
      <color rgb="FFEE8640"/>
      <color rgb="FFFCC8C8"/>
      <color rgb="FFFBBBBB"/>
      <color rgb="FF394659"/>
      <color rgb="FF225686"/>
      <color rgb="FF3B495B"/>
      <color rgb="FFE2E2E2"/>
      <color rgb="FF3E4D60"/>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he-IL"/>
        </a:p>
      </c:txPr>
    </c:title>
    <c:autoTitleDeleted val="0"/>
    <c:plotArea>
      <c:layout/>
      <c:pieChart>
        <c:varyColors val="1"/>
        <c:ser>
          <c:idx val="0"/>
          <c:order val="0"/>
          <c:tx>
            <c:strRef>
              <c:f>Solver_Optimization!$C$27</c:f>
              <c:strCache>
                <c:ptCount val="1"/>
                <c:pt idx="0">
                  <c:v>Weights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4FA-43C1-B972-490D2F20A04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4FA-43C1-B972-490D2F20A04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4FA-43C1-B972-490D2F20A04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4FA-43C1-B972-490D2F20A04F}"/>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4FA-43C1-B972-490D2F20A04F}"/>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54FA-43C1-B972-490D2F20A04F}"/>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54FA-43C1-B972-490D2F20A0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e-IL"/>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Solver_Optimization!$A$28:$A$37</c15:sqref>
                  </c15:fullRef>
                </c:ext>
              </c:extLst>
              <c:f>(Solver_Optimization!$A$28,Solver_Optimization!$A$30:$A$33,Solver_Optimization!$A$35,Solver_Optimization!$A$37)</c:f>
              <c:strCache>
                <c:ptCount val="7"/>
                <c:pt idx="0">
                  <c:v>GLD</c:v>
                </c:pt>
                <c:pt idx="1">
                  <c:v>SPY</c:v>
                </c:pt>
                <c:pt idx="2">
                  <c:v>JPM</c:v>
                </c:pt>
                <c:pt idx="3">
                  <c:v>NVDA</c:v>
                </c:pt>
                <c:pt idx="4">
                  <c:v>PG</c:v>
                </c:pt>
                <c:pt idx="5">
                  <c:v>VGT</c:v>
                </c:pt>
                <c:pt idx="6">
                  <c:v>VXUS</c:v>
                </c:pt>
              </c:strCache>
            </c:strRef>
          </c:cat>
          <c:val>
            <c:numRef>
              <c:extLst>
                <c:ext xmlns:c15="http://schemas.microsoft.com/office/drawing/2012/chart" uri="{02D57815-91ED-43cb-92C2-25804820EDAC}">
                  <c15:fullRef>
                    <c15:sqref>Solver_Optimization!$C$28:$C$37</c15:sqref>
                  </c15:fullRef>
                </c:ext>
              </c:extLst>
              <c:f>(Solver_Optimization!$C$28,Solver_Optimization!$C$30:$C$33,Solver_Optimization!$C$35,Solver_Optimization!$C$37)</c:f>
              <c:numCache>
                <c:formatCode>General</c:formatCode>
                <c:ptCount val="7"/>
                <c:pt idx="0">
                  <c:v>0.2</c:v>
                </c:pt>
                <c:pt idx="1">
                  <c:v>0.25</c:v>
                </c:pt>
                <c:pt idx="2">
                  <c:v>0.10000000124176341</c:v>
                </c:pt>
                <c:pt idx="3">
                  <c:v>0.15</c:v>
                </c:pt>
                <c:pt idx="4">
                  <c:v>0.1</c:v>
                </c:pt>
                <c:pt idx="5">
                  <c:v>0.15</c:v>
                </c:pt>
                <c:pt idx="6">
                  <c:v>0.05</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D5E8-495C-BA8B-E6D3FD48E99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Unconstrained Portfolio Allocation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he-IL"/>
        </a:p>
      </c:txPr>
    </c:title>
    <c:autoTitleDeleted val="0"/>
    <c:plotArea>
      <c:layout/>
      <c:pieChart>
        <c:varyColors val="1"/>
        <c:ser>
          <c:idx val="0"/>
          <c:order val="0"/>
          <c:tx>
            <c:strRef>
              <c:f>Solver_Comparison!$C$14</c:f>
              <c:strCache>
                <c:ptCount val="1"/>
                <c:pt idx="0">
                  <c:v>Weight</c:v>
                </c:pt>
              </c:strCache>
            </c:strRef>
          </c:tx>
          <c:dPt>
            <c:idx val="0"/>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132-4E63-9473-A41D85794E4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132-4E63-9473-A41D85794E4F}"/>
              </c:ext>
            </c:extLst>
          </c:dPt>
          <c:dPt>
            <c:idx val="2"/>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2132-4E63-9473-A41D85794E4F}"/>
              </c:ext>
            </c:extLst>
          </c:dPt>
          <c:dLbls>
            <c:dLbl>
              <c:idx val="0"/>
              <c:dLblPos val="ct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132-4E63-9473-A41D85794E4F}"/>
                </c:ext>
              </c:extLst>
            </c:dLbl>
            <c:dLbl>
              <c:idx val="1"/>
              <c:layout>
                <c:manualLayout>
                  <c:x val="0.1133497375328084"/>
                  <c:y val="-0.1568347185768447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132-4E63-9473-A41D85794E4F}"/>
                </c:ext>
              </c:extLst>
            </c:dLbl>
            <c:dLbl>
              <c:idx val="2"/>
              <c:dLblPos val="ct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132-4E63-9473-A41D85794E4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he-IL"/>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(Solver_Comparison!$B$15,Solver_Comparison!$B$18:$B$19)</c:f>
              <c:strCache>
                <c:ptCount val="3"/>
                <c:pt idx="0">
                  <c:v>GLD</c:v>
                </c:pt>
                <c:pt idx="1">
                  <c:v>JPM</c:v>
                </c:pt>
                <c:pt idx="2">
                  <c:v>NVDA</c:v>
                </c:pt>
              </c:strCache>
            </c:strRef>
          </c:cat>
          <c:val>
            <c:numRef>
              <c:f>(Solver_Comparison!$C$15,Solver_Comparison!$C$18:$C$19)</c:f>
              <c:numCache>
                <c:formatCode>General</c:formatCode>
                <c:ptCount val="3"/>
                <c:pt idx="0">
                  <c:v>0.54727927448453784</c:v>
                </c:pt>
                <c:pt idx="1">
                  <c:v>0.14345988197070547</c:v>
                </c:pt>
                <c:pt idx="2">
                  <c:v>0.30926084354475664</c:v>
                </c:pt>
              </c:numCache>
            </c:numRef>
          </c:val>
          <c:extLst>
            <c:ext xmlns:c16="http://schemas.microsoft.com/office/drawing/2014/chart" uri="{C3380CC4-5D6E-409C-BE32-E72D297353CC}">
              <c16:uniqueId val="{00000000-2132-4E63-9473-A41D85794E4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3181496062992111"/>
          <c:y val="0.40821668124817734"/>
          <c:w val="0.11436705874197331"/>
          <c:h val="0.2452130775752286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he-I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Constrained Portfolio Allocation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he-IL"/>
        </a:p>
      </c:txPr>
    </c:title>
    <c:autoTitleDeleted val="0"/>
    <c:plotArea>
      <c:layout/>
      <c:pieChart>
        <c:varyColors val="1"/>
        <c:ser>
          <c:idx val="0"/>
          <c:order val="0"/>
          <c:tx>
            <c:strRef>
              <c:f>Solver_Comparison!$N$14</c:f>
              <c:strCache>
                <c:ptCount val="1"/>
                <c:pt idx="0">
                  <c:v>Weight</c:v>
                </c:pt>
              </c:strCache>
            </c:strRef>
          </c:tx>
          <c:dPt>
            <c:idx val="0"/>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C01-453D-A012-21F363F2839B}"/>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C01-453D-A012-21F363F2839B}"/>
              </c:ext>
            </c:extLst>
          </c:dPt>
          <c:dPt>
            <c:idx val="2"/>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C01-453D-A012-21F363F2839B}"/>
              </c:ext>
            </c:extLst>
          </c:dPt>
          <c:dPt>
            <c:idx val="3"/>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C01-453D-A012-21F363F2839B}"/>
              </c:ext>
            </c:extLst>
          </c:dPt>
          <c:dPt>
            <c:idx val="4"/>
            <c:bubble3D val="0"/>
            <c:spPr>
              <a:solidFill>
                <a:srgbClr val="7030A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C01-453D-A012-21F363F2839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C01-453D-A012-21F363F2839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C01-453D-A012-21F363F2839B}"/>
              </c:ext>
            </c:extLst>
          </c:dPt>
          <c:dLbls>
            <c:dLbl>
              <c:idx val="0"/>
              <c:layout>
                <c:manualLayout>
                  <c:x val="-6.7609798775153107E-2"/>
                  <c:y val="0.1820151647710702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C01-453D-A012-21F363F2839B}"/>
                </c:ext>
              </c:extLst>
            </c:dLbl>
            <c:dLbl>
              <c:idx val="3"/>
              <c:layout>
                <c:manualLayout>
                  <c:x val="0.11317891513560804"/>
                  <c:y val="-8.31765820939050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C01-453D-A012-21F363F2839B}"/>
                </c:ext>
              </c:extLst>
            </c:dLbl>
            <c:dLbl>
              <c:idx val="4"/>
              <c:layout>
                <c:manualLayout>
                  <c:x val="9.624606299212593E-2"/>
                  <c:y val="6.0439997083697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C01-453D-A012-21F363F2839B}"/>
                </c:ext>
              </c:extLst>
            </c:dLbl>
            <c:dLbl>
              <c:idx val="5"/>
              <c:layout>
                <c:manualLayout>
                  <c:x val="6.4829833770778653E-2"/>
                  <c:y val="0.158867381160688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C01-453D-A012-21F363F2839B}"/>
                </c:ext>
              </c:extLst>
            </c:dLbl>
            <c:dLbl>
              <c:idx val="6"/>
              <c:layout>
                <c:manualLayout>
                  <c:x val="3.3258530183727035E-2"/>
                  <c:y val="0.1536100174978127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C01-453D-A012-21F363F2839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he-IL"/>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(Solver_Comparison!$M$15,Solver_Comparison!$M$17,Solver_Comparison!$M$18:$M$20,Solver_Comparison!$M$22,Solver_Comparison!$M$24)</c:f>
              <c:strCache>
                <c:ptCount val="7"/>
                <c:pt idx="0">
                  <c:v>GLD</c:v>
                </c:pt>
                <c:pt idx="1">
                  <c:v>SPY</c:v>
                </c:pt>
                <c:pt idx="2">
                  <c:v>JPM</c:v>
                </c:pt>
                <c:pt idx="3">
                  <c:v>NVDA</c:v>
                </c:pt>
                <c:pt idx="4">
                  <c:v>PG</c:v>
                </c:pt>
                <c:pt idx="5">
                  <c:v>VGT</c:v>
                </c:pt>
                <c:pt idx="6">
                  <c:v>VXUS</c:v>
                </c:pt>
              </c:strCache>
            </c:strRef>
          </c:cat>
          <c:val>
            <c:numRef>
              <c:f>(Solver_Comparison!$N$15,Solver_Comparison!$N$17,Solver_Comparison!$N$18:$N$20,Solver_Comparison!$N$22,Solver_Comparison!$N$24)</c:f>
              <c:numCache>
                <c:formatCode>General</c:formatCode>
                <c:ptCount val="7"/>
                <c:pt idx="0">
                  <c:v>0.2</c:v>
                </c:pt>
                <c:pt idx="1">
                  <c:v>0.25</c:v>
                </c:pt>
                <c:pt idx="2">
                  <c:v>0.15</c:v>
                </c:pt>
                <c:pt idx="3">
                  <c:v>0.14999999999999997</c:v>
                </c:pt>
                <c:pt idx="4">
                  <c:v>0.1</c:v>
                </c:pt>
                <c:pt idx="5">
                  <c:v>9.9999900476148373E-2</c:v>
                </c:pt>
                <c:pt idx="6">
                  <c:v>0.05</c:v>
                </c:pt>
              </c:numCache>
            </c:numRef>
          </c:val>
          <c:extLst>
            <c:ext xmlns:c16="http://schemas.microsoft.com/office/drawing/2014/chart" uri="{C3380CC4-5D6E-409C-BE32-E72D297353CC}">
              <c16:uniqueId val="{00000000-5C01-453D-A012-21F363F2839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he-I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Interest Rate Sensitivity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he-IL"/>
        </a:p>
      </c:txPr>
    </c:title>
    <c:autoTitleDeleted val="0"/>
    <c:plotArea>
      <c:layout/>
      <c:barChart>
        <c:barDir val="col"/>
        <c:grouping val="clustered"/>
        <c:varyColors val="0"/>
        <c:ser>
          <c:idx val="0"/>
          <c:order val="0"/>
          <c:tx>
            <c:strRef>
              <c:f>Rate_Sensitivity!$B$13</c:f>
              <c:strCache>
                <c:ptCount val="1"/>
                <c:pt idx="0">
                  <c:v>GLD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Rate_Sensitivity!$C$12:$E$12</c:f>
              <c:strCache>
                <c:ptCount val="3"/>
                <c:pt idx="0">
                  <c:v>Low (2%)</c:v>
                </c:pt>
                <c:pt idx="1">
                  <c:v>Base (4%)</c:v>
                </c:pt>
                <c:pt idx="2">
                  <c:v>High (6%)</c:v>
                </c:pt>
              </c:strCache>
            </c:strRef>
          </c:cat>
          <c:val>
            <c:numRef>
              <c:f>Rate_Sensitivity!$C$13:$E$13</c:f>
              <c:numCache>
                <c:formatCode>General</c:formatCode>
                <c:ptCount val="3"/>
                <c:pt idx="0">
                  <c:v>0.2</c:v>
                </c:pt>
                <c:pt idx="1">
                  <c:v>0.2</c:v>
                </c:pt>
                <c:pt idx="2">
                  <c:v>0.2</c:v>
                </c:pt>
              </c:numCache>
            </c:numRef>
          </c:val>
          <c:extLst>
            <c:ext xmlns:c16="http://schemas.microsoft.com/office/drawing/2014/chart" uri="{C3380CC4-5D6E-409C-BE32-E72D297353CC}">
              <c16:uniqueId val="{00000000-1A82-4CD1-B311-AB966E33ECBB}"/>
            </c:ext>
          </c:extLst>
        </c:ser>
        <c:ser>
          <c:idx val="1"/>
          <c:order val="1"/>
          <c:tx>
            <c:strRef>
              <c:f>Rate_Sensitivity!$B$14</c:f>
              <c:strCache>
                <c:ptCount val="1"/>
                <c:pt idx="0">
                  <c:v>XOM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Rate_Sensitivity!$C$12:$E$12</c:f>
              <c:strCache>
                <c:ptCount val="3"/>
                <c:pt idx="0">
                  <c:v>Low (2%)</c:v>
                </c:pt>
                <c:pt idx="1">
                  <c:v>Base (4%)</c:v>
                </c:pt>
                <c:pt idx="2">
                  <c:v>High (6%)</c:v>
                </c:pt>
              </c:strCache>
            </c:strRef>
          </c:cat>
          <c:val>
            <c:numRef>
              <c:f>Rate_Sensitivity!$C$14:$E$14</c:f>
              <c:numCache>
                <c:formatCode>General</c:formatCode>
                <c:ptCount val="3"/>
                <c:pt idx="0">
                  <c:v>0</c:v>
                </c:pt>
                <c:pt idx="1">
                  <c:v>0</c:v>
                </c:pt>
                <c:pt idx="2">
                  <c:v>0</c:v>
                </c:pt>
              </c:numCache>
            </c:numRef>
          </c:val>
          <c:extLst>
            <c:ext xmlns:c16="http://schemas.microsoft.com/office/drawing/2014/chart" uri="{C3380CC4-5D6E-409C-BE32-E72D297353CC}">
              <c16:uniqueId val="{00000001-1A82-4CD1-B311-AB966E33ECBB}"/>
            </c:ext>
          </c:extLst>
        </c:ser>
        <c:ser>
          <c:idx val="2"/>
          <c:order val="2"/>
          <c:tx>
            <c:strRef>
              <c:f>Rate_Sensitivity!$B$15</c:f>
              <c:strCache>
                <c:ptCount val="1"/>
                <c:pt idx="0">
                  <c:v>SPY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Rate_Sensitivity!$C$12:$E$12</c:f>
              <c:strCache>
                <c:ptCount val="3"/>
                <c:pt idx="0">
                  <c:v>Low (2%)</c:v>
                </c:pt>
                <c:pt idx="1">
                  <c:v>Base (4%)</c:v>
                </c:pt>
                <c:pt idx="2">
                  <c:v>High (6%)</c:v>
                </c:pt>
              </c:strCache>
            </c:strRef>
          </c:cat>
          <c:val>
            <c:numRef>
              <c:f>Rate_Sensitivity!$C$15:$E$15</c:f>
              <c:numCache>
                <c:formatCode>General</c:formatCode>
                <c:ptCount val="3"/>
                <c:pt idx="0">
                  <c:v>0.25</c:v>
                </c:pt>
                <c:pt idx="1">
                  <c:v>0.25</c:v>
                </c:pt>
                <c:pt idx="2">
                  <c:v>0.25000000090120328</c:v>
                </c:pt>
              </c:numCache>
            </c:numRef>
          </c:val>
          <c:extLst>
            <c:ext xmlns:c16="http://schemas.microsoft.com/office/drawing/2014/chart" uri="{C3380CC4-5D6E-409C-BE32-E72D297353CC}">
              <c16:uniqueId val="{00000002-1A82-4CD1-B311-AB966E33ECBB}"/>
            </c:ext>
          </c:extLst>
        </c:ser>
        <c:ser>
          <c:idx val="3"/>
          <c:order val="3"/>
          <c:tx>
            <c:strRef>
              <c:f>Rate_Sensitivity!$B$16</c:f>
              <c:strCache>
                <c:ptCount val="1"/>
                <c:pt idx="0">
                  <c:v>JPM</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Rate_Sensitivity!$C$12:$E$12</c:f>
              <c:strCache>
                <c:ptCount val="3"/>
                <c:pt idx="0">
                  <c:v>Low (2%)</c:v>
                </c:pt>
                <c:pt idx="1">
                  <c:v>Base (4%)</c:v>
                </c:pt>
                <c:pt idx="2">
                  <c:v>High (6%)</c:v>
                </c:pt>
              </c:strCache>
            </c:strRef>
          </c:cat>
          <c:val>
            <c:numRef>
              <c:f>Rate_Sensitivity!$C$16:$E$16</c:f>
              <c:numCache>
                <c:formatCode>General</c:formatCode>
                <c:ptCount val="3"/>
                <c:pt idx="0">
                  <c:v>0.15</c:v>
                </c:pt>
                <c:pt idx="1">
                  <c:v>0.15</c:v>
                </c:pt>
                <c:pt idx="2">
                  <c:v>0.15</c:v>
                </c:pt>
              </c:numCache>
            </c:numRef>
          </c:val>
          <c:extLst>
            <c:ext xmlns:c16="http://schemas.microsoft.com/office/drawing/2014/chart" uri="{C3380CC4-5D6E-409C-BE32-E72D297353CC}">
              <c16:uniqueId val="{00000003-1A82-4CD1-B311-AB966E33ECBB}"/>
            </c:ext>
          </c:extLst>
        </c:ser>
        <c:ser>
          <c:idx val="4"/>
          <c:order val="4"/>
          <c:tx>
            <c:strRef>
              <c:f>Rate_Sensitivity!$B$17</c:f>
              <c:strCache>
                <c:ptCount val="1"/>
                <c:pt idx="0">
                  <c:v>NVDA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Rate_Sensitivity!$C$12:$E$12</c:f>
              <c:strCache>
                <c:ptCount val="3"/>
                <c:pt idx="0">
                  <c:v>Low (2%)</c:v>
                </c:pt>
                <c:pt idx="1">
                  <c:v>Base (4%)</c:v>
                </c:pt>
                <c:pt idx="2">
                  <c:v>High (6%)</c:v>
                </c:pt>
              </c:strCache>
            </c:strRef>
          </c:cat>
          <c:val>
            <c:numRef>
              <c:f>Rate_Sensitivity!$C$17:$E$17</c:f>
              <c:numCache>
                <c:formatCode>General</c:formatCode>
                <c:ptCount val="3"/>
                <c:pt idx="0">
                  <c:v>0.15</c:v>
                </c:pt>
                <c:pt idx="1">
                  <c:v>0.15</c:v>
                </c:pt>
                <c:pt idx="2">
                  <c:v>0.15</c:v>
                </c:pt>
              </c:numCache>
            </c:numRef>
          </c:val>
          <c:extLst>
            <c:ext xmlns:c16="http://schemas.microsoft.com/office/drawing/2014/chart" uri="{C3380CC4-5D6E-409C-BE32-E72D297353CC}">
              <c16:uniqueId val="{00000004-1A82-4CD1-B311-AB966E33ECBB}"/>
            </c:ext>
          </c:extLst>
        </c:ser>
        <c:ser>
          <c:idx val="5"/>
          <c:order val="5"/>
          <c:tx>
            <c:strRef>
              <c:f>Rate_Sensitivity!$B$18</c:f>
              <c:strCache>
                <c:ptCount val="1"/>
                <c:pt idx="0">
                  <c:v>PG</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Rate_Sensitivity!$C$12:$E$12</c:f>
              <c:strCache>
                <c:ptCount val="3"/>
                <c:pt idx="0">
                  <c:v>Low (2%)</c:v>
                </c:pt>
                <c:pt idx="1">
                  <c:v>Base (4%)</c:v>
                </c:pt>
                <c:pt idx="2">
                  <c:v>High (6%)</c:v>
                </c:pt>
              </c:strCache>
            </c:strRef>
          </c:cat>
          <c:val>
            <c:numRef>
              <c:f>Rate_Sensitivity!$C$18:$E$18</c:f>
              <c:numCache>
                <c:formatCode>General</c:formatCode>
                <c:ptCount val="3"/>
                <c:pt idx="0">
                  <c:v>0.1</c:v>
                </c:pt>
                <c:pt idx="1">
                  <c:v>0.1</c:v>
                </c:pt>
                <c:pt idx="2">
                  <c:v>5.2728607944510342E-2</c:v>
                </c:pt>
              </c:numCache>
            </c:numRef>
          </c:val>
          <c:extLst>
            <c:ext xmlns:c16="http://schemas.microsoft.com/office/drawing/2014/chart" uri="{C3380CC4-5D6E-409C-BE32-E72D297353CC}">
              <c16:uniqueId val="{00000005-1A82-4CD1-B311-AB966E33ECBB}"/>
            </c:ext>
          </c:extLst>
        </c:ser>
        <c:ser>
          <c:idx val="6"/>
          <c:order val="6"/>
          <c:tx>
            <c:strRef>
              <c:f>Rate_Sensitivity!$B$19</c:f>
              <c:strCache>
                <c:ptCount val="1"/>
                <c:pt idx="0">
                  <c:v>TLT</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Rate_Sensitivity!$C$12:$E$12</c:f>
              <c:strCache>
                <c:ptCount val="3"/>
                <c:pt idx="0">
                  <c:v>Low (2%)</c:v>
                </c:pt>
                <c:pt idx="1">
                  <c:v>Base (4%)</c:v>
                </c:pt>
                <c:pt idx="2">
                  <c:v>High (6%)</c:v>
                </c:pt>
              </c:strCache>
            </c:strRef>
          </c:cat>
          <c:val>
            <c:numRef>
              <c:f>Rate_Sensitivity!$C$19:$E$19</c:f>
              <c:numCache>
                <c:formatCode>General</c:formatCode>
                <c:ptCount val="3"/>
                <c:pt idx="0">
                  <c:v>0</c:v>
                </c:pt>
                <c:pt idx="1">
                  <c:v>0</c:v>
                </c:pt>
                <c:pt idx="2">
                  <c:v>0</c:v>
                </c:pt>
              </c:numCache>
            </c:numRef>
          </c:val>
          <c:extLst>
            <c:ext xmlns:c16="http://schemas.microsoft.com/office/drawing/2014/chart" uri="{C3380CC4-5D6E-409C-BE32-E72D297353CC}">
              <c16:uniqueId val="{00000006-1A82-4CD1-B311-AB966E33ECBB}"/>
            </c:ext>
          </c:extLst>
        </c:ser>
        <c:ser>
          <c:idx val="7"/>
          <c:order val="7"/>
          <c:tx>
            <c:strRef>
              <c:f>Rate_Sensitivity!$B$20</c:f>
              <c:strCache>
                <c:ptCount val="1"/>
                <c:pt idx="0">
                  <c:v>VGT</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Rate_Sensitivity!$C$12:$E$12</c:f>
              <c:strCache>
                <c:ptCount val="3"/>
                <c:pt idx="0">
                  <c:v>Low (2%)</c:v>
                </c:pt>
                <c:pt idx="1">
                  <c:v>Base (4%)</c:v>
                </c:pt>
                <c:pt idx="2">
                  <c:v>High (6%)</c:v>
                </c:pt>
              </c:strCache>
            </c:strRef>
          </c:cat>
          <c:val>
            <c:numRef>
              <c:f>Rate_Sensitivity!$C$20:$E$20</c:f>
              <c:numCache>
                <c:formatCode>General</c:formatCode>
                <c:ptCount val="3"/>
                <c:pt idx="0">
                  <c:v>0.1</c:v>
                </c:pt>
                <c:pt idx="1">
                  <c:v>0.1</c:v>
                </c:pt>
                <c:pt idx="2">
                  <c:v>0.14727139019562438</c:v>
                </c:pt>
              </c:numCache>
            </c:numRef>
          </c:val>
          <c:extLst>
            <c:ext xmlns:c16="http://schemas.microsoft.com/office/drawing/2014/chart" uri="{C3380CC4-5D6E-409C-BE32-E72D297353CC}">
              <c16:uniqueId val="{00000007-1A82-4CD1-B311-AB966E33ECBB}"/>
            </c:ext>
          </c:extLst>
        </c:ser>
        <c:ser>
          <c:idx val="8"/>
          <c:order val="8"/>
          <c:tx>
            <c:strRef>
              <c:f>Rate_Sensitivity!$B$21</c:f>
              <c:strCache>
                <c:ptCount val="1"/>
                <c:pt idx="0">
                  <c:v>VNQ</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Rate_Sensitivity!$C$12:$E$12</c:f>
              <c:strCache>
                <c:ptCount val="3"/>
                <c:pt idx="0">
                  <c:v>Low (2%)</c:v>
                </c:pt>
                <c:pt idx="1">
                  <c:v>Base (4%)</c:v>
                </c:pt>
                <c:pt idx="2">
                  <c:v>High (6%)</c:v>
                </c:pt>
              </c:strCache>
            </c:strRef>
          </c:cat>
          <c:val>
            <c:numRef>
              <c:f>Rate_Sensitivity!$C$21:$E$21</c:f>
              <c:numCache>
                <c:formatCode>General</c:formatCode>
                <c:ptCount val="3"/>
                <c:pt idx="0">
                  <c:v>0</c:v>
                </c:pt>
                <c:pt idx="1">
                  <c:v>0</c:v>
                </c:pt>
                <c:pt idx="2">
                  <c:v>0</c:v>
                </c:pt>
              </c:numCache>
            </c:numRef>
          </c:val>
          <c:extLst>
            <c:ext xmlns:c16="http://schemas.microsoft.com/office/drawing/2014/chart" uri="{C3380CC4-5D6E-409C-BE32-E72D297353CC}">
              <c16:uniqueId val="{00000008-1A82-4CD1-B311-AB966E33ECBB}"/>
            </c:ext>
          </c:extLst>
        </c:ser>
        <c:ser>
          <c:idx val="9"/>
          <c:order val="9"/>
          <c:tx>
            <c:strRef>
              <c:f>Rate_Sensitivity!$B$22</c:f>
              <c:strCache>
                <c:ptCount val="1"/>
                <c:pt idx="0">
                  <c:v>VXUS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Rate_Sensitivity!$C$12:$E$12</c:f>
              <c:strCache>
                <c:ptCount val="3"/>
                <c:pt idx="0">
                  <c:v>Low (2%)</c:v>
                </c:pt>
                <c:pt idx="1">
                  <c:v>Base (4%)</c:v>
                </c:pt>
                <c:pt idx="2">
                  <c:v>High (6%)</c:v>
                </c:pt>
              </c:strCache>
            </c:strRef>
          </c:cat>
          <c:val>
            <c:numRef>
              <c:f>Rate_Sensitivity!$C$22:$E$22</c:f>
              <c:numCache>
                <c:formatCode>General</c:formatCode>
                <c:ptCount val="3"/>
                <c:pt idx="0">
                  <c:v>0.05</c:v>
                </c:pt>
                <c:pt idx="1">
                  <c:v>0.05</c:v>
                </c:pt>
                <c:pt idx="2">
                  <c:v>0.05</c:v>
                </c:pt>
              </c:numCache>
            </c:numRef>
          </c:val>
          <c:extLst>
            <c:ext xmlns:c16="http://schemas.microsoft.com/office/drawing/2014/chart" uri="{C3380CC4-5D6E-409C-BE32-E72D297353CC}">
              <c16:uniqueId val="{00000009-1A82-4CD1-B311-AB966E33ECBB}"/>
            </c:ext>
          </c:extLst>
        </c:ser>
        <c:dLbls>
          <c:showLegendKey val="0"/>
          <c:showVal val="0"/>
          <c:showCatName val="0"/>
          <c:showSerName val="0"/>
          <c:showPercent val="0"/>
          <c:showBubbleSize val="0"/>
        </c:dLbls>
        <c:gapWidth val="100"/>
        <c:overlap val="-24"/>
        <c:axId val="699370088"/>
        <c:axId val="699367568"/>
      </c:barChart>
      <c:catAx>
        <c:axId val="699370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e-IL"/>
          </a:p>
        </c:txPr>
        <c:crossAx val="699367568"/>
        <c:crosses val="autoZero"/>
        <c:auto val="1"/>
        <c:lblAlgn val="ctr"/>
        <c:lblOffset val="100"/>
        <c:noMultiLvlLbl val="0"/>
      </c:catAx>
      <c:valAx>
        <c:axId val="69936756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900" b="1" i="0" u="none" strike="noStrike" cap="all" baseline="0"/>
                  <a:t>Asset Weight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he-I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e-IL"/>
          </a:p>
        </c:txPr>
        <c:crossAx val="699370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he-I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Portfolio vs SPY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he-IL"/>
        </a:p>
      </c:txPr>
    </c:title>
    <c:autoTitleDeleted val="0"/>
    <c:plotArea>
      <c:layout/>
      <c:lineChart>
        <c:grouping val="standard"/>
        <c:varyColors val="0"/>
        <c:ser>
          <c:idx val="0"/>
          <c:order val="0"/>
          <c:tx>
            <c:strRef>
              <c:f>Out_of_Sample!$F$17</c:f>
              <c:strCache>
                <c:ptCount val="1"/>
                <c:pt idx="0">
                  <c:v>Portfolio Cumulative</c:v>
                </c:pt>
              </c:strCache>
            </c:strRef>
          </c:tx>
          <c:spPr>
            <a:ln w="22225" cap="rnd">
              <a:solidFill>
                <a:schemeClr val="accent1"/>
              </a:solidFill>
            </a:ln>
            <a:effectLst>
              <a:glow rad="139700">
                <a:schemeClr val="accent1">
                  <a:satMod val="175000"/>
                  <a:alpha val="14000"/>
                </a:schemeClr>
              </a:glow>
            </a:effectLst>
          </c:spPr>
          <c:marker>
            <c:symbol val="none"/>
          </c:marker>
          <c:cat>
            <c:numRef>
              <c:f>Out_of_Sample!$B$19:$B$150</c:f>
              <c:numCache>
                <c:formatCode>m/d/yyyy</c:formatCode>
                <c:ptCount val="132"/>
                <c:pt idx="0">
                  <c:v>42036</c:v>
                </c:pt>
                <c:pt idx="1">
                  <c:v>42064</c:v>
                </c:pt>
                <c:pt idx="2">
                  <c:v>42095</c:v>
                </c:pt>
                <c:pt idx="3">
                  <c:v>42125</c:v>
                </c:pt>
                <c:pt idx="4">
                  <c:v>42156</c:v>
                </c:pt>
                <c:pt idx="5">
                  <c:v>42186</c:v>
                </c:pt>
                <c:pt idx="6">
                  <c:v>42217</c:v>
                </c:pt>
                <c:pt idx="7">
                  <c:v>42248</c:v>
                </c:pt>
                <c:pt idx="8">
                  <c:v>42278</c:v>
                </c:pt>
                <c:pt idx="9">
                  <c:v>42309</c:v>
                </c:pt>
                <c:pt idx="10">
                  <c:v>42339</c:v>
                </c:pt>
                <c:pt idx="11">
                  <c:v>42370</c:v>
                </c:pt>
                <c:pt idx="12">
                  <c:v>42401</c:v>
                </c:pt>
                <c:pt idx="13">
                  <c:v>42430</c:v>
                </c:pt>
                <c:pt idx="14">
                  <c:v>42461</c:v>
                </c:pt>
                <c:pt idx="15">
                  <c:v>42491</c:v>
                </c:pt>
                <c:pt idx="16">
                  <c:v>42522</c:v>
                </c:pt>
                <c:pt idx="17">
                  <c:v>42552</c:v>
                </c:pt>
                <c:pt idx="18">
                  <c:v>42583</c:v>
                </c:pt>
                <c:pt idx="19">
                  <c:v>42614</c:v>
                </c:pt>
                <c:pt idx="20">
                  <c:v>42644</c:v>
                </c:pt>
                <c:pt idx="21">
                  <c:v>42675</c:v>
                </c:pt>
                <c:pt idx="22">
                  <c:v>42705</c:v>
                </c:pt>
                <c:pt idx="23">
                  <c:v>42736</c:v>
                </c:pt>
                <c:pt idx="24">
                  <c:v>42767</c:v>
                </c:pt>
                <c:pt idx="25">
                  <c:v>42795</c:v>
                </c:pt>
                <c:pt idx="26">
                  <c:v>42826</c:v>
                </c:pt>
                <c:pt idx="27">
                  <c:v>42856</c:v>
                </c:pt>
                <c:pt idx="28">
                  <c:v>42887</c:v>
                </c:pt>
                <c:pt idx="29">
                  <c:v>42917</c:v>
                </c:pt>
                <c:pt idx="30">
                  <c:v>42948</c:v>
                </c:pt>
                <c:pt idx="31">
                  <c:v>42979</c:v>
                </c:pt>
                <c:pt idx="32">
                  <c:v>43009</c:v>
                </c:pt>
                <c:pt idx="33">
                  <c:v>43040</c:v>
                </c:pt>
                <c:pt idx="34">
                  <c:v>43070</c:v>
                </c:pt>
                <c:pt idx="35">
                  <c:v>43101</c:v>
                </c:pt>
                <c:pt idx="36">
                  <c:v>43132</c:v>
                </c:pt>
                <c:pt idx="37">
                  <c:v>43160</c:v>
                </c:pt>
                <c:pt idx="38">
                  <c:v>43191</c:v>
                </c:pt>
                <c:pt idx="39">
                  <c:v>43221</c:v>
                </c:pt>
                <c:pt idx="40">
                  <c:v>43252</c:v>
                </c:pt>
                <c:pt idx="41">
                  <c:v>43282</c:v>
                </c:pt>
                <c:pt idx="42">
                  <c:v>43313</c:v>
                </c:pt>
                <c:pt idx="43">
                  <c:v>43344</c:v>
                </c:pt>
                <c:pt idx="44">
                  <c:v>43374</c:v>
                </c:pt>
                <c:pt idx="45">
                  <c:v>43405</c:v>
                </c:pt>
                <c:pt idx="46">
                  <c:v>43435</c:v>
                </c:pt>
                <c:pt idx="47">
                  <c:v>43466</c:v>
                </c:pt>
                <c:pt idx="48">
                  <c:v>43497</c:v>
                </c:pt>
                <c:pt idx="49">
                  <c:v>43525</c:v>
                </c:pt>
                <c:pt idx="50">
                  <c:v>43556</c:v>
                </c:pt>
                <c:pt idx="51">
                  <c:v>43586</c:v>
                </c:pt>
                <c:pt idx="52">
                  <c:v>43617</c:v>
                </c:pt>
                <c:pt idx="53">
                  <c:v>43647</c:v>
                </c:pt>
                <c:pt idx="54">
                  <c:v>43678</c:v>
                </c:pt>
                <c:pt idx="55">
                  <c:v>43709</c:v>
                </c:pt>
                <c:pt idx="56">
                  <c:v>43739</c:v>
                </c:pt>
                <c:pt idx="57">
                  <c:v>43770</c:v>
                </c:pt>
                <c:pt idx="58">
                  <c:v>43800</c:v>
                </c:pt>
                <c:pt idx="59">
                  <c:v>43831</c:v>
                </c:pt>
                <c:pt idx="60">
                  <c:v>43862</c:v>
                </c:pt>
                <c:pt idx="61">
                  <c:v>43891</c:v>
                </c:pt>
                <c:pt idx="62">
                  <c:v>43922</c:v>
                </c:pt>
                <c:pt idx="63">
                  <c:v>43952</c:v>
                </c:pt>
                <c:pt idx="64">
                  <c:v>43983</c:v>
                </c:pt>
                <c:pt idx="65">
                  <c:v>44013</c:v>
                </c:pt>
                <c:pt idx="66">
                  <c:v>44044</c:v>
                </c:pt>
                <c:pt idx="67">
                  <c:v>44075</c:v>
                </c:pt>
                <c:pt idx="68">
                  <c:v>44105</c:v>
                </c:pt>
                <c:pt idx="69">
                  <c:v>44136</c:v>
                </c:pt>
                <c:pt idx="70">
                  <c:v>44166</c:v>
                </c:pt>
                <c:pt idx="71">
                  <c:v>44197</c:v>
                </c:pt>
                <c:pt idx="72">
                  <c:v>44228</c:v>
                </c:pt>
                <c:pt idx="73">
                  <c:v>44256</c:v>
                </c:pt>
                <c:pt idx="74">
                  <c:v>44287</c:v>
                </c:pt>
                <c:pt idx="75">
                  <c:v>44317</c:v>
                </c:pt>
                <c:pt idx="76">
                  <c:v>44348</c:v>
                </c:pt>
                <c:pt idx="77">
                  <c:v>44378</c:v>
                </c:pt>
                <c:pt idx="78">
                  <c:v>44409</c:v>
                </c:pt>
                <c:pt idx="79">
                  <c:v>44440</c:v>
                </c:pt>
                <c:pt idx="80">
                  <c:v>44470</c:v>
                </c:pt>
                <c:pt idx="81">
                  <c:v>44501</c:v>
                </c:pt>
                <c:pt idx="82">
                  <c:v>44531</c:v>
                </c:pt>
                <c:pt idx="83">
                  <c:v>44562</c:v>
                </c:pt>
                <c:pt idx="84">
                  <c:v>44593</c:v>
                </c:pt>
                <c:pt idx="85">
                  <c:v>44621</c:v>
                </c:pt>
                <c:pt idx="86">
                  <c:v>44652</c:v>
                </c:pt>
                <c:pt idx="87">
                  <c:v>44682</c:v>
                </c:pt>
                <c:pt idx="88">
                  <c:v>44713</c:v>
                </c:pt>
                <c:pt idx="89">
                  <c:v>44743</c:v>
                </c:pt>
                <c:pt idx="90">
                  <c:v>44774</c:v>
                </c:pt>
                <c:pt idx="91">
                  <c:v>44805</c:v>
                </c:pt>
                <c:pt idx="92">
                  <c:v>44835</c:v>
                </c:pt>
                <c:pt idx="93">
                  <c:v>44866</c:v>
                </c:pt>
                <c:pt idx="94">
                  <c:v>44896</c:v>
                </c:pt>
                <c:pt idx="95">
                  <c:v>44927</c:v>
                </c:pt>
                <c:pt idx="96">
                  <c:v>44958</c:v>
                </c:pt>
                <c:pt idx="97">
                  <c:v>44986</c:v>
                </c:pt>
                <c:pt idx="98">
                  <c:v>45017</c:v>
                </c:pt>
                <c:pt idx="99">
                  <c:v>45047</c:v>
                </c:pt>
                <c:pt idx="100">
                  <c:v>45078</c:v>
                </c:pt>
                <c:pt idx="101">
                  <c:v>45108</c:v>
                </c:pt>
                <c:pt idx="102">
                  <c:v>45139</c:v>
                </c:pt>
                <c:pt idx="103">
                  <c:v>45170</c:v>
                </c:pt>
                <c:pt idx="104">
                  <c:v>45200</c:v>
                </c:pt>
                <c:pt idx="105">
                  <c:v>45231</c:v>
                </c:pt>
                <c:pt idx="106">
                  <c:v>45261</c:v>
                </c:pt>
                <c:pt idx="107">
                  <c:v>45292</c:v>
                </c:pt>
                <c:pt idx="108">
                  <c:v>45323</c:v>
                </c:pt>
                <c:pt idx="109">
                  <c:v>45352</c:v>
                </c:pt>
                <c:pt idx="110">
                  <c:v>45383</c:v>
                </c:pt>
                <c:pt idx="111">
                  <c:v>45413</c:v>
                </c:pt>
                <c:pt idx="112">
                  <c:v>45444</c:v>
                </c:pt>
                <c:pt idx="113">
                  <c:v>45474</c:v>
                </c:pt>
                <c:pt idx="114">
                  <c:v>45505</c:v>
                </c:pt>
                <c:pt idx="115">
                  <c:v>45536</c:v>
                </c:pt>
                <c:pt idx="116">
                  <c:v>45566</c:v>
                </c:pt>
                <c:pt idx="117">
                  <c:v>45597</c:v>
                </c:pt>
                <c:pt idx="118">
                  <c:v>45627</c:v>
                </c:pt>
                <c:pt idx="119">
                  <c:v>45658</c:v>
                </c:pt>
                <c:pt idx="120">
                  <c:v>45689</c:v>
                </c:pt>
                <c:pt idx="121">
                  <c:v>45717</c:v>
                </c:pt>
                <c:pt idx="122">
                  <c:v>45748</c:v>
                </c:pt>
                <c:pt idx="123">
                  <c:v>45778</c:v>
                </c:pt>
                <c:pt idx="124">
                  <c:v>45809</c:v>
                </c:pt>
                <c:pt idx="125">
                  <c:v>45839</c:v>
                </c:pt>
                <c:pt idx="126">
                  <c:v>45870</c:v>
                </c:pt>
                <c:pt idx="127">
                  <c:v>45901</c:v>
                </c:pt>
                <c:pt idx="128">
                  <c:v>45931</c:v>
                </c:pt>
                <c:pt idx="129">
                  <c:v>45962</c:v>
                </c:pt>
                <c:pt idx="130">
                  <c:v>45992</c:v>
                </c:pt>
                <c:pt idx="131">
                  <c:v>46023</c:v>
                </c:pt>
              </c:numCache>
            </c:numRef>
          </c:cat>
          <c:val>
            <c:numRef>
              <c:f>Out_of_Sample!$F$19:$F$150</c:f>
              <c:numCache>
                <c:formatCode>General</c:formatCode>
                <c:ptCount val="132"/>
                <c:pt idx="0">
                  <c:v>1.053187883742839</c:v>
                </c:pt>
                <c:pt idx="1">
                  <c:v>1.024764871997434</c:v>
                </c:pt>
                <c:pt idx="2">
                  <c:v>1.0417438802821308</c:v>
                </c:pt>
                <c:pt idx="3">
                  <c:v>1.0523535417303584</c:v>
                </c:pt>
                <c:pt idx="4">
                  <c:v>1.0230048810225345</c:v>
                </c:pt>
                <c:pt idx="5">
                  <c:v>1.0175811525056671</c:v>
                </c:pt>
                <c:pt idx="6">
                  <c:v>1.0007260179507751</c:v>
                </c:pt>
                <c:pt idx="7">
                  <c:v>0.99686849951500933</c:v>
                </c:pt>
                <c:pt idx="8">
                  <c:v>1.074596687879275</c:v>
                </c:pt>
                <c:pt idx="9">
                  <c:v>1.082331137974248</c:v>
                </c:pt>
                <c:pt idx="10">
                  <c:v>1.0801852644119863</c:v>
                </c:pt>
                <c:pt idx="11">
                  <c:v>1.040604372502939</c:v>
                </c:pt>
                <c:pt idx="12">
                  <c:v>1.0636520865103902</c:v>
                </c:pt>
                <c:pt idx="13">
                  <c:v>1.1268045730511709</c:v>
                </c:pt>
                <c:pt idx="14">
                  <c:v>1.1373186375036535</c:v>
                </c:pt>
                <c:pt idx="15">
                  <c:v>1.1954550505606123</c:v>
                </c:pt>
                <c:pt idx="16">
                  <c:v>1.211537265552485</c:v>
                </c:pt>
                <c:pt idx="17">
                  <c:v>1.2872943860014749</c:v>
                </c:pt>
                <c:pt idx="18">
                  <c:v>1.3072892834356413</c:v>
                </c:pt>
                <c:pt idx="19">
                  <c:v>1.3372673018282009</c:v>
                </c:pt>
                <c:pt idx="20">
                  <c:v>1.3304148253045178</c:v>
                </c:pt>
                <c:pt idx="21">
                  <c:v>1.3938714331501807</c:v>
                </c:pt>
                <c:pt idx="22">
                  <c:v>1.4422424087510912</c:v>
                </c:pt>
                <c:pt idx="23">
                  <c:v>1.4847203279763221</c:v>
                </c:pt>
                <c:pt idx="24">
                  <c:v>1.5216467157133284</c:v>
                </c:pt>
                <c:pt idx="25">
                  <c:v>1.5351807967932736</c:v>
                </c:pt>
                <c:pt idx="26">
                  <c:v>1.5361638467478977</c:v>
                </c:pt>
                <c:pt idx="27">
                  <c:v>1.6346930216962312</c:v>
                </c:pt>
                <c:pt idx="28">
                  <c:v>1.6376537415569272</c:v>
                </c:pt>
                <c:pt idx="29">
                  <c:v>1.7047875446510141</c:v>
                </c:pt>
                <c:pt idx="30">
                  <c:v>1.7411271908873942</c:v>
                </c:pt>
                <c:pt idx="31">
                  <c:v>1.7590438486371602</c:v>
                </c:pt>
                <c:pt idx="32">
                  <c:v>1.8298112900810806</c:v>
                </c:pt>
                <c:pt idx="33">
                  <c:v>1.8555475886796484</c:v>
                </c:pt>
                <c:pt idx="34">
                  <c:v>1.8653650607760466</c:v>
                </c:pt>
                <c:pt idx="35">
                  <c:v>2.0093167880331433</c:v>
                </c:pt>
                <c:pt idx="36">
                  <c:v>1.9548172618393378</c:v>
                </c:pt>
                <c:pt idx="37">
                  <c:v>1.9108266628972164</c:v>
                </c:pt>
                <c:pt idx="38">
                  <c:v>1.8828117500849115</c:v>
                </c:pt>
                <c:pt idx="39">
                  <c:v>1.9413846095177547</c:v>
                </c:pt>
                <c:pt idx="40">
                  <c:v>1.9126153367526393</c:v>
                </c:pt>
                <c:pt idx="41">
                  <c:v>1.9680548133012741</c:v>
                </c:pt>
                <c:pt idx="42">
                  <c:v>2.0471887315207176</c:v>
                </c:pt>
                <c:pt idx="43">
                  <c:v>2.0425789143916218</c:v>
                </c:pt>
                <c:pt idx="44">
                  <c:v>1.9109958626106001</c:v>
                </c:pt>
                <c:pt idx="45">
                  <c:v>1.8707363058776243</c:v>
                </c:pt>
                <c:pt idx="46">
                  <c:v>1.7362543413333569</c:v>
                </c:pt>
                <c:pt idx="47">
                  <c:v>1.8470427072039863</c:v>
                </c:pt>
                <c:pt idx="48">
                  <c:v>1.9079219716880593</c:v>
                </c:pt>
                <c:pt idx="49">
                  <c:v>1.9711523807387201</c:v>
                </c:pt>
                <c:pt idx="50">
                  <c:v>2.046330526693656</c:v>
                </c:pt>
                <c:pt idx="51">
                  <c:v>1.8862010192216963</c:v>
                </c:pt>
                <c:pt idx="52">
                  <c:v>2.0578086921867946</c:v>
                </c:pt>
                <c:pt idx="53">
                  <c:v>2.1062261060727083</c:v>
                </c:pt>
                <c:pt idx="54">
                  <c:v>2.1120411169455813</c:v>
                </c:pt>
                <c:pt idx="55">
                  <c:v>2.1451486649795846</c:v>
                </c:pt>
                <c:pt idx="56">
                  <c:v>2.247455573341441</c:v>
                </c:pt>
                <c:pt idx="57">
                  <c:v>2.3073661438003694</c:v>
                </c:pt>
                <c:pt idx="58">
                  <c:v>2.4026648523806573</c:v>
                </c:pt>
                <c:pt idx="59">
                  <c:v>2.4228666673815109</c:v>
                </c:pt>
                <c:pt idx="60">
                  <c:v>2.3371085225891632</c:v>
                </c:pt>
                <c:pt idx="61">
                  <c:v>2.1380389272752098</c:v>
                </c:pt>
                <c:pt idx="62">
                  <c:v>2.3545880970836865</c:v>
                </c:pt>
                <c:pt idx="63">
                  <c:v>2.5042604843445977</c:v>
                </c:pt>
                <c:pt idx="64">
                  <c:v>2.58212306509976</c:v>
                </c:pt>
                <c:pt idx="65">
                  <c:v>2.7815139994794595</c:v>
                </c:pt>
                <c:pt idx="66">
                  <c:v>3.0149212314808116</c:v>
                </c:pt>
                <c:pt idx="67">
                  <c:v>2.9270001256557889</c:v>
                </c:pt>
                <c:pt idx="68">
                  <c:v>2.8523247215843215</c:v>
                </c:pt>
                <c:pt idx="69">
                  <c:v>3.0617515315926052</c:v>
                </c:pt>
                <c:pt idx="70">
                  <c:v>3.1751453024277287</c:v>
                </c:pt>
                <c:pt idx="71">
                  <c:v>3.1201310937894986</c:v>
                </c:pt>
                <c:pt idx="72">
                  <c:v>3.1727116198069694</c:v>
                </c:pt>
                <c:pt idx="73">
                  <c:v>3.2329628081636113</c:v>
                </c:pt>
                <c:pt idx="74">
                  <c:v>3.3870692949490615</c:v>
                </c:pt>
                <c:pt idx="75">
                  <c:v>3.5117976761865246</c:v>
                </c:pt>
                <c:pt idx="76">
                  <c:v>3.617452392135847</c:v>
                </c:pt>
                <c:pt idx="77">
                  <c:v>3.6713438332823389</c:v>
                </c:pt>
                <c:pt idx="78">
                  <c:v>3.8219052118231494</c:v>
                </c:pt>
                <c:pt idx="79">
                  <c:v>3.6673092720909981</c:v>
                </c:pt>
                <c:pt idx="80">
                  <c:v>3.9438462346110725</c:v>
                </c:pt>
                <c:pt idx="81">
                  <c:v>4.0837283521611338</c:v>
                </c:pt>
                <c:pt idx="82">
                  <c:v>4.1637570965863144</c:v>
                </c:pt>
                <c:pt idx="83">
                  <c:v>3.9019428153492544</c:v>
                </c:pt>
                <c:pt idx="84">
                  <c:v>3.8585942089629879</c:v>
                </c:pt>
                <c:pt idx="85">
                  <c:v>3.964979245492791</c:v>
                </c:pt>
                <c:pt idx="86">
                  <c:v>3.5586167886139823</c:v>
                </c:pt>
                <c:pt idx="87">
                  <c:v>3.5449924990716011</c:v>
                </c:pt>
                <c:pt idx="88">
                  <c:v>3.2281195699546843</c:v>
                </c:pt>
                <c:pt idx="89">
                  <c:v>3.4490812628405716</c:v>
                </c:pt>
                <c:pt idx="90">
                  <c:v>3.2618780816516453</c:v>
                </c:pt>
                <c:pt idx="91">
                  <c:v>2.9391626973104894</c:v>
                </c:pt>
                <c:pt idx="92">
                  <c:v>3.1552736225314932</c:v>
                </c:pt>
                <c:pt idx="93">
                  <c:v>3.4833882615225322</c:v>
                </c:pt>
                <c:pt idx="94">
                  <c:v>3.3252141061478833</c:v>
                </c:pt>
                <c:pt idx="95">
                  <c:v>3.6412886999102239</c:v>
                </c:pt>
                <c:pt idx="96">
                  <c:v>3.6736078762292008</c:v>
                </c:pt>
                <c:pt idx="97">
                  <c:v>3.9236901888113387</c:v>
                </c:pt>
                <c:pt idx="98">
                  <c:v>3.9916630321878768</c:v>
                </c:pt>
                <c:pt idx="99">
                  <c:v>4.2039823598907669</c:v>
                </c:pt>
                <c:pt idx="100">
                  <c:v>4.4263906971542806</c:v>
                </c:pt>
                <c:pt idx="101">
                  <c:v>4.6314142439450467</c:v>
                </c:pt>
                <c:pt idx="102">
                  <c:v>4.5744609447217464</c:v>
                </c:pt>
                <c:pt idx="103">
                  <c:v>4.3070706368447116</c:v>
                </c:pt>
                <c:pt idx="104">
                  <c:v>4.2831189678608563</c:v>
                </c:pt>
                <c:pt idx="105">
                  <c:v>4.662443523351957</c:v>
                </c:pt>
                <c:pt idx="106">
                  <c:v>4.8259988241249063</c:v>
                </c:pt>
                <c:pt idx="107">
                  <c:v>5.0647428715733112</c:v>
                </c:pt>
                <c:pt idx="108">
                  <c:v>5.4364015140661728</c:v>
                </c:pt>
                <c:pt idx="109">
                  <c:v>5.757699223940155</c:v>
                </c:pt>
                <c:pt idx="110">
                  <c:v>5.6195478252520106</c:v>
                </c:pt>
                <c:pt idx="111">
                  <c:v>6.0512223527946665</c:v>
                </c:pt>
                <c:pt idx="112">
                  <c:v>6.2798738877209859</c:v>
                </c:pt>
                <c:pt idx="113">
                  <c:v>6.327675630296639</c:v>
                </c:pt>
                <c:pt idx="114">
                  <c:v>6.5058681304986585</c:v>
                </c:pt>
                <c:pt idx="115">
                  <c:v>6.6124137869105368</c:v>
                </c:pt>
                <c:pt idx="116">
                  <c:v>6.7291458012100867</c:v>
                </c:pt>
                <c:pt idx="117">
                  <c:v>7.0393056403577585</c:v>
                </c:pt>
                <c:pt idx="118">
                  <c:v>6.8506959595690669</c:v>
                </c:pt>
                <c:pt idx="119">
                  <c:v>6.9559076022239266</c:v>
                </c:pt>
                <c:pt idx="120">
                  <c:v>7.0030920261297736</c:v>
                </c:pt>
                <c:pt idx="121">
                  <c:v>6.7306396750100141</c:v>
                </c:pt>
                <c:pt idx="122">
                  <c:v>6.783930090951019</c:v>
                </c:pt>
                <c:pt idx="123">
                  <c:v>7.3406903627641196</c:v>
                </c:pt>
                <c:pt idx="124">
                  <c:v>7.7630319846784266</c:v>
                </c:pt>
                <c:pt idx="125">
                  <c:v>7.962809295367185</c:v>
                </c:pt>
                <c:pt idx="126">
                  <c:v>8.1351924929792219</c:v>
                </c:pt>
                <c:pt idx="127">
                  <c:v>8.5990156983545063</c:v>
                </c:pt>
                <c:pt idx="128">
                  <c:v>8.8786620348802732</c:v>
                </c:pt>
                <c:pt idx="129">
                  <c:v>8.7361903848011533</c:v>
                </c:pt>
                <c:pt idx="130">
                  <c:v>8.8423732041478242</c:v>
                </c:pt>
                <c:pt idx="131">
                  <c:v>9.0225444821591037</c:v>
                </c:pt>
              </c:numCache>
            </c:numRef>
          </c:val>
          <c:smooth val="0"/>
          <c:extLst>
            <c:ext xmlns:c16="http://schemas.microsoft.com/office/drawing/2014/chart" uri="{C3380CC4-5D6E-409C-BE32-E72D297353CC}">
              <c16:uniqueId val="{00000000-1735-43A0-8BB8-618A83186AAB}"/>
            </c:ext>
          </c:extLst>
        </c:ser>
        <c:ser>
          <c:idx val="1"/>
          <c:order val="1"/>
          <c:tx>
            <c:strRef>
              <c:f>Out_of_Sample!$G$17</c:f>
              <c:strCache>
                <c:ptCount val="1"/>
                <c:pt idx="0">
                  <c:v>SPY Cumulative</c:v>
                </c:pt>
              </c:strCache>
            </c:strRef>
          </c:tx>
          <c:spPr>
            <a:ln w="22225" cap="rnd">
              <a:solidFill>
                <a:schemeClr val="accent2"/>
              </a:solidFill>
            </a:ln>
            <a:effectLst>
              <a:glow rad="139700">
                <a:schemeClr val="accent2">
                  <a:satMod val="175000"/>
                  <a:alpha val="14000"/>
                </a:schemeClr>
              </a:glow>
            </a:effectLst>
          </c:spPr>
          <c:marker>
            <c:symbol val="none"/>
          </c:marker>
          <c:cat>
            <c:numRef>
              <c:f>Out_of_Sample!$B$19:$B$150</c:f>
              <c:numCache>
                <c:formatCode>m/d/yyyy</c:formatCode>
                <c:ptCount val="132"/>
                <c:pt idx="0">
                  <c:v>42036</c:v>
                </c:pt>
                <c:pt idx="1">
                  <c:v>42064</c:v>
                </c:pt>
                <c:pt idx="2">
                  <c:v>42095</c:v>
                </c:pt>
                <c:pt idx="3">
                  <c:v>42125</c:v>
                </c:pt>
                <c:pt idx="4">
                  <c:v>42156</c:v>
                </c:pt>
                <c:pt idx="5">
                  <c:v>42186</c:v>
                </c:pt>
                <c:pt idx="6">
                  <c:v>42217</c:v>
                </c:pt>
                <c:pt idx="7">
                  <c:v>42248</c:v>
                </c:pt>
                <c:pt idx="8">
                  <c:v>42278</c:v>
                </c:pt>
                <c:pt idx="9">
                  <c:v>42309</c:v>
                </c:pt>
                <c:pt idx="10">
                  <c:v>42339</c:v>
                </c:pt>
                <c:pt idx="11">
                  <c:v>42370</c:v>
                </c:pt>
                <c:pt idx="12">
                  <c:v>42401</c:v>
                </c:pt>
                <c:pt idx="13">
                  <c:v>42430</c:v>
                </c:pt>
                <c:pt idx="14">
                  <c:v>42461</c:v>
                </c:pt>
                <c:pt idx="15">
                  <c:v>42491</c:v>
                </c:pt>
                <c:pt idx="16">
                  <c:v>42522</c:v>
                </c:pt>
                <c:pt idx="17">
                  <c:v>42552</c:v>
                </c:pt>
                <c:pt idx="18">
                  <c:v>42583</c:v>
                </c:pt>
                <c:pt idx="19">
                  <c:v>42614</c:v>
                </c:pt>
                <c:pt idx="20">
                  <c:v>42644</c:v>
                </c:pt>
                <c:pt idx="21">
                  <c:v>42675</c:v>
                </c:pt>
                <c:pt idx="22">
                  <c:v>42705</c:v>
                </c:pt>
                <c:pt idx="23">
                  <c:v>42736</c:v>
                </c:pt>
                <c:pt idx="24">
                  <c:v>42767</c:v>
                </c:pt>
                <c:pt idx="25">
                  <c:v>42795</c:v>
                </c:pt>
                <c:pt idx="26">
                  <c:v>42826</c:v>
                </c:pt>
                <c:pt idx="27">
                  <c:v>42856</c:v>
                </c:pt>
                <c:pt idx="28">
                  <c:v>42887</c:v>
                </c:pt>
                <c:pt idx="29">
                  <c:v>42917</c:v>
                </c:pt>
                <c:pt idx="30">
                  <c:v>42948</c:v>
                </c:pt>
                <c:pt idx="31">
                  <c:v>42979</c:v>
                </c:pt>
                <c:pt idx="32">
                  <c:v>43009</c:v>
                </c:pt>
                <c:pt idx="33">
                  <c:v>43040</c:v>
                </c:pt>
                <c:pt idx="34">
                  <c:v>43070</c:v>
                </c:pt>
                <c:pt idx="35">
                  <c:v>43101</c:v>
                </c:pt>
                <c:pt idx="36">
                  <c:v>43132</c:v>
                </c:pt>
                <c:pt idx="37">
                  <c:v>43160</c:v>
                </c:pt>
                <c:pt idx="38">
                  <c:v>43191</c:v>
                </c:pt>
                <c:pt idx="39">
                  <c:v>43221</c:v>
                </c:pt>
                <c:pt idx="40">
                  <c:v>43252</c:v>
                </c:pt>
                <c:pt idx="41">
                  <c:v>43282</c:v>
                </c:pt>
                <c:pt idx="42">
                  <c:v>43313</c:v>
                </c:pt>
                <c:pt idx="43">
                  <c:v>43344</c:v>
                </c:pt>
                <c:pt idx="44">
                  <c:v>43374</c:v>
                </c:pt>
                <c:pt idx="45">
                  <c:v>43405</c:v>
                </c:pt>
                <c:pt idx="46">
                  <c:v>43435</c:v>
                </c:pt>
                <c:pt idx="47">
                  <c:v>43466</c:v>
                </c:pt>
                <c:pt idx="48">
                  <c:v>43497</c:v>
                </c:pt>
                <c:pt idx="49">
                  <c:v>43525</c:v>
                </c:pt>
                <c:pt idx="50">
                  <c:v>43556</c:v>
                </c:pt>
                <c:pt idx="51">
                  <c:v>43586</c:v>
                </c:pt>
                <c:pt idx="52">
                  <c:v>43617</c:v>
                </c:pt>
                <c:pt idx="53">
                  <c:v>43647</c:v>
                </c:pt>
                <c:pt idx="54">
                  <c:v>43678</c:v>
                </c:pt>
                <c:pt idx="55">
                  <c:v>43709</c:v>
                </c:pt>
                <c:pt idx="56">
                  <c:v>43739</c:v>
                </c:pt>
                <c:pt idx="57">
                  <c:v>43770</c:v>
                </c:pt>
                <c:pt idx="58">
                  <c:v>43800</c:v>
                </c:pt>
                <c:pt idx="59">
                  <c:v>43831</c:v>
                </c:pt>
                <c:pt idx="60">
                  <c:v>43862</c:v>
                </c:pt>
                <c:pt idx="61">
                  <c:v>43891</c:v>
                </c:pt>
                <c:pt idx="62">
                  <c:v>43922</c:v>
                </c:pt>
                <c:pt idx="63">
                  <c:v>43952</c:v>
                </c:pt>
                <c:pt idx="64">
                  <c:v>43983</c:v>
                </c:pt>
                <c:pt idx="65">
                  <c:v>44013</c:v>
                </c:pt>
                <c:pt idx="66">
                  <c:v>44044</c:v>
                </c:pt>
                <c:pt idx="67">
                  <c:v>44075</c:v>
                </c:pt>
                <c:pt idx="68">
                  <c:v>44105</c:v>
                </c:pt>
                <c:pt idx="69">
                  <c:v>44136</c:v>
                </c:pt>
                <c:pt idx="70">
                  <c:v>44166</c:v>
                </c:pt>
                <c:pt idx="71">
                  <c:v>44197</c:v>
                </c:pt>
                <c:pt idx="72">
                  <c:v>44228</c:v>
                </c:pt>
                <c:pt idx="73">
                  <c:v>44256</c:v>
                </c:pt>
                <c:pt idx="74">
                  <c:v>44287</c:v>
                </c:pt>
                <c:pt idx="75">
                  <c:v>44317</c:v>
                </c:pt>
                <c:pt idx="76">
                  <c:v>44348</c:v>
                </c:pt>
                <c:pt idx="77">
                  <c:v>44378</c:v>
                </c:pt>
                <c:pt idx="78">
                  <c:v>44409</c:v>
                </c:pt>
                <c:pt idx="79">
                  <c:v>44440</c:v>
                </c:pt>
                <c:pt idx="80">
                  <c:v>44470</c:v>
                </c:pt>
                <c:pt idx="81">
                  <c:v>44501</c:v>
                </c:pt>
                <c:pt idx="82">
                  <c:v>44531</c:v>
                </c:pt>
                <c:pt idx="83">
                  <c:v>44562</c:v>
                </c:pt>
                <c:pt idx="84">
                  <c:v>44593</c:v>
                </c:pt>
                <c:pt idx="85">
                  <c:v>44621</c:v>
                </c:pt>
                <c:pt idx="86">
                  <c:v>44652</c:v>
                </c:pt>
                <c:pt idx="87">
                  <c:v>44682</c:v>
                </c:pt>
                <c:pt idx="88">
                  <c:v>44713</c:v>
                </c:pt>
                <c:pt idx="89">
                  <c:v>44743</c:v>
                </c:pt>
                <c:pt idx="90">
                  <c:v>44774</c:v>
                </c:pt>
                <c:pt idx="91">
                  <c:v>44805</c:v>
                </c:pt>
                <c:pt idx="92">
                  <c:v>44835</c:v>
                </c:pt>
                <c:pt idx="93">
                  <c:v>44866</c:v>
                </c:pt>
                <c:pt idx="94">
                  <c:v>44896</c:v>
                </c:pt>
                <c:pt idx="95">
                  <c:v>44927</c:v>
                </c:pt>
                <c:pt idx="96">
                  <c:v>44958</c:v>
                </c:pt>
                <c:pt idx="97">
                  <c:v>44986</c:v>
                </c:pt>
                <c:pt idx="98">
                  <c:v>45017</c:v>
                </c:pt>
                <c:pt idx="99">
                  <c:v>45047</c:v>
                </c:pt>
                <c:pt idx="100">
                  <c:v>45078</c:v>
                </c:pt>
                <c:pt idx="101">
                  <c:v>45108</c:v>
                </c:pt>
                <c:pt idx="102">
                  <c:v>45139</c:v>
                </c:pt>
                <c:pt idx="103">
                  <c:v>45170</c:v>
                </c:pt>
                <c:pt idx="104">
                  <c:v>45200</c:v>
                </c:pt>
                <c:pt idx="105">
                  <c:v>45231</c:v>
                </c:pt>
                <c:pt idx="106">
                  <c:v>45261</c:v>
                </c:pt>
                <c:pt idx="107">
                  <c:v>45292</c:v>
                </c:pt>
                <c:pt idx="108">
                  <c:v>45323</c:v>
                </c:pt>
                <c:pt idx="109">
                  <c:v>45352</c:v>
                </c:pt>
                <c:pt idx="110">
                  <c:v>45383</c:v>
                </c:pt>
                <c:pt idx="111">
                  <c:v>45413</c:v>
                </c:pt>
                <c:pt idx="112">
                  <c:v>45444</c:v>
                </c:pt>
                <c:pt idx="113">
                  <c:v>45474</c:v>
                </c:pt>
                <c:pt idx="114">
                  <c:v>45505</c:v>
                </c:pt>
                <c:pt idx="115">
                  <c:v>45536</c:v>
                </c:pt>
                <c:pt idx="116">
                  <c:v>45566</c:v>
                </c:pt>
                <c:pt idx="117">
                  <c:v>45597</c:v>
                </c:pt>
                <c:pt idx="118">
                  <c:v>45627</c:v>
                </c:pt>
                <c:pt idx="119">
                  <c:v>45658</c:v>
                </c:pt>
                <c:pt idx="120">
                  <c:v>45689</c:v>
                </c:pt>
                <c:pt idx="121">
                  <c:v>45717</c:v>
                </c:pt>
                <c:pt idx="122">
                  <c:v>45748</c:v>
                </c:pt>
                <c:pt idx="123">
                  <c:v>45778</c:v>
                </c:pt>
                <c:pt idx="124">
                  <c:v>45809</c:v>
                </c:pt>
                <c:pt idx="125">
                  <c:v>45839</c:v>
                </c:pt>
                <c:pt idx="126">
                  <c:v>45870</c:v>
                </c:pt>
                <c:pt idx="127">
                  <c:v>45901</c:v>
                </c:pt>
                <c:pt idx="128">
                  <c:v>45931</c:v>
                </c:pt>
                <c:pt idx="129">
                  <c:v>45962</c:v>
                </c:pt>
                <c:pt idx="130">
                  <c:v>45992</c:v>
                </c:pt>
                <c:pt idx="131">
                  <c:v>46023</c:v>
                </c:pt>
              </c:numCache>
            </c:numRef>
          </c:cat>
          <c:val>
            <c:numRef>
              <c:f>Out_of_Sample!$G$19:$G$150</c:f>
              <c:numCache>
                <c:formatCode>General</c:formatCode>
                <c:ptCount val="132"/>
                <c:pt idx="0">
                  <c:v>1.0562045625470042</c:v>
                </c:pt>
                <c:pt idx="1">
                  <c:v>1.0349962396590624</c:v>
                </c:pt>
                <c:pt idx="2">
                  <c:v>1.0451742291301078</c:v>
                </c:pt>
                <c:pt idx="3">
                  <c:v>1.0586111807470544</c:v>
                </c:pt>
                <c:pt idx="4">
                  <c:v>1.0320882426673352</c:v>
                </c:pt>
                <c:pt idx="5">
                  <c:v>1.055402356480321</c:v>
                </c:pt>
                <c:pt idx="6">
                  <c:v>0.99107545750814741</c:v>
                </c:pt>
                <c:pt idx="7">
                  <c:v>0.96079217849084986</c:v>
                </c:pt>
                <c:pt idx="8">
                  <c:v>1.0425169215342192</c:v>
                </c:pt>
                <c:pt idx="9">
                  <c:v>1.0463274003509651</c:v>
                </c:pt>
                <c:pt idx="10">
                  <c:v>1.0221609425921283</c:v>
                </c:pt>
                <c:pt idx="11">
                  <c:v>0.97127099523690141</c:v>
                </c:pt>
                <c:pt idx="12">
                  <c:v>0.97046878917021806</c:v>
                </c:pt>
                <c:pt idx="13">
                  <c:v>1.0304336926548006</c:v>
                </c:pt>
                <c:pt idx="14">
                  <c:v>1.0344948608673852</c:v>
                </c:pt>
                <c:pt idx="15">
                  <c:v>1.0520932564552519</c:v>
                </c:pt>
                <c:pt idx="16">
                  <c:v>1.0502381549260467</c:v>
                </c:pt>
                <c:pt idx="17">
                  <c:v>1.0885936324893459</c:v>
                </c:pt>
                <c:pt idx="18">
                  <c:v>1.0898972173477064</c:v>
                </c:pt>
                <c:pt idx="19">
                  <c:v>1.0844823263975936</c:v>
                </c:pt>
                <c:pt idx="20">
                  <c:v>1.0656806217097019</c:v>
                </c:pt>
                <c:pt idx="21">
                  <c:v>1.1049385810980197</c:v>
                </c:pt>
                <c:pt idx="22">
                  <c:v>1.1207320130358489</c:v>
                </c:pt>
                <c:pt idx="23">
                  <c:v>1.1407871647029335</c:v>
                </c:pt>
                <c:pt idx="24">
                  <c:v>1.1856104286788673</c:v>
                </c:pt>
                <c:pt idx="25">
                  <c:v>1.1819503634996245</c:v>
                </c:pt>
                <c:pt idx="26">
                  <c:v>1.1936826272248688</c:v>
                </c:pt>
                <c:pt idx="27">
                  <c:v>1.2105289546252198</c:v>
                </c:pt>
                <c:pt idx="28">
                  <c:v>1.2123339182752575</c:v>
                </c:pt>
                <c:pt idx="29">
                  <c:v>1.23725244422161</c:v>
                </c:pt>
                <c:pt idx="30">
                  <c:v>1.2408623715216853</c:v>
                </c:pt>
                <c:pt idx="31">
                  <c:v>1.2596139383304092</c:v>
                </c:pt>
                <c:pt idx="32">
                  <c:v>1.2892955627976941</c:v>
                </c:pt>
                <c:pt idx="33">
                  <c:v>1.3287039358235151</c:v>
                </c:pt>
                <c:pt idx="34">
                  <c:v>1.3379794434695418</c:v>
                </c:pt>
                <c:pt idx="35">
                  <c:v>1.4133868137377792</c:v>
                </c:pt>
                <c:pt idx="36">
                  <c:v>1.3619954875908753</c:v>
                </c:pt>
                <c:pt idx="37">
                  <c:v>1.3193782902983209</c:v>
                </c:pt>
                <c:pt idx="38">
                  <c:v>1.3261970418651297</c:v>
                </c:pt>
                <c:pt idx="39">
                  <c:v>1.3584356981699679</c:v>
                </c:pt>
                <c:pt idx="40">
                  <c:v>1.3601403860616701</c:v>
                </c:pt>
                <c:pt idx="41">
                  <c:v>1.41052895462522</c:v>
                </c:pt>
                <c:pt idx="42">
                  <c:v>1.4555527701178248</c:v>
                </c:pt>
                <c:pt idx="43">
                  <c:v>1.457608423163701</c:v>
                </c:pt>
                <c:pt idx="44">
                  <c:v>1.3568814239157689</c:v>
                </c:pt>
                <c:pt idx="45">
                  <c:v>1.3820506392579599</c:v>
                </c:pt>
                <c:pt idx="46">
                  <c:v>1.253045876159439</c:v>
                </c:pt>
                <c:pt idx="47">
                  <c:v>1.3533717723740291</c:v>
                </c:pt>
                <c:pt idx="48">
                  <c:v>1.3972424166457762</c:v>
                </c:pt>
                <c:pt idx="49">
                  <c:v>1.4162948107295066</c:v>
                </c:pt>
                <c:pt idx="50">
                  <c:v>1.4741539232890453</c:v>
                </c:pt>
                <c:pt idx="51">
                  <c:v>1.3801453998495867</c:v>
                </c:pt>
                <c:pt idx="52">
                  <c:v>1.4690398596139389</c:v>
                </c:pt>
                <c:pt idx="53">
                  <c:v>1.491250940085235</c:v>
                </c:pt>
                <c:pt idx="54">
                  <c:v>1.4662822762597147</c:v>
                </c:pt>
                <c:pt idx="55">
                  <c:v>1.4879418400601661</c:v>
                </c:pt>
                <c:pt idx="56">
                  <c:v>1.5208322887941848</c:v>
                </c:pt>
                <c:pt idx="57">
                  <c:v>1.5758836801203318</c:v>
                </c:pt>
                <c:pt idx="58">
                  <c:v>1.613737778891954</c:v>
                </c:pt>
                <c:pt idx="59">
                  <c:v>1.6130859864627738</c:v>
                </c:pt>
                <c:pt idx="60">
                  <c:v>1.4853848082226131</c:v>
                </c:pt>
                <c:pt idx="61">
                  <c:v>1.2923038355477572</c:v>
                </c:pt>
                <c:pt idx="62">
                  <c:v>1.456405114063676</c:v>
                </c:pt>
                <c:pt idx="63">
                  <c:v>1.5257959388317881</c:v>
                </c:pt>
                <c:pt idx="64">
                  <c:v>1.5460516420155435</c:v>
                </c:pt>
                <c:pt idx="65">
                  <c:v>1.6371020305841066</c:v>
                </c:pt>
                <c:pt idx="66">
                  <c:v>1.7513662572073208</c:v>
                </c:pt>
                <c:pt idx="67">
                  <c:v>1.679067435447481</c:v>
                </c:pt>
                <c:pt idx="68">
                  <c:v>1.6372023063424423</c:v>
                </c:pt>
                <c:pt idx="69">
                  <c:v>1.8152920531461525</c:v>
                </c:pt>
                <c:pt idx="70">
                  <c:v>1.8745550263223869</c:v>
                </c:pt>
                <c:pt idx="71">
                  <c:v>1.855452494359489</c:v>
                </c:pt>
                <c:pt idx="72">
                  <c:v>1.9070443720230639</c:v>
                </c:pt>
                <c:pt idx="73">
                  <c:v>1.9871145650538984</c:v>
                </c:pt>
                <c:pt idx="74">
                  <c:v>2.0922536976685886</c:v>
                </c:pt>
                <c:pt idx="75">
                  <c:v>2.1059914765605416</c:v>
                </c:pt>
                <c:pt idx="76">
                  <c:v>2.1462020556530459</c:v>
                </c:pt>
                <c:pt idx="77">
                  <c:v>2.1985961393833042</c:v>
                </c:pt>
                <c:pt idx="78">
                  <c:v>2.2640260716971676</c:v>
                </c:pt>
                <c:pt idx="79">
                  <c:v>2.1516169466031592</c:v>
                </c:pt>
                <c:pt idx="80">
                  <c:v>2.3025821007771379</c:v>
                </c:pt>
                <c:pt idx="81">
                  <c:v>2.2840812233642525</c:v>
                </c:pt>
                <c:pt idx="82">
                  <c:v>2.3813487089496119</c:v>
                </c:pt>
                <c:pt idx="83">
                  <c:v>2.2557533216344954</c:v>
                </c:pt>
                <c:pt idx="84">
                  <c:v>2.1891702180997745</c:v>
                </c:pt>
                <c:pt idx="85">
                  <c:v>2.2644271747305087</c:v>
                </c:pt>
                <c:pt idx="86">
                  <c:v>2.0656806217097015</c:v>
                </c:pt>
                <c:pt idx="87">
                  <c:v>2.0703434444722988</c:v>
                </c:pt>
                <c:pt idx="88">
                  <c:v>1.8914514916019052</c:v>
                </c:pt>
                <c:pt idx="89">
                  <c:v>2.0656304838305339</c:v>
                </c:pt>
                <c:pt idx="90">
                  <c:v>1.9813487089496113</c:v>
                </c:pt>
                <c:pt idx="91">
                  <c:v>1.7908247681123086</c:v>
                </c:pt>
                <c:pt idx="92">
                  <c:v>1.9363750313361741</c:v>
                </c:pt>
                <c:pt idx="93">
                  <c:v>2.0440210579092501</c:v>
                </c:pt>
                <c:pt idx="94">
                  <c:v>1.9174229130107794</c:v>
                </c:pt>
                <c:pt idx="95">
                  <c:v>2.0380045124091248</c:v>
                </c:pt>
                <c:pt idx="96">
                  <c:v>1.9867635998997237</c:v>
                </c:pt>
                <c:pt idx="97">
                  <c:v>2.0525946352469284</c:v>
                </c:pt>
                <c:pt idx="98">
                  <c:v>2.0853848082226114</c:v>
                </c:pt>
                <c:pt idx="99">
                  <c:v>2.0950112810228121</c:v>
                </c:pt>
                <c:pt idx="100">
                  <c:v>2.2225119077463016</c:v>
                </c:pt>
                <c:pt idx="101">
                  <c:v>2.2952619704186508</c:v>
                </c:pt>
                <c:pt idx="102">
                  <c:v>2.2579593883178735</c:v>
                </c:pt>
                <c:pt idx="103">
                  <c:v>2.1432940586613181</c:v>
                </c:pt>
                <c:pt idx="104">
                  <c:v>2.096766106793682</c:v>
                </c:pt>
                <c:pt idx="105">
                  <c:v>2.2882928052143385</c:v>
                </c:pt>
                <c:pt idx="106">
                  <c:v>2.3831035347204801</c:v>
                </c:pt>
                <c:pt idx="107">
                  <c:v>2.4210579092504378</c:v>
                </c:pt>
                <c:pt idx="108">
                  <c:v>2.5474053647530703</c:v>
                </c:pt>
                <c:pt idx="109">
                  <c:v>2.6225620456254695</c:v>
                </c:pt>
                <c:pt idx="110">
                  <c:v>2.5168212584607663</c:v>
                </c:pt>
                <c:pt idx="111">
                  <c:v>2.6441213336675848</c:v>
                </c:pt>
                <c:pt idx="112">
                  <c:v>2.7286036600651786</c:v>
                </c:pt>
                <c:pt idx="113">
                  <c:v>2.7616445224366997</c:v>
                </c:pt>
                <c:pt idx="114">
                  <c:v>2.8261719729255441</c:v>
                </c:pt>
                <c:pt idx="115">
                  <c:v>2.876710955126597</c:v>
                </c:pt>
                <c:pt idx="116">
                  <c:v>2.8510403609927288</c:v>
                </c:pt>
                <c:pt idx="117">
                  <c:v>3.0210579092504375</c:v>
                </c:pt>
                <c:pt idx="118">
                  <c:v>2.9384808222612175</c:v>
                </c:pt>
                <c:pt idx="119">
                  <c:v>3.017397844071195</c:v>
                </c:pt>
                <c:pt idx="120">
                  <c:v>2.9790925043870633</c:v>
                </c:pt>
                <c:pt idx="121">
                  <c:v>2.8046628227625963</c:v>
                </c:pt>
                <c:pt idx="122">
                  <c:v>2.7803459513662561</c:v>
                </c:pt>
                <c:pt idx="123">
                  <c:v>2.9550764602657296</c:v>
                </c:pt>
                <c:pt idx="124">
                  <c:v>3.097768864377036</c:v>
                </c:pt>
                <c:pt idx="125">
                  <c:v>3.1691150664326888</c:v>
                </c:pt>
                <c:pt idx="126">
                  <c:v>3.2341438957132103</c:v>
                </c:pt>
                <c:pt idx="127">
                  <c:v>3.3400852343945844</c:v>
                </c:pt>
                <c:pt idx="128">
                  <c:v>3.4197041865129099</c:v>
                </c:pt>
                <c:pt idx="129">
                  <c:v>3.4263725244422152</c:v>
                </c:pt>
                <c:pt idx="130">
                  <c:v>3.4190022562045614</c:v>
                </c:pt>
                <c:pt idx="131">
                  <c:v>3.4678365505139119</c:v>
                </c:pt>
              </c:numCache>
            </c:numRef>
          </c:val>
          <c:smooth val="0"/>
          <c:extLst>
            <c:ext xmlns:c16="http://schemas.microsoft.com/office/drawing/2014/chart" uri="{C3380CC4-5D6E-409C-BE32-E72D297353CC}">
              <c16:uniqueId val="{00000001-1735-43A0-8BB8-618A83186AAB}"/>
            </c:ext>
          </c:extLst>
        </c:ser>
        <c:dLbls>
          <c:showLegendKey val="0"/>
          <c:showVal val="0"/>
          <c:showCatName val="0"/>
          <c:showSerName val="0"/>
          <c:showPercent val="0"/>
          <c:showBubbleSize val="0"/>
        </c:dLbls>
        <c:smooth val="0"/>
        <c:axId val="747685368"/>
        <c:axId val="747698328"/>
      </c:lineChart>
      <c:dateAx>
        <c:axId val="747685368"/>
        <c:scaling>
          <c:orientation val="minMax"/>
          <c:max val="46204"/>
        </c:scaling>
        <c:delete val="0"/>
        <c:axPos val="b"/>
        <c:title>
          <c:tx>
            <c:rich>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r>
                  <a:rPr lang="en-US" sz="1100">
                    <a:solidFill>
                      <a:schemeClr val="bg1"/>
                    </a:solidFill>
                  </a:rPr>
                  <a:t>Year</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he-IL"/>
            </a:p>
          </c:txPr>
        </c:title>
        <c:numFmt formatCode="yyyy"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e-IL"/>
          </a:p>
        </c:txPr>
        <c:crossAx val="747698328"/>
        <c:crosses val="autoZero"/>
        <c:auto val="1"/>
        <c:lblOffset val="100"/>
        <c:baseTimeUnit val="months"/>
        <c:majorUnit val="12"/>
        <c:majorTimeUnit val="months"/>
      </c:dateAx>
      <c:valAx>
        <c:axId val="7476983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1100" b="1" i="0" u="none" strike="noStrike" kern="1200" baseline="0">
                    <a:solidFill>
                      <a:schemeClr val="bg1"/>
                    </a:solidFill>
                    <a:latin typeface="+mn-lt"/>
                    <a:ea typeface="+mn-ea"/>
                    <a:cs typeface="+mn-cs"/>
                  </a:defRPr>
                </a:pPr>
                <a:r>
                  <a:rPr lang="en-US" sz="1100">
                    <a:solidFill>
                      <a:schemeClr val="bg1"/>
                    </a:solidFill>
                  </a:rPr>
                  <a:t>Cumulative Growth</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he-I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e-IL"/>
          </a:p>
        </c:txPr>
        <c:crossAx val="74768536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Train vs Test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he-IL"/>
        </a:p>
      </c:txPr>
    </c:title>
    <c:autoTitleDeleted val="0"/>
    <c:plotArea>
      <c:layout/>
      <c:lineChart>
        <c:grouping val="standard"/>
        <c:varyColors val="0"/>
        <c:ser>
          <c:idx val="0"/>
          <c:order val="0"/>
          <c:tx>
            <c:v>Train</c:v>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Out_of_Sample!$B$19:$B$150</c:f>
              <c:numCache>
                <c:formatCode>m/d/yyyy</c:formatCode>
                <c:ptCount val="132"/>
                <c:pt idx="0">
                  <c:v>42036</c:v>
                </c:pt>
                <c:pt idx="1">
                  <c:v>42064</c:v>
                </c:pt>
                <c:pt idx="2">
                  <c:v>42095</c:v>
                </c:pt>
                <c:pt idx="3">
                  <c:v>42125</c:v>
                </c:pt>
                <c:pt idx="4">
                  <c:v>42156</c:v>
                </c:pt>
                <c:pt idx="5">
                  <c:v>42186</c:v>
                </c:pt>
                <c:pt idx="6">
                  <c:v>42217</c:v>
                </c:pt>
                <c:pt idx="7">
                  <c:v>42248</c:v>
                </c:pt>
                <c:pt idx="8">
                  <c:v>42278</c:v>
                </c:pt>
                <c:pt idx="9">
                  <c:v>42309</c:v>
                </c:pt>
                <c:pt idx="10">
                  <c:v>42339</c:v>
                </c:pt>
                <c:pt idx="11">
                  <c:v>42370</c:v>
                </c:pt>
                <c:pt idx="12">
                  <c:v>42401</c:v>
                </c:pt>
                <c:pt idx="13">
                  <c:v>42430</c:v>
                </c:pt>
                <c:pt idx="14">
                  <c:v>42461</c:v>
                </c:pt>
                <c:pt idx="15">
                  <c:v>42491</c:v>
                </c:pt>
                <c:pt idx="16">
                  <c:v>42522</c:v>
                </c:pt>
                <c:pt idx="17">
                  <c:v>42552</c:v>
                </c:pt>
                <c:pt idx="18">
                  <c:v>42583</c:v>
                </c:pt>
                <c:pt idx="19">
                  <c:v>42614</c:v>
                </c:pt>
                <c:pt idx="20">
                  <c:v>42644</c:v>
                </c:pt>
                <c:pt idx="21">
                  <c:v>42675</c:v>
                </c:pt>
                <c:pt idx="22">
                  <c:v>42705</c:v>
                </c:pt>
                <c:pt idx="23">
                  <c:v>42736</c:v>
                </c:pt>
                <c:pt idx="24">
                  <c:v>42767</c:v>
                </c:pt>
                <c:pt idx="25">
                  <c:v>42795</c:v>
                </c:pt>
                <c:pt idx="26">
                  <c:v>42826</c:v>
                </c:pt>
                <c:pt idx="27">
                  <c:v>42856</c:v>
                </c:pt>
                <c:pt idx="28">
                  <c:v>42887</c:v>
                </c:pt>
                <c:pt idx="29">
                  <c:v>42917</c:v>
                </c:pt>
                <c:pt idx="30">
                  <c:v>42948</c:v>
                </c:pt>
                <c:pt idx="31">
                  <c:v>42979</c:v>
                </c:pt>
                <c:pt idx="32">
                  <c:v>43009</c:v>
                </c:pt>
                <c:pt idx="33">
                  <c:v>43040</c:v>
                </c:pt>
                <c:pt idx="34">
                  <c:v>43070</c:v>
                </c:pt>
                <c:pt idx="35">
                  <c:v>43101</c:v>
                </c:pt>
                <c:pt idx="36">
                  <c:v>43132</c:v>
                </c:pt>
                <c:pt idx="37">
                  <c:v>43160</c:v>
                </c:pt>
                <c:pt idx="38">
                  <c:v>43191</c:v>
                </c:pt>
                <c:pt idx="39">
                  <c:v>43221</c:v>
                </c:pt>
                <c:pt idx="40">
                  <c:v>43252</c:v>
                </c:pt>
                <c:pt idx="41">
                  <c:v>43282</c:v>
                </c:pt>
                <c:pt idx="42">
                  <c:v>43313</c:v>
                </c:pt>
                <c:pt idx="43">
                  <c:v>43344</c:v>
                </c:pt>
                <c:pt idx="44">
                  <c:v>43374</c:v>
                </c:pt>
                <c:pt idx="45">
                  <c:v>43405</c:v>
                </c:pt>
                <c:pt idx="46">
                  <c:v>43435</c:v>
                </c:pt>
                <c:pt idx="47">
                  <c:v>43466</c:v>
                </c:pt>
                <c:pt idx="48">
                  <c:v>43497</c:v>
                </c:pt>
                <c:pt idx="49">
                  <c:v>43525</c:v>
                </c:pt>
                <c:pt idx="50">
                  <c:v>43556</c:v>
                </c:pt>
                <c:pt idx="51">
                  <c:v>43586</c:v>
                </c:pt>
                <c:pt idx="52">
                  <c:v>43617</c:v>
                </c:pt>
                <c:pt idx="53">
                  <c:v>43647</c:v>
                </c:pt>
                <c:pt idx="54">
                  <c:v>43678</c:v>
                </c:pt>
                <c:pt idx="55">
                  <c:v>43709</c:v>
                </c:pt>
                <c:pt idx="56">
                  <c:v>43739</c:v>
                </c:pt>
                <c:pt idx="57">
                  <c:v>43770</c:v>
                </c:pt>
                <c:pt idx="58">
                  <c:v>43800</c:v>
                </c:pt>
                <c:pt idx="59">
                  <c:v>43831</c:v>
                </c:pt>
                <c:pt idx="60">
                  <c:v>43862</c:v>
                </c:pt>
                <c:pt idx="61">
                  <c:v>43891</c:v>
                </c:pt>
                <c:pt idx="62">
                  <c:v>43922</c:v>
                </c:pt>
                <c:pt idx="63">
                  <c:v>43952</c:v>
                </c:pt>
                <c:pt idx="64">
                  <c:v>43983</c:v>
                </c:pt>
                <c:pt idx="65">
                  <c:v>44013</c:v>
                </c:pt>
                <c:pt idx="66">
                  <c:v>44044</c:v>
                </c:pt>
                <c:pt idx="67">
                  <c:v>44075</c:v>
                </c:pt>
                <c:pt idx="68">
                  <c:v>44105</c:v>
                </c:pt>
                <c:pt idx="69">
                  <c:v>44136</c:v>
                </c:pt>
                <c:pt idx="70">
                  <c:v>44166</c:v>
                </c:pt>
                <c:pt idx="71">
                  <c:v>44197</c:v>
                </c:pt>
                <c:pt idx="72">
                  <c:v>44228</c:v>
                </c:pt>
                <c:pt idx="73">
                  <c:v>44256</c:v>
                </c:pt>
                <c:pt idx="74">
                  <c:v>44287</c:v>
                </c:pt>
                <c:pt idx="75">
                  <c:v>44317</c:v>
                </c:pt>
                <c:pt idx="76">
                  <c:v>44348</c:v>
                </c:pt>
                <c:pt idx="77">
                  <c:v>44378</c:v>
                </c:pt>
                <c:pt idx="78">
                  <c:v>44409</c:v>
                </c:pt>
                <c:pt idx="79">
                  <c:v>44440</c:v>
                </c:pt>
                <c:pt idx="80">
                  <c:v>44470</c:v>
                </c:pt>
                <c:pt idx="81">
                  <c:v>44501</c:v>
                </c:pt>
                <c:pt idx="82">
                  <c:v>44531</c:v>
                </c:pt>
                <c:pt idx="83">
                  <c:v>44562</c:v>
                </c:pt>
                <c:pt idx="84">
                  <c:v>44593</c:v>
                </c:pt>
                <c:pt idx="85">
                  <c:v>44621</c:v>
                </c:pt>
                <c:pt idx="86">
                  <c:v>44652</c:v>
                </c:pt>
                <c:pt idx="87">
                  <c:v>44682</c:v>
                </c:pt>
                <c:pt idx="88">
                  <c:v>44713</c:v>
                </c:pt>
                <c:pt idx="89">
                  <c:v>44743</c:v>
                </c:pt>
                <c:pt idx="90">
                  <c:v>44774</c:v>
                </c:pt>
                <c:pt idx="91">
                  <c:v>44805</c:v>
                </c:pt>
                <c:pt idx="92">
                  <c:v>44835</c:v>
                </c:pt>
                <c:pt idx="93">
                  <c:v>44866</c:v>
                </c:pt>
                <c:pt idx="94">
                  <c:v>44896</c:v>
                </c:pt>
                <c:pt idx="95">
                  <c:v>44927</c:v>
                </c:pt>
                <c:pt idx="96">
                  <c:v>44958</c:v>
                </c:pt>
                <c:pt idx="97">
                  <c:v>44986</c:v>
                </c:pt>
                <c:pt idx="98">
                  <c:v>45017</c:v>
                </c:pt>
                <c:pt idx="99">
                  <c:v>45047</c:v>
                </c:pt>
                <c:pt idx="100">
                  <c:v>45078</c:v>
                </c:pt>
                <c:pt idx="101">
                  <c:v>45108</c:v>
                </c:pt>
                <c:pt idx="102">
                  <c:v>45139</c:v>
                </c:pt>
                <c:pt idx="103">
                  <c:v>45170</c:v>
                </c:pt>
                <c:pt idx="104">
                  <c:v>45200</c:v>
                </c:pt>
                <c:pt idx="105">
                  <c:v>45231</c:v>
                </c:pt>
                <c:pt idx="106">
                  <c:v>45261</c:v>
                </c:pt>
                <c:pt idx="107">
                  <c:v>45292</c:v>
                </c:pt>
                <c:pt idx="108">
                  <c:v>45323</c:v>
                </c:pt>
                <c:pt idx="109">
                  <c:v>45352</c:v>
                </c:pt>
                <c:pt idx="110">
                  <c:v>45383</c:v>
                </c:pt>
                <c:pt idx="111">
                  <c:v>45413</c:v>
                </c:pt>
                <c:pt idx="112">
                  <c:v>45444</c:v>
                </c:pt>
                <c:pt idx="113">
                  <c:v>45474</c:v>
                </c:pt>
                <c:pt idx="114">
                  <c:v>45505</c:v>
                </c:pt>
                <c:pt idx="115">
                  <c:v>45536</c:v>
                </c:pt>
                <c:pt idx="116">
                  <c:v>45566</c:v>
                </c:pt>
                <c:pt idx="117">
                  <c:v>45597</c:v>
                </c:pt>
                <c:pt idx="118">
                  <c:v>45627</c:v>
                </c:pt>
                <c:pt idx="119">
                  <c:v>45658</c:v>
                </c:pt>
                <c:pt idx="120">
                  <c:v>45689</c:v>
                </c:pt>
                <c:pt idx="121">
                  <c:v>45717</c:v>
                </c:pt>
                <c:pt idx="122">
                  <c:v>45748</c:v>
                </c:pt>
                <c:pt idx="123">
                  <c:v>45778</c:v>
                </c:pt>
                <c:pt idx="124">
                  <c:v>45809</c:v>
                </c:pt>
                <c:pt idx="125">
                  <c:v>45839</c:v>
                </c:pt>
                <c:pt idx="126">
                  <c:v>45870</c:v>
                </c:pt>
                <c:pt idx="127">
                  <c:v>45901</c:v>
                </c:pt>
                <c:pt idx="128">
                  <c:v>45931</c:v>
                </c:pt>
                <c:pt idx="129">
                  <c:v>45962</c:v>
                </c:pt>
                <c:pt idx="130">
                  <c:v>45992</c:v>
                </c:pt>
                <c:pt idx="131">
                  <c:v>46023</c:v>
                </c:pt>
              </c:numCache>
            </c:numRef>
          </c:cat>
          <c:val>
            <c:numRef>
              <c:f>Out_of_Sample!$H$19:$H$150</c:f>
              <c:numCache>
                <c:formatCode>General</c:formatCode>
                <c:ptCount val="132"/>
                <c:pt idx="0">
                  <c:v>1.053187883742839</c:v>
                </c:pt>
                <c:pt idx="1">
                  <c:v>1.024764871997434</c:v>
                </c:pt>
                <c:pt idx="2">
                  <c:v>1.0417438802821308</c:v>
                </c:pt>
                <c:pt idx="3">
                  <c:v>1.0523535417303584</c:v>
                </c:pt>
                <c:pt idx="4">
                  <c:v>1.0230048810225345</c:v>
                </c:pt>
                <c:pt idx="5">
                  <c:v>1.0175811525056671</c:v>
                </c:pt>
                <c:pt idx="6">
                  <c:v>1.0007260179507751</c:v>
                </c:pt>
                <c:pt idx="7">
                  <c:v>0.99686849951500933</c:v>
                </c:pt>
                <c:pt idx="8">
                  <c:v>1.074596687879275</c:v>
                </c:pt>
                <c:pt idx="9">
                  <c:v>1.082331137974248</c:v>
                </c:pt>
                <c:pt idx="10">
                  <c:v>1.0801852644119863</c:v>
                </c:pt>
                <c:pt idx="11">
                  <c:v>1.040604372502939</c:v>
                </c:pt>
                <c:pt idx="12">
                  <c:v>1.0636520865103902</c:v>
                </c:pt>
                <c:pt idx="13">
                  <c:v>1.1268045730511709</c:v>
                </c:pt>
                <c:pt idx="14">
                  <c:v>1.1373186375036535</c:v>
                </c:pt>
                <c:pt idx="15">
                  <c:v>1.1954550505606123</c:v>
                </c:pt>
                <c:pt idx="16">
                  <c:v>1.211537265552485</c:v>
                </c:pt>
                <c:pt idx="17">
                  <c:v>1.2872943860014749</c:v>
                </c:pt>
                <c:pt idx="18">
                  <c:v>1.3072892834356413</c:v>
                </c:pt>
                <c:pt idx="19">
                  <c:v>1.3372673018282009</c:v>
                </c:pt>
                <c:pt idx="20">
                  <c:v>1.3304148253045178</c:v>
                </c:pt>
                <c:pt idx="21">
                  <c:v>1.3938714331501807</c:v>
                </c:pt>
                <c:pt idx="22">
                  <c:v>1.4422424087510912</c:v>
                </c:pt>
                <c:pt idx="23">
                  <c:v>1.4847203279763221</c:v>
                </c:pt>
                <c:pt idx="24">
                  <c:v>1.5216467157133284</c:v>
                </c:pt>
                <c:pt idx="25">
                  <c:v>1.5351807967932736</c:v>
                </c:pt>
                <c:pt idx="26">
                  <c:v>1.5361638467478977</c:v>
                </c:pt>
                <c:pt idx="27">
                  <c:v>1.6346930216962312</c:v>
                </c:pt>
                <c:pt idx="28">
                  <c:v>1.6376537415569272</c:v>
                </c:pt>
                <c:pt idx="29">
                  <c:v>1.7047875446510141</c:v>
                </c:pt>
                <c:pt idx="30">
                  <c:v>1.7411271908873942</c:v>
                </c:pt>
                <c:pt idx="31">
                  <c:v>1.7590438486371602</c:v>
                </c:pt>
                <c:pt idx="32">
                  <c:v>1.8298112900810806</c:v>
                </c:pt>
                <c:pt idx="33">
                  <c:v>1.8555475886796484</c:v>
                </c:pt>
                <c:pt idx="34">
                  <c:v>1.8653650607760466</c:v>
                </c:pt>
                <c:pt idx="35">
                  <c:v>2.0093167880331433</c:v>
                </c:pt>
                <c:pt idx="36">
                  <c:v>1.9548172618393378</c:v>
                </c:pt>
                <c:pt idx="37">
                  <c:v>1.9108266628972164</c:v>
                </c:pt>
                <c:pt idx="38">
                  <c:v>1.8828117500849115</c:v>
                </c:pt>
                <c:pt idx="39">
                  <c:v>1.9413846095177547</c:v>
                </c:pt>
                <c:pt idx="40">
                  <c:v>1.9126153367526393</c:v>
                </c:pt>
                <c:pt idx="41">
                  <c:v>1.9680548133012741</c:v>
                </c:pt>
                <c:pt idx="42">
                  <c:v>2.0471887315207176</c:v>
                </c:pt>
                <c:pt idx="43">
                  <c:v>2.0425789143916218</c:v>
                </c:pt>
                <c:pt idx="44">
                  <c:v>1.9109958626106001</c:v>
                </c:pt>
                <c:pt idx="45">
                  <c:v>1.8707363058776243</c:v>
                </c:pt>
                <c:pt idx="46">
                  <c:v>1.7362543413333569</c:v>
                </c:pt>
                <c:pt idx="47">
                  <c:v>1.8470427072039863</c:v>
                </c:pt>
                <c:pt idx="48">
                  <c:v>1.9079219716880593</c:v>
                </c:pt>
                <c:pt idx="49">
                  <c:v>1.9711523807387201</c:v>
                </c:pt>
                <c:pt idx="50">
                  <c:v>2.046330526693656</c:v>
                </c:pt>
                <c:pt idx="51">
                  <c:v>1.8862010192216963</c:v>
                </c:pt>
                <c:pt idx="52">
                  <c:v>2.0578086921867946</c:v>
                </c:pt>
                <c:pt idx="53">
                  <c:v>2.1062261060727083</c:v>
                </c:pt>
                <c:pt idx="54">
                  <c:v>2.1120411169455813</c:v>
                </c:pt>
                <c:pt idx="55">
                  <c:v>2.1451486649795846</c:v>
                </c:pt>
                <c:pt idx="56">
                  <c:v>2.247455573341441</c:v>
                </c:pt>
                <c:pt idx="57">
                  <c:v>2.3073661438003694</c:v>
                </c:pt>
                <c:pt idx="58">
                  <c:v>2.4026648523806573</c:v>
                </c:pt>
                <c:pt idx="59">
                  <c:v>2.4228666673815109</c:v>
                </c:pt>
                <c:pt idx="60">
                  <c:v>2.3371085225891632</c:v>
                </c:pt>
                <c:pt idx="61">
                  <c:v>2.1380389272752098</c:v>
                </c:pt>
                <c:pt idx="62">
                  <c:v>2.3545880970836865</c:v>
                </c:pt>
                <c:pt idx="63">
                  <c:v>2.5042604843445977</c:v>
                </c:pt>
                <c:pt idx="64">
                  <c:v>2.58212306509976</c:v>
                </c:pt>
                <c:pt idx="65">
                  <c:v>2.7815139994794595</c:v>
                </c:pt>
                <c:pt idx="66">
                  <c:v>3.0149212314808116</c:v>
                </c:pt>
                <c:pt idx="67">
                  <c:v>2.9270001256557889</c:v>
                </c:pt>
                <c:pt idx="68">
                  <c:v>2.8523247215843215</c:v>
                </c:pt>
                <c:pt idx="69">
                  <c:v>3.0617515315926052</c:v>
                </c:pt>
                <c:pt idx="70">
                  <c:v>3.1751453024277287</c:v>
                </c:pt>
                <c:pt idx="71">
                  <c:v>3.1201310937894986</c:v>
                </c:pt>
                <c:pt idx="72">
                  <c:v>3.1727116198069694</c:v>
                </c:pt>
                <c:pt idx="73">
                  <c:v>3.2329628081636113</c:v>
                </c:pt>
                <c:pt idx="74">
                  <c:v>3.3870692949490615</c:v>
                </c:pt>
                <c:pt idx="75">
                  <c:v>3.5117976761865246</c:v>
                </c:pt>
                <c:pt idx="76">
                  <c:v>3.617452392135847</c:v>
                </c:pt>
                <c:pt idx="77">
                  <c:v>3.6713438332823389</c:v>
                </c:pt>
                <c:pt idx="78">
                  <c:v>3.8219052118231494</c:v>
                </c:pt>
                <c:pt idx="79">
                  <c:v>3.6673092720909981</c:v>
                </c:pt>
                <c:pt idx="80">
                  <c:v>3.9438462346110725</c:v>
                </c:pt>
                <c:pt idx="81">
                  <c:v>4.0837283521611338</c:v>
                </c:pt>
                <c:pt idx="82">
                  <c:v>4.1637570965863144</c:v>
                </c:pt>
                <c:pt idx="83">
                  <c:v>3.9019428153492544</c:v>
                </c:pt>
                <c:pt idx="84">
                  <c:v>3.8585942089629879</c:v>
                </c:pt>
                <c:pt idx="85">
                  <c:v>3.964979245492791</c:v>
                </c:pt>
                <c:pt idx="86">
                  <c:v>3.5586167886139823</c:v>
                </c:pt>
                <c:pt idx="87">
                  <c:v>3.5449924990716011</c:v>
                </c:pt>
                <c:pt idx="88">
                  <c:v>3.2281195699546843</c:v>
                </c:pt>
                <c:pt idx="89">
                  <c:v>3.4490812628405716</c:v>
                </c:pt>
                <c:pt idx="90">
                  <c:v>3.2618780816516453</c:v>
                </c:pt>
                <c:pt idx="91">
                  <c:v>2.9391626973104894</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numCache>
            </c:numRef>
          </c:val>
          <c:smooth val="0"/>
          <c:extLst>
            <c:ext xmlns:c16="http://schemas.microsoft.com/office/drawing/2014/chart" uri="{C3380CC4-5D6E-409C-BE32-E72D297353CC}">
              <c16:uniqueId val="{00000000-DC31-463D-9DEB-855C8E243ECC}"/>
            </c:ext>
          </c:extLst>
        </c:ser>
        <c:ser>
          <c:idx val="1"/>
          <c:order val="1"/>
          <c:tx>
            <c:v>Test</c:v>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Out_of_Sample!$B$19:$B$150</c:f>
              <c:numCache>
                <c:formatCode>m/d/yyyy</c:formatCode>
                <c:ptCount val="132"/>
                <c:pt idx="0">
                  <c:v>42036</c:v>
                </c:pt>
                <c:pt idx="1">
                  <c:v>42064</c:v>
                </c:pt>
                <c:pt idx="2">
                  <c:v>42095</c:v>
                </c:pt>
                <c:pt idx="3">
                  <c:v>42125</c:v>
                </c:pt>
                <c:pt idx="4">
                  <c:v>42156</c:v>
                </c:pt>
                <c:pt idx="5">
                  <c:v>42186</c:v>
                </c:pt>
                <c:pt idx="6">
                  <c:v>42217</c:v>
                </c:pt>
                <c:pt idx="7">
                  <c:v>42248</c:v>
                </c:pt>
                <c:pt idx="8">
                  <c:v>42278</c:v>
                </c:pt>
                <c:pt idx="9">
                  <c:v>42309</c:v>
                </c:pt>
                <c:pt idx="10">
                  <c:v>42339</c:v>
                </c:pt>
                <c:pt idx="11">
                  <c:v>42370</c:v>
                </c:pt>
                <c:pt idx="12">
                  <c:v>42401</c:v>
                </c:pt>
                <c:pt idx="13">
                  <c:v>42430</c:v>
                </c:pt>
                <c:pt idx="14">
                  <c:v>42461</c:v>
                </c:pt>
                <c:pt idx="15">
                  <c:v>42491</c:v>
                </c:pt>
                <c:pt idx="16">
                  <c:v>42522</c:v>
                </c:pt>
                <c:pt idx="17">
                  <c:v>42552</c:v>
                </c:pt>
                <c:pt idx="18">
                  <c:v>42583</c:v>
                </c:pt>
                <c:pt idx="19">
                  <c:v>42614</c:v>
                </c:pt>
                <c:pt idx="20">
                  <c:v>42644</c:v>
                </c:pt>
                <c:pt idx="21">
                  <c:v>42675</c:v>
                </c:pt>
                <c:pt idx="22">
                  <c:v>42705</c:v>
                </c:pt>
                <c:pt idx="23">
                  <c:v>42736</c:v>
                </c:pt>
                <c:pt idx="24">
                  <c:v>42767</c:v>
                </c:pt>
                <c:pt idx="25">
                  <c:v>42795</c:v>
                </c:pt>
                <c:pt idx="26">
                  <c:v>42826</c:v>
                </c:pt>
                <c:pt idx="27">
                  <c:v>42856</c:v>
                </c:pt>
                <c:pt idx="28">
                  <c:v>42887</c:v>
                </c:pt>
                <c:pt idx="29">
                  <c:v>42917</c:v>
                </c:pt>
                <c:pt idx="30">
                  <c:v>42948</c:v>
                </c:pt>
                <c:pt idx="31">
                  <c:v>42979</c:v>
                </c:pt>
                <c:pt idx="32">
                  <c:v>43009</c:v>
                </c:pt>
                <c:pt idx="33">
                  <c:v>43040</c:v>
                </c:pt>
                <c:pt idx="34">
                  <c:v>43070</c:v>
                </c:pt>
                <c:pt idx="35">
                  <c:v>43101</c:v>
                </c:pt>
                <c:pt idx="36">
                  <c:v>43132</c:v>
                </c:pt>
                <c:pt idx="37">
                  <c:v>43160</c:v>
                </c:pt>
                <c:pt idx="38">
                  <c:v>43191</c:v>
                </c:pt>
                <c:pt idx="39">
                  <c:v>43221</c:v>
                </c:pt>
                <c:pt idx="40">
                  <c:v>43252</c:v>
                </c:pt>
                <c:pt idx="41">
                  <c:v>43282</c:v>
                </c:pt>
                <c:pt idx="42">
                  <c:v>43313</c:v>
                </c:pt>
                <c:pt idx="43">
                  <c:v>43344</c:v>
                </c:pt>
                <c:pt idx="44">
                  <c:v>43374</c:v>
                </c:pt>
                <c:pt idx="45">
                  <c:v>43405</c:v>
                </c:pt>
                <c:pt idx="46">
                  <c:v>43435</c:v>
                </c:pt>
                <c:pt idx="47">
                  <c:v>43466</c:v>
                </c:pt>
                <c:pt idx="48">
                  <c:v>43497</c:v>
                </c:pt>
                <c:pt idx="49">
                  <c:v>43525</c:v>
                </c:pt>
                <c:pt idx="50">
                  <c:v>43556</c:v>
                </c:pt>
                <c:pt idx="51">
                  <c:v>43586</c:v>
                </c:pt>
                <c:pt idx="52">
                  <c:v>43617</c:v>
                </c:pt>
                <c:pt idx="53">
                  <c:v>43647</c:v>
                </c:pt>
                <c:pt idx="54">
                  <c:v>43678</c:v>
                </c:pt>
                <c:pt idx="55">
                  <c:v>43709</c:v>
                </c:pt>
                <c:pt idx="56">
                  <c:v>43739</c:v>
                </c:pt>
                <c:pt idx="57">
                  <c:v>43770</c:v>
                </c:pt>
                <c:pt idx="58">
                  <c:v>43800</c:v>
                </c:pt>
                <c:pt idx="59">
                  <c:v>43831</c:v>
                </c:pt>
                <c:pt idx="60">
                  <c:v>43862</c:v>
                </c:pt>
                <c:pt idx="61">
                  <c:v>43891</c:v>
                </c:pt>
                <c:pt idx="62">
                  <c:v>43922</c:v>
                </c:pt>
                <c:pt idx="63">
                  <c:v>43952</c:v>
                </c:pt>
                <c:pt idx="64">
                  <c:v>43983</c:v>
                </c:pt>
                <c:pt idx="65">
                  <c:v>44013</c:v>
                </c:pt>
                <c:pt idx="66">
                  <c:v>44044</c:v>
                </c:pt>
                <c:pt idx="67">
                  <c:v>44075</c:v>
                </c:pt>
                <c:pt idx="68">
                  <c:v>44105</c:v>
                </c:pt>
                <c:pt idx="69">
                  <c:v>44136</c:v>
                </c:pt>
                <c:pt idx="70">
                  <c:v>44166</c:v>
                </c:pt>
                <c:pt idx="71">
                  <c:v>44197</c:v>
                </c:pt>
                <c:pt idx="72">
                  <c:v>44228</c:v>
                </c:pt>
                <c:pt idx="73">
                  <c:v>44256</c:v>
                </c:pt>
                <c:pt idx="74">
                  <c:v>44287</c:v>
                </c:pt>
                <c:pt idx="75">
                  <c:v>44317</c:v>
                </c:pt>
                <c:pt idx="76">
                  <c:v>44348</c:v>
                </c:pt>
                <c:pt idx="77">
                  <c:v>44378</c:v>
                </c:pt>
                <c:pt idx="78">
                  <c:v>44409</c:v>
                </c:pt>
                <c:pt idx="79">
                  <c:v>44440</c:v>
                </c:pt>
                <c:pt idx="80">
                  <c:v>44470</c:v>
                </c:pt>
                <c:pt idx="81">
                  <c:v>44501</c:v>
                </c:pt>
                <c:pt idx="82">
                  <c:v>44531</c:v>
                </c:pt>
                <c:pt idx="83">
                  <c:v>44562</c:v>
                </c:pt>
                <c:pt idx="84">
                  <c:v>44593</c:v>
                </c:pt>
                <c:pt idx="85">
                  <c:v>44621</c:v>
                </c:pt>
                <c:pt idx="86">
                  <c:v>44652</c:v>
                </c:pt>
                <c:pt idx="87">
                  <c:v>44682</c:v>
                </c:pt>
                <c:pt idx="88">
                  <c:v>44713</c:v>
                </c:pt>
                <c:pt idx="89">
                  <c:v>44743</c:v>
                </c:pt>
                <c:pt idx="90">
                  <c:v>44774</c:v>
                </c:pt>
                <c:pt idx="91">
                  <c:v>44805</c:v>
                </c:pt>
                <c:pt idx="92">
                  <c:v>44835</c:v>
                </c:pt>
                <c:pt idx="93">
                  <c:v>44866</c:v>
                </c:pt>
                <c:pt idx="94">
                  <c:v>44896</c:v>
                </c:pt>
                <c:pt idx="95">
                  <c:v>44927</c:v>
                </c:pt>
                <c:pt idx="96">
                  <c:v>44958</c:v>
                </c:pt>
                <c:pt idx="97">
                  <c:v>44986</c:v>
                </c:pt>
                <c:pt idx="98">
                  <c:v>45017</c:v>
                </c:pt>
                <c:pt idx="99">
                  <c:v>45047</c:v>
                </c:pt>
                <c:pt idx="100">
                  <c:v>45078</c:v>
                </c:pt>
                <c:pt idx="101">
                  <c:v>45108</c:v>
                </c:pt>
                <c:pt idx="102">
                  <c:v>45139</c:v>
                </c:pt>
                <c:pt idx="103">
                  <c:v>45170</c:v>
                </c:pt>
                <c:pt idx="104">
                  <c:v>45200</c:v>
                </c:pt>
                <c:pt idx="105">
                  <c:v>45231</c:v>
                </c:pt>
                <c:pt idx="106">
                  <c:v>45261</c:v>
                </c:pt>
                <c:pt idx="107">
                  <c:v>45292</c:v>
                </c:pt>
                <c:pt idx="108">
                  <c:v>45323</c:v>
                </c:pt>
                <c:pt idx="109">
                  <c:v>45352</c:v>
                </c:pt>
                <c:pt idx="110">
                  <c:v>45383</c:v>
                </c:pt>
                <c:pt idx="111">
                  <c:v>45413</c:v>
                </c:pt>
                <c:pt idx="112">
                  <c:v>45444</c:v>
                </c:pt>
                <c:pt idx="113">
                  <c:v>45474</c:v>
                </c:pt>
                <c:pt idx="114">
                  <c:v>45505</c:v>
                </c:pt>
                <c:pt idx="115">
                  <c:v>45536</c:v>
                </c:pt>
                <c:pt idx="116">
                  <c:v>45566</c:v>
                </c:pt>
                <c:pt idx="117">
                  <c:v>45597</c:v>
                </c:pt>
                <c:pt idx="118">
                  <c:v>45627</c:v>
                </c:pt>
                <c:pt idx="119">
                  <c:v>45658</c:v>
                </c:pt>
                <c:pt idx="120">
                  <c:v>45689</c:v>
                </c:pt>
                <c:pt idx="121">
                  <c:v>45717</c:v>
                </c:pt>
                <c:pt idx="122">
                  <c:v>45748</c:v>
                </c:pt>
                <c:pt idx="123">
                  <c:v>45778</c:v>
                </c:pt>
                <c:pt idx="124">
                  <c:v>45809</c:v>
                </c:pt>
                <c:pt idx="125">
                  <c:v>45839</c:v>
                </c:pt>
                <c:pt idx="126">
                  <c:v>45870</c:v>
                </c:pt>
                <c:pt idx="127">
                  <c:v>45901</c:v>
                </c:pt>
                <c:pt idx="128">
                  <c:v>45931</c:v>
                </c:pt>
                <c:pt idx="129">
                  <c:v>45962</c:v>
                </c:pt>
                <c:pt idx="130">
                  <c:v>45992</c:v>
                </c:pt>
                <c:pt idx="131">
                  <c:v>46023</c:v>
                </c:pt>
              </c:numCache>
            </c:numRef>
          </c:cat>
          <c:val>
            <c:numRef>
              <c:f>Out_of_Sample!$I$19:$I$150</c:f>
              <c:numCache>
                <c:formatCode>General</c:formatCode>
                <c:ptCount val="13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3.1552736225314932</c:v>
                </c:pt>
                <c:pt idx="93">
                  <c:v>3.4833882615225322</c:v>
                </c:pt>
                <c:pt idx="94">
                  <c:v>3.3252141061478833</c:v>
                </c:pt>
                <c:pt idx="95">
                  <c:v>3.6412886999102239</c:v>
                </c:pt>
                <c:pt idx="96">
                  <c:v>3.6736078762292008</c:v>
                </c:pt>
                <c:pt idx="97">
                  <c:v>3.9236901888113387</c:v>
                </c:pt>
                <c:pt idx="98">
                  <c:v>3.9916630321878768</c:v>
                </c:pt>
                <c:pt idx="99">
                  <c:v>4.2039823598907669</c:v>
                </c:pt>
                <c:pt idx="100">
                  <c:v>4.4263906971542806</c:v>
                </c:pt>
                <c:pt idx="101">
                  <c:v>4.6314142439450467</c:v>
                </c:pt>
                <c:pt idx="102">
                  <c:v>4.5744609447217464</c:v>
                </c:pt>
                <c:pt idx="103">
                  <c:v>4.3070706368447116</c:v>
                </c:pt>
                <c:pt idx="104">
                  <c:v>4.2831189678608563</c:v>
                </c:pt>
                <c:pt idx="105">
                  <c:v>4.662443523351957</c:v>
                </c:pt>
                <c:pt idx="106">
                  <c:v>4.8259988241249063</c:v>
                </c:pt>
                <c:pt idx="107">
                  <c:v>5.0647428715733112</c:v>
                </c:pt>
                <c:pt idx="108">
                  <c:v>5.4364015140661728</c:v>
                </c:pt>
                <c:pt idx="109">
                  <c:v>5.757699223940155</c:v>
                </c:pt>
                <c:pt idx="110">
                  <c:v>5.6195478252520106</c:v>
                </c:pt>
                <c:pt idx="111">
                  <c:v>6.0512223527946665</c:v>
                </c:pt>
                <c:pt idx="112">
                  <c:v>6.2798738877209859</c:v>
                </c:pt>
                <c:pt idx="113">
                  <c:v>6.327675630296639</c:v>
                </c:pt>
                <c:pt idx="114">
                  <c:v>6.5058681304986585</c:v>
                </c:pt>
                <c:pt idx="115">
                  <c:v>6.6124137869105368</c:v>
                </c:pt>
                <c:pt idx="116">
                  <c:v>6.7291458012100867</c:v>
                </c:pt>
                <c:pt idx="117">
                  <c:v>7.0393056403577585</c:v>
                </c:pt>
                <c:pt idx="118">
                  <c:v>6.8506959595690669</c:v>
                </c:pt>
                <c:pt idx="119">
                  <c:v>6.9559076022239266</c:v>
                </c:pt>
                <c:pt idx="120">
                  <c:v>7.0030920261297736</c:v>
                </c:pt>
                <c:pt idx="121">
                  <c:v>6.7306396750100141</c:v>
                </c:pt>
                <c:pt idx="122">
                  <c:v>6.783930090951019</c:v>
                </c:pt>
                <c:pt idx="123">
                  <c:v>7.3406903627641196</c:v>
                </c:pt>
                <c:pt idx="124">
                  <c:v>7.7630319846784266</c:v>
                </c:pt>
                <c:pt idx="125">
                  <c:v>7.962809295367185</c:v>
                </c:pt>
                <c:pt idx="126">
                  <c:v>8.1351924929792219</c:v>
                </c:pt>
                <c:pt idx="127">
                  <c:v>8.5990156983545063</c:v>
                </c:pt>
                <c:pt idx="128">
                  <c:v>8.8786620348802732</c:v>
                </c:pt>
                <c:pt idx="129">
                  <c:v>8.7361903848011533</c:v>
                </c:pt>
                <c:pt idx="130">
                  <c:v>8.8423732041478242</c:v>
                </c:pt>
                <c:pt idx="131">
                  <c:v>9.0225444821591037</c:v>
                </c:pt>
              </c:numCache>
            </c:numRef>
          </c:val>
          <c:smooth val="0"/>
          <c:extLst>
            <c:ext xmlns:c16="http://schemas.microsoft.com/office/drawing/2014/chart" uri="{C3380CC4-5D6E-409C-BE32-E72D297353CC}">
              <c16:uniqueId val="{00000001-DC31-463D-9DEB-855C8E243ECC}"/>
            </c:ext>
          </c:extLst>
        </c:ser>
        <c:dLbls>
          <c:showLegendKey val="0"/>
          <c:showVal val="0"/>
          <c:showCatName val="0"/>
          <c:showSerName val="0"/>
          <c:showPercent val="0"/>
          <c:showBubbleSize val="0"/>
        </c:dLbls>
        <c:smooth val="0"/>
        <c:axId val="821442440"/>
        <c:axId val="821448560"/>
      </c:lineChart>
      <c:dateAx>
        <c:axId val="821442440"/>
        <c:scaling>
          <c:orientation val="minMax"/>
          <c:max val="46204"/>
        </c:scaling>
        <c:delete val="0"/>
        <c:axPos val="b"/>
        <c:title>
          <c:tx>
            <c:rich>
              <a:bodyPr rot="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US" sz="1000">
                    <a:solidFill>
                      <a:schemeClr val="bg1"/>
                    </a:solidFill>
                  </a:rPr>
                  <a:t>Year</a:t>
                </a:r>
              </a:p>
            </c:rich>
          </c:tx>
          <c:overlay val="0"/>
          <c:spPr>
            <a:noFill/>
            <a:ln>
              <a:noFill/>
            </a:ln>
            <a:effectLst/>
          </c:spPr>
          <c:txPr>
            <a:bodyPr rot="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he-IL"/>
            </a:p>
          </c:txPr>
        </c:title>
        <c:numFmt formatCode="yyyy" sourceLinked="0"/>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e-IL"/>
          </a:p>
        </c:txPr>
        <c:crossAx val="821448560"/>
        <c:crosses val="autoZero"/>
        <c:auto val="1"/>
        <c:lblOffset val="100"/>
        <c:baseTimeUnit val="months"/>
        <c:majorUnit val="12"/>
        <c:majorTimeUnit val="months"/>
      </c:dateAx>
      <c:valAx>
        <c:axId val="8214485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US" sz="1000">
                    <a:solidFill>
                      <a:schemeClr val="bg1"/>
                    </a:solidFill>
                  </a:rPr>
                  <a:t>Cumulative Growth</a:t>
                </a:r>
              </a:p>
            </c:rich>
          </c:tx>
          <c:overlay val="0"/>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he-I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e-IL"/>
          </a:p>
        </c:txPr>
        <c:crossAx val="8214424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he-I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CAPM Regression: Portfolio vs Market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he-IL"/>
        </a:p>
      </c:txPr>
    </c:title>
    <c:autoTitleDeleted val="0"/>
    <c:plotArea>
      <c:layout/>
      <c:scatterChart>
        <c:scatterStyle val="lineMarker"/>
        <c:varyColors val="0"/>
        <c:ser>
          <c:idx val="0"/>
          <c:order val="0"/>
          <c:tx>
            <c:strRef>
              <c:f>CAPM!$G$3</c:f>
              <c:strCache>
                <c:ptCount val="1"/>
                <c:pt idx="0">
                  <c:v>SPY Excess Return</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1"/>
            <c:dispEq val="1"/>
            <c:trendlineLbl>
              <c:layout>
                <c:manualLayout>
                  <c:x val="-0.55885585132580218"/>
                  <c:y val="0.11184459350830379"/>
                </c:manualLayout>
              </c:layout>
              <c:tx>
                <c:rich>
                  <a:bodyPr rot="0" spcFirstLastPara="1" vertOverflow="ellipsis" vert="horz" wrap="square" anchor="ctr" anchorCtr="1"/>
                  <a:lstStyle/>
                  <a:p>
                    <a:pPr>
                      <a:defRPr sz="1000" b="0" i="0" u="none" strike="noStrike" kern="1200" baseline="0">
                        <a:solidFill>
                          <a:schemeClr val="lt1">
                            <a:lumMod val="75000"/>
                          </a:schemeClr>
                        </a:solidFill>
                        <a:latin typeface="+mn-lt"/>
                        <a:ea typeface="+mn-ea"/>
                        <a:cs typeface="+mn-cs"/>
                      </a:defRPr>
                    </a:pPr>
                    <a:r>
                      <a:rPr lang="he-IL" sz="1000"/>
                      <a:t>  0.9639</a:t>
                    </a:r>
                    <a:r>
                      <a:rPr lang="en-US" sz="1000"/>
                      <a:t>X </a:t>
                    </a:r>
                    <a:r>
                      <a:rPr lang="he-IL" sz="1000"/>
                      <a:t> + 0.0124</a:t>
                    </a:r>
                    <a:r>
                      <a:rPr lang="en-US" sz="1000"/>
                      <a:t>Y = </a:t>
                    </a:r>
                    <a:br>
                      <a:rPr lang="he-IL" sz="1000"/>
                    </a:br>
                    <a:r>
                      <a:rPr lang="he-IL" sz="1000"/>
                      <a:t>  </a:t>
                    </a:r>
                    <a:r>
                      <a:rPr lang="en-US" sz="1000"/>
                      <a:t>  </a:t>
                    </a:r>
                    <a:r>
                      <a:rPr lang="he-IL" sz="1000"/>
                      <a:t>0.824</a:t>
                    </a:r>
                    <a:r>
                      <a:rPr lang="en-US" sz="1000"/>
                      <a:t>=</a:t>
                    </a:r>
                    <a:r>
                      <a:rPr lang="he-IL" sz="1000"/>
                      <a:t>²</a:t>
                    </a:r>
                    <a:r>
                      <a:rPr lang="en-US" sz="1000"/>
                      <a:t>  </a:t>
                    </a:r>
                    <a:r>
                      <a:rPr lang="he-IL" sz="1000"/>
                      <a:t>R</a:t>
                    </a:r>
                  </a:p>
                </c:rich>
              </c:tx>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lt1">
                          <a:lumMod val="75000"/>
                        </a:schemeClr>
                      </a:solidFill>
                      <a:latin typeface="+mn-lt"/>
                      <a:ea typeface="+mn-ea"/>
                      <a:cs typeface="+mn-cs"/>
                    </a:defRPr>
                  </a:pPr>
                  <a:endParaRPr lang="he-IL"/>
                </a:p>
              </c:txPr>
            </c:trendlineLbl>
          </c:trendline>
          <c:trendline>
            <c:spPr>
              <a:ln w="19050" cap="rnd">
                <a:solidFill>
                  <a:schemeClr val="accent1"/>
                </a:solidFill>
                <a:prstDash val="sysDash"/>
              </a:ln>
              <a:effectLst/>
            </c:spPr>
            <c:trendlineType val="log"/>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e-IL"/>
                </a:p>
              </c:txPr>
            </c:trendlineLbl>
          </c:trendline>
          <c:xVal>
            <c:numRef>
              <c:f>CAPM!$G$4:$G$43</c:f>
              <c:numCache>
                <c:formatCode>General</c:formatCode>
                <c:ptCount val="40"/>
                <c:pt idx="0">
                  <c:v>7.7942214009742855E-2</c:v>
                </c:pt>
                <c:pt idx="1">
                  <c:v>5.2258184234829162E-2</c:v>
                </c:pt>
                <c:pt idx="2">
                  <c:v>-6.5269165358451092E-2</c:v>
                </c:pt>
                <c:pt idx="3">
                  <c:v>5.9553992451777692E-2</c:v>
                </c:pt>
                <c:pt idx="4">
                  <c:v>-2.8476021780489504E-2</c:v>
                </c:pt>
                <c:pt idx="5">
                  <c:v>2.9801477144635623E-2</c:v>
                </c:pt>
                <c:pt idx="6">
                  <c:v>1.2641653842709065E-2</c:v>
                </c:pt>
                <c:pt idx="7">
                  <c:v>1.2828280399746696E-3</c:v>
                </c:pt>
                <c:pt idx="8">
                  <c:v>5.7525826652307398E-2</c:v>
                </c:pt>
                <c:pt idx="9">
                  <c:v>2.9399927810864611E-2</c:v>
                </c:pt>
                <c:pt idx="10">
                  <c:v>-1.9585326605357646E-2</c:v>
                </c:pt>
                <c:pt idx="11">
                  <c:v>-5.4116057880907488E-2</c:v>
                </c:pt>
                <c:pt idx="12">
                  <c:v>-2.5041951280371823E-2</c:v>
                </c:pt>
                <c:pt idx="13">
                  <c:v>8.8010521281683379E-2</c:v>
                </c:pt>
                <c:pt idx="14">
                  <c:v>3.8099620216184592E-2</c:v>
                </c:pt>
                <c:pt idx="15">
                  <c:v>1.2593114669023096E-2</c:v>
                </c:pt>
                <c:pt idx="16">
                  <c:v>4.8853545394300944E-2</c:v>
                </c:pt>
                <c:pt idx="17">
                  <c:v>2.6169894504802414E-2</c:v>
                </c:pt>
                <c:pt idx="18">
                  <c:v>-4.3652984622835768E-2</c:v>
                </c:pt>
                <c:pt idx="19">
                  <c:v>4.7246371037358591E-2</c:v>
                </c:pt>
                <c:pt idx="20">
                  <c:v>2.8617668809374962E-2</c:v>
                </c:pt>
                <c:pt idx="21">
                  <c:v>8.7757402031039752E-3</c:v>
                </c:pt>
                <c:pt idx="22">
                  <c:v>2.0032255526709251E-2</c:v>
                </c:pt>
                <c:pt idx="23">
                  <c:v>1.4549153183839612E-2</c:v>
                </c:pt>
                <c:pt idx="24">
                  <c:v>-1.2256925079011029E-2</c:v>
                </c:pt>
                <c:pt idx="25">
                  <c:v>5.6300178202963812E-2</c:v>
                </c:pt>
                <c:pt idx="26">
                  <c:v>-3.0667164550659577E-2</c:v>
                </c:pt>
                <c:pt idx="27">
                  <c:v>2.352306852306859E-2</c:v>
                </c:pt>
                <c:pt idx="28">
                  <c:v>-1.6028159028724155E-2</c:v>
                </c:pt>
                <c:pt idx="29">
                  <c:v>-6.1884614090006375E-2</c:v>
                </c:pt>
                <c:pt idx="30">
                  <c:v>-1.2003491898913733E-2</c:v>
                </c:pt>
                <c:pt idx="31">
                  <c:v>5.9511547108113648E-2</c:v>
                </c:pt>
                <c:pt idx="32">
                  <c:v>4.495387886911336E-2</c:v>
                </c:pt>
                <c:pt idx="33">
                  <c:v>1.969814679938494E-2</c:v>
                </c:pt>
                <c:pt idx="34">
                  <c:v>1.7186221153440449E-2</c:v>
                </c:pt>
                <c:pt idx="35">
                  <c:v>2.9423817275146723E-2</c:v>
                </c:pt>
                <c:pt idx="36">
                  <c:v>2.0504067969617866E-2</c:v>
                </c:pt>
                <c:pt idx="37">
                  <c:v>-1.3833582578267954E-3</c:v>
                </c:pt>
                <c:pt idx="38">
                  <c:v>-5.4843744665076591E-3</c:v>
                </c:pt>
                <c:pt idx="39">
                  <c:v>1.0949867042077198E-2</c:v>
                </c:pt>
              </c:numCache>
            </c:numRef>
          </c:xVal>
          <c:yVal>
            <c:numRef>
              <c:f>CAPM!$F$4:$F$43</c:f>
              <c:numCache>
                <c:formatCode>General</c:formatCode>
                <c:ptCount val="40"/>
                <c:pt idx="0">
                  <c:v>7.0194724646838513E-2</c:v>
                </c:pt>
                <c:pt idx="1">
                  <c:v>0.10065594881576612</c:v>
                </c:pt>
                <c:pt idx="2">
                  <c:v>-4.8741465731848586E-2</c:v>
                </c:pt>
                <c:pt idx="3">
                  <c:v>9.1720574076105316E-2</c:v>
                </c:pt>
                <c:pt idx="4">
                  <c:v>5.5424189023445206E-3</c:v>
                </c:pt>
                <c:pt idx="5">
                  <c:v>6.4742063118297805E-2</c:v>
                </c:pt>
                <c:pt idx="6">
                  <c:v>1.3990369636479989E-2</c:v>
                </c:pt>
                <c:pt idx="7">
                  <c:v>4.9857360868756029E-2</c:v>
                </c:pt>
                <c:pt idx="8">
                  <c:v>4.957086992533416E-2</c:v>
                </c:pt>
                <c:pt idx="9">
                  <c:v>4.2985114543980157E-2</c:v>
                </c:pt>
                <c:pt idx="10">
                  <c:v>-1.5630505692242679E-2</c:v>
                </c:pt>
                <c:pt idx="11">
                  <c:v>-6.1786189551411616E-2</c:v>
                </c:pt>
                <c:pt idx="12">
                  <c:v>-8.8943447499933801E-3</c:v>
                </c:pt>
                <c:pt idx="13">
                  <c:v>8.5229360894268191E-2</c:v>
                </c:pt>
                <c:pt idx="14">
                  <c:v>3.174597646501149E-2</c:v>
                </c:pt>
                <c:pt idx="15">
                  <c:v>4.6137057387637494E-2</c:v>
                </c:pt>
                <c:pt idx="16">
                  <c:v>7.0048208813427285E-2</c:v>
                </c:pt>
                <c:pt idx="17">
                  <c:v>5.5767840309315246E-2</c:v>
                </c:pt>
                <c:pt idx="18">
                  <c:v>-2.7327535412128852E-2</c:v>
                </c:pt>
                <c:pt idx="19">
                  <c:v>7.3483261340509032E-2</c:v>
                </c:pt>
                <c:pt idx="20">
                  <c:v>3.4452674450816227E-2</c:v>
                </c:pt>
                <c:pt idx="21">
                  <c:v>4.278561973851033E-3</c:v>
                </c:pt>
                <c:pt idx="22">
                  <c:v>2.482748125533522E-2</c:v>
                </c:pt>
                <c:pt idx="23">
                  <c:v>1.3043521265425941E-2</c:v>
                </c:pt>
                <c:pt idx="24">
                  <c:v>1.4320131507391542E-2</c:v>
                </c:pt>
                <c:pt idx="25">
                  <c:v>4.2758674227551426E-2</c:v>
                </c:pt>
                <c:pt idx="26">
                  <c:v>-3.0127123861102726E-2</c:v>
                </c:pt>
                <c:pt idx="27">
                  <c:v>1.202447020601349E-2</c:v>
                </c:pt>
                <c:pt idx="28">
                  <c:v>3.4500264529238804E-3</c:v>
                </c:pt>
                <c:pt idx="29">
                  <c:v>-4.2237912925203902E-2</c:v>
                </c:pt>
                <c:pt idx="30">
                  <c:v>4.5842522921259003E-3</c:v>
                </c:pt>
                <c:pt idx="31">
                  <c:v>7.8737127940398721E-2</c:v>
                </c:pt>
                <c:pt idx="32">
                  <c:v>5.4200985789653877E-2</c:v>
                </c:pt>
                <c:pt idx="33">
                  <c:v>2.2401110513227011E-2</c:v>
                </c:pt>
                <c:pt idx="34">
                  <c:v>1.8315206926488119E-2</c:v>
                </c:pt>
                <c:pt idx="35">
                  <c:v>5.3681077299920929E-2</c:v>
                </c:pt>
                <c:pt idx="36">
                  <c:v>2.9187404659886083E-2</c:v>
                </c:pt>
                <c:pt idx="37">
                  <c:v>-1.9379855829562229E-2</c:v>
                </c:pt>
                <c:pt idx="38">
                  <c:v>8.8210285417698632E-3</c:v>
                </c:pt>
                <c:pt idx="39">
                  <c:v>1.7042562803550265E-2</c:v>
                </c:pt>
              </c:numCache>
            </c:numRef>
          </c:yVal>
          <c:smooth val="0"/>
          <c:extLst>
            <c:ext xmlns:c16="http://schemas.microsoft.com/office/drawing/2014/chart" uri="{C3380CC4-5D6E-409C-BE32-E72D297353CC}">
              <c16:uniqueId val="{00000000-2AE3-4FF9-983E-91ED4552BE63}"/>
            </c:ext>
          </c:extLst>
        </c:ser>
        <c:dLbls>
          <c:showLegendKey val="0"/>
          <c:showVal val="0"/>
          <c:showCatName val="0"/>
          <c:showSerName val="0"/>
          <c:showPercent val="0"/>
          <c:showBubbleSize val="0"/>
        </c:dLbls>
        <c:axId val="682732336"/>
        <c:axId val="682729456"/>
      </c:scatterChart>
      <c:valAx>
        <c:axId val="68273233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1000" b="1" i="0" u="none" strike="noStrike" kern="1200" cap="all" baseline="0">
                    <a:solidFill>
                      <a:schemeClr val="lt1">
                        <a:lumMod val="75000"/>
                      </a:schemeClr>
                    </a:solidFill>
                    <a:latin typeface="+mn-lt"/>
                    <a:ea typeface="+mn-ea"/>
                    <a:cs typeface="+mn-cs"/>
                  </a:defRPr>
                </a:pPr>
                <a:r>
                  <a:rPr lang="en-US" sz="1000"/>
                  <a:t>SPY Excess Return</a:t>
                </a:r>
              </a:p>
            </c:rich>
          </c:tx>
          <c:layout>
            <c:manualLayout>
              <c:xMode val="edge"/>
              <c:yMode val="edge"/>
              <c:x val="0.4746947320994595"/>
              <c:y val="0.93449881391834544"/>
            </c:manualLayout>
          </c:layout>
          <c:overlay val="0"/>
          <c:spPr>
            <a:noFill/>
            <a:ln>
              <a:noFill/>
            </a:ln>
            <a:effectLst/>
          </c:spPr>
          <c:txPr>
            <a:bodyPr rot="0" spcFirstLastPara="1" vertOverflow="ellipsis" vert="horz" wrap="square" anchor="ctr" anchorCtr="1"/>
            <a:lstStyle/>
            <a:p>
              <a:pPr>
                <a:defRPr sz="1000" b="1" i="0" u="none" strike="noStrike" kern="1200" cap="all" baseline="0">
                  <a:solidFill>
                    <a:schemeClr val="lt1">
                      <a:lumMod val="75000"/>
                    </a:schemeClr>
                  </a:solidFill>
                  <a:latin typeface="+mn-lt"/>
                  <a:ea typeface="+mn-ea"/>
                  <a:cs typeface="+mn-cs"/>
                </a:defRPr>
              </a:pPr>
              <a:endParaRPr lang="he-IL"/>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e-IL"/>
          </a:p>
        </c:txPr>
        <c:crossAx val="682729456"/>
        <c:crosses val="autoZero"/>
        <c:crossBetween val="midCat"/>
      </c:valAx>
      <c:valAx>
        <c:axId val="6827294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000" b="1" i="0" u="none" strike="noStrike" kern="1200" cap="all" baseline="0">
                    <a:solidFill>
                      <a:schemeClr val="lt1">
                        <a:lumMod val="75000"/>
                      </a:schemeClr>
                    </a:solidFill>
                    <a:latin typeface="+mn-lt"/>
                    <a:ea typeface="+mn-ea"/>
                    <a:cs typeface="+mn-cs"/>
                  </a:defRPr>
                </a:pPr>
                <a:r>
                  <a:rPr lang="en-US" sz="1000"/>
                  <a:t>Portfolio Excess Return</a:t>
                </a:r>
              </a:p>
            </c:rich>
          </c:tx>
          <c:layout>
            <c:manualLayout>
              <c:xMode val="edge"/>
              <c:yMode val="edge"/>
              <c:x val="8.1977107085984945E-3"/>
              <c:y val="0.22448161068745554"/>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chemeClr val="lt1">
                      <a:lumMod val="75000"/>
                    </a:schemeClr>
                  </a:solidFill>
                  <a:latin typeface="+mn-lt"/>
                  <a:ea typeface="+mn-ea"/>
                  <a:cs typeface="+mn-cs"/>
                </a:defRPr>
              </a:pPr>
              <a:endParaRPr lang="he-IL"/>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e-IL"/>
          </a:p>
        </c:txPr>
        <c:crossAx val="6827323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he-I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r>
              <a:rPr lang="en-US" sz="1600" b="1" i="0" u="none" strike="noStrike" cap="none" baseline="0"/>
              <a:t>CAPM Model Validation: Actual vs Predicted Excess Returns</a:t>
            </a:r>
            <a:endParaRPr lang="en-US" sz="1600"/>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v>Portfolio actual return</c:v>
          </c:tx>
          <c:spPr>
            <a:ln w="22225" cap="rnd">
              <a:solidFill>
                <a:schemeClr val="accent1"/>
              </a:solidFill>
            </a:ln>
            <a:effectLst>
              <a:glow rad="139700">
                <a:schemeClr val="accent1">
                  <a:satMod val="175000"/>
                  <a:alpha val="14000"/>
                </a:schemeClr>
              </a:glow>
            </a:effectLst>
          </c:spPr>
          <c:marker>
            <c:symbol val="none"/>
          </c:marker>
          <c:cat>
            <c:numRef>
              <c:f>CAPM!$B$4:$B$43</c:f>
              <c:numCache>
                <c:formatCode>m/d/yyyy</c:formatCode>
                <c:ptCount val="40"/>
                <c:pt idx="0">
                  <c:v>44835</c:v>
                </c:pt>
                <c:pt idx="1">
                  <c:v>44866</c:v>
                </c:pt>
                <c:pt idx="2">
                  <c:v>44896</c:v>
                </c:pt>
                <c:pt idx="3">
                  <c:v>44927</c:v>
                </c:pt>
                <c:pt idx="4">
                  <c:v>44958</c:v>
                </c:pt>
                <c:pt idx="5">
                  <c:v>44986</c:v>
                </c:pt>
                <c:pt idx="6">
                  <c:v>45017</c:v>
                </c:pt>
                <c:pt idx="7">
                  <c:v>45047</c:v>
                </c:pt>
                <c:pt idx="8">
                  <c:v>45078</c:v>
                </c:pt>
                <c:pt idx="9">
                  <c:v>45108</c:v>
                </c:pt>
                <c:pt idx="10">
                  <c:v>45139</c:v>
                </c:pt>
                <c:pt idx="11">
                  <c:v>45170</c:v>
                </c:pt>
                <c:pt idx="12">
                  <c:v>45200</c:v>
                </c:pt>
                <c:pt idx="13">
                  <c:v>45231</c:v>
                </c:pt>
                <c:pt idx="14">
                  <c:v>45261</c:v>
                </c:pt>
                <c:pt idx="15">
                  <c:v>45292</c:v>
                </c:pt>
                <c:pt idx="16">
                  <c:v>45323</c:v>
                </c:pt>
                <c:pt idx="17">
                  <c:v>45352</c:v>
                </c:pt>
                <c:pt idx="18">
                  <c:v>45383</c:v>
                </c:pt>
                <c:pt idx="19">
                  <c:v>45413</c:v>
                </c:pt>
                <c:pt idx="20">
                  <c:v>45444</c:v>
                </c:pt>
                <c:pt idx="21">
                  <c:v>45474</c:v>
                </c:pt>
                <c:pt idx="22">
                  <c:v>45505</c:v>
                </c:pt>
                <c:pt idx="23">
                  <c:v>45536</c:v>
                </c:pt>
                <c:pt idx="24">
                  <c:v>45566</c:v>
                </c:pt>
                <c:pt idx="25">
                  <c:v>45597</c:v>
                </c:pt>
                <c:pt idx="26">
                  <c:v>45627</c:v>
                </c:pt>
                <c:pt idx="27">
                  <c:v>45658</c:v>
                </c:pt>
                <c:pt idx="28">
                  <c:v>45689</c:v>
                </c:pt>
                <c:pt idx="29">
                  <c:v>45717</c:v>
                </c:pt>
                <c:pt idx="30">
                  <c:v>45748</c:v>
                </c:pt>
                <c:pt idx="31">
                  <c:v>45778</c:v>
                </c:pt>
                <c:pt idx="32">
                  <c:v>45809</c:v>
                </c:pt>
                <c:pt idx="33">
                  <c:v>45839</c:v>
                </c:pt>
                <c:pt idx="34">
                  <c:v>45870</c:v>
                </c:pt>
                <c:pt idx="35">
                  <c:v>45901</c:v>
                </c:pt>
                <c:pt idx="36">
                  <c:v>45931</c:v>
                </c:pt>
                <c:pt idx="37">
                  <c:v>45962</c:v>
                </c:pt>
                <c:pt idx="38">
                  <c:v>45992</c:v>
                </c:pt>
                <c:pt idx="39">
                  <c:v>46023</c:v>
                </c:pt>
              </c:numCache>
            </c:numRef>
          </c:cat>
          <c:val>
            <c:numRef>
              <c:f>CAPM!$F$4:$F$43</c:f>
              <c:numCache>
                <c:formatCode>General</c:formatCode>
                <c:ptCount val="40"/>
                <c:pt idx="0">
                  <c:v>7.0194724646838513E-2</c:v>
                </c:pt>
                <c:pt idx="1">
                  <c:v>0.10065594881576612</c:v>
                </c:pt>
                <c:pt idx="2">
                  <c:v>-4.8741465731848586E-2</c:v>
                </c:pt>
                <c:pt idx="3">
                  <c:v>9.1720574076105316E-2</c:v>
                </c:pt>
                <c:pt idx="4">
                  <c:v>5.5424189023445206E-3</c:v>
                </c:pt>
                <c:pt idx="5">
                  <c:v>6.4742063118297805E-2</c:v>
                </c:pt>
                <c:pt idx="6">
                  <c:v>1.3990369636479989E-2</c:v>
                </c:pt>
                <c:pt idx="7">
                  <c:v>4.9857360868756029E-2</c:v>
                </c:pt>
                <c:pt idx="8">
                  <c:v>4.957086992533416E-2</c:v>
                </c:pt>
                <c:pt idx="9">
                  <c:v>4.2985114543980157E-2</c:v>
                </c:pt>
                <c:pt idx="10">
                  <c:v>-1.5630505692242679E-2</c:v>
                </c:pt>
                <c:pt idx="11">
                  <c:v>-6.1786189551411616E-2</c:v>
                </c:pt>
                <c:pt idx="12">
                  <c:v>-8.8943447499933801E-3</c:v>
                </c:pt>
                <c:pt idx="13">
                  <c:v>8.5229360894268191E-2</c:v>
                </c:pt>
                <c:pt idx="14">
                  <c:v>3.174597646501149E-2</c:v>
                </c:pt>
                <c:pt idx="15">
                  <c:v>4.6137057387637494E-2</c:v>
                </c:pt>
                <c:pt idx="16">
                  <c:v>7.0048208813427285E-2</c:v>
                </c:pt>
                <c:pt idx="17">
                  <c:v>5.5767840309315246E-2</c:v>
                </c:pt>
                <c:pt idx="18">
                  <c:v>-2.7327535412128852E-2</c:v>
                </c:pt>
                <c:pt idx="19">
                  <c:v>7.3483261340509032E-2</c:v>
                </c:pt>
                <c:pt idx="20">
                  <c:v>3.4452674450816227E-2</c:v>
                </c:pt>
                <c:pt idx="21">
                  <c:v>4.278561973851033E-3</c:v>
                </c:pt>
                <c:pt idx="22">
                  <c:v>2.482748125533522E-2</c:v>
                </c:pt>
                <c:pt idx="23">
                  <c:v>1.3043521265425941E-2</c:v>
                </c:pt>
                <c:pt idx="24">
                  <c:v>1.4320131507391542E-2</c:v>
                </c:pt>
                <c:pt idx="25">
                  <c:v>4.2758674227551426E-2</c:v>
                </c:pt>
                <c:pt idx="26">
                  <c:v>-3.0127123861102726E-2</c:v>
                </c:pt>
                <c:pt idx="27">
                  <c:v>1.202447020601349E-2</c:v>
                </c:pt>
                <c:pt idx="28">
                  <c:v>3.4500264529238804E-3</c:v>
                </c:pt>
                <c:pt idx="29">
                  <c:v>-4.2237912925203902E-2</c:v>
                </c:pt>
                <c:pt idx="30">
                  <c:v>4.5842522921259003E-3</c:v>
                </c:pt>
                <c:pt idx="31">
                  <c:v>7.8737127940398721E-2</c:v>
                </c:pt>
                <c:pt idx="32">
                  <c:v>5.4200985789653877E-2</c:v>
                </c:pt>
                <c:pt idx="33">
                  <c:v>2.2401110513227011E-2</c:v>
                </c:pt>
                <c:pt idx="34">
                  <c:v>1.8315206926488119E-2</c:v>
                </c:pt>
                <c:pt idx="35">
                  <c:v>5.3681077299920929E-2</c:v>
                </c:pt>
                <c:pt idx="36">
                  <c:v>2.9187404659886083E-2</c:v>
                </c:pt>
                <c:pt idx="37">
                  <c:v>-1.9379855829562229E-2</c:v>
                </c:pt>
                <c:pt idx="38">
                  <c:v>8.8210285417698632E-3</c:v>
                </c:pt>
                <c:pt idx="39">
                  <c:v>1.7042562803550265E-2</c:v>
                </c:pt>
              </c:numCache>
            </c:numRef>
          </c:val>
          <c:smooth val="0"/>
          <c:extLst>
            <c:ext xmlns:c16="http://schemas.microsoft.com/office/drawing/2014/chart" uri="{C3380CC4-5D6E-409C-BE32-E72D297353CC}">
              <c16:uniqueId val="{00000000-3C3F-42CC-B182-F85F38CCC453}"/>
            </c:ext>
          </c:extLst>
        </c:ser>
        <c:ser>
          <c:idx val="1"/>
          <c:order val="1"/>
          <c:tx>
            <c:v>CAPM predicted return</c:v>
          </c:tx>
          <c:spPr>
            <a:ln w="22225" cap="rnd">
              <a:solidFill>
                <a:schemeClr val="accent2"/>
              </a:solidFill>
            </a:ln>
            <a:effectLst>
              <a:glow rad="139700">
                <a:schemeClr val="accent2">
                  <a:satMod val="175000"/>
                  <a:alpha val="14000"/>
                </a:schemeClr>
              </a:glow>
            </a:effectLst>
          </c:spPr>
          <c:marker>
            <c:symbol val="none"/>
          </c:marker>
          <c:cat>
            <c:numRef>
              <c:f>CAPM!$B$4:$B$43</c:f>
              <c:numCache>
                <c:formatCode>m/d/yyyy</c:formatCode>
                <c:ptCount val="40"/>
                <c:pt idx="0">
                  <c:v>44835</c:v>
                </c:pt>
                <c:pt idx="1">
                  <c:v>44866</c:v>
                </c:pt>
                <c:pt idx="2">
                  <c:v>44896</c:v>
                </c:pt>
                <c:pt idx="3">
                  <c:v>44927</c:v>
                </c:pt>
                <c:pt idx="4">
                  <c:v>44958</c:v>
                </c:pt>
                <c:pt idx="5">
                  <c:v>44986</c:v>
                </c:pt>
                <c:pt idx="6">
                  <c:v>45017</c:v>
                </c:pt>
                <c:pt idx="7">
                  <c:v>45047</c:v>
                </c:pt>
                <c:pt idx="8">
                  <c:v>45078</c:v>
                </c:pt>
                <c:pt idx="9">
                  <c:v>45108</c:v>
                </c:pt>
                <c:pt idx="10">
                  <c:v>45139</c:v>
                </c:pt>
                <c:pt idx="11">
                  <c:v>45170</c:v>
                </c:pt>
                <c:pt idx="12">
                  <c:v>45200</c:v>
                </c:pt>
                <c:pt idx="13">
                  <c:v>45231</c:v>
                </c:pt>
                <c:pt idx="14">
                  <c:v>45261</c:v>
                </c:pt>
                <c:pt idx="15">
                  <c:v>45292</c:v>
                </c:pt>
                <c:pt idx="16">
                  <c:v>45323</c:v>
                </c:pt>
                <c:pt idx="17">
                  <c:v>45352</c:v>
                </c:pt>
                <c:pt idx="18">
                  <c:v>45383</c:v>
                </c:pt>
                <c:pt idx="19">
                  <c:v>45413</c:v>
                </c:pt>
                <c:pt idx="20">
                  <c:v>45444</c:v>
                </c:pt>
                <c:pt idx="21">
                  <c:v>45474</c:v>
                </c:pt>
                <c:pt idx="22">
                  <c:v>45505</c:v>
                </c:pt>
                <c:pt idx="23">
                  <c:v>45536</c:v>
                </c:pt>
                <c:pt idx="24">
                  <c:v>45566</c:v>
                </c:pt>
                <c:pt idx="25">
                  <c:v>45597</c:v>
                </c:pt>
                <c:pt idx="26">
                  <c:v>45627</c:v>
                </c:pt>
                <c:pt idx="27">
                  <c:v>45658</c:v>
                </c:pt>
                <c:pt idx="28">
                  <c:v>45689</c:v>
                </c:pt>
                <c:pt idx="29">
                  <c:v>45717</c:v>
                </c:pt>
                <c:pt idx="30">
                  <c:v>45748</c:v>
                </c:pt>
                <c:pt idx="31">
                  <c:v>45778</c:v>
                </c:pt>
                <c:pt idx="32">
                  <c:v>45809</c:v>
                </c:pt>
                <c:pt idx="33">
                  <c:v>45839</c:v>
                </c:pt>
                <c:pt idx="34">
                  <c:v>45870</c:v>
                </c:pt>
                <c:pt idx="35">
                  <c:v>45901</c:v>
                </c:pt>
                <c:pt idx="36">
                  <c:v>45931</c:v>
                </c:pt>
                <c:pt idx="37">
                  <c:v>45962</c:v>
                </c:pt>
                <c:pt idx="38">
                  <c:v>45992</c:v>
                </c:pt>
                <c:pt idx="39">
                  <c:v>46023</c:v>
                </c:pt>
              </c:numCache>
            </c:numRef>
          </c:cat>
          <c:val>
            <c:numRef>
              <c:f>CAPM!$H$4:$H$43</c:f>
              <c:numCache>
                <c:formatCode>General</c:formatCode>
                <c:ptCount val="40"/>
                <c:pt idx="0">
                  <c:v>8.7486053547253723E-2</c:v>
                </c:pt>
                <c:pt idx="1">
                  <c:v>6.2729369162268012E-2</c:v>
                </c:pt>
                <c:pt idx="2">
                  <c:v>-5.0554547963797401E-2</c:v>
                </c:pt>
                <c:pt idx="3">
                  <c:v>6.9761755549578475E-2</c:v>
                </c:pt>
                <c:pt idx="4">
                  <c:v>-1.5089854491874333E-2</c:v>
                </c:pt>
                <c:pt idx="5">
                  <c:v>4.1083482024222094E-2</c:v>
                </c:pt>
                <c:pt idx="6">
                  <c:v>2.4543229839852909E-2</c:v>
                </c:pt>
                <c:pt idx="7">
                  <c:v>1.3594524833406063E-2</c:v>
                </c:pt>
                <c:pt idx="8">
                  <c:v>6.7806818531597354E-2</c:v>
                </c:pt>
                <c:pt idx="9">
                  <c:v>4.0696430996470995E-2</c:v>
                </c:pt>
                <c:pt idx="10">
                  <c:v>-6.5201659989558049E-3</c:v>
                </c:pt>
                <c:pt idx="11">
                  <c:v>-3.9804133634225976E-2</c:v>
                </c:pt>
                <c:pt idx="12">
                  <c:v>-1.177977424853802E-2</c:v>
                </c:pt>
                <c:pt idx="13">
                  <c:v>9.719083537498488E-2</c:v>
                </c:pt>
                <c:pt idx="14">
                  <c:v>4.9082013049304749E-2</c:v>
                </c:pt>
                <c:pt idx="15">
                  <c:v>2.4496443217434914E-2</c:v>
                </c:pt>
                <c:pt idx="16">
                  <c:v>5.9447657921528556E-2</c:v>
                </c:pt>
                <c:pt idx="17">
                  <c:v>3.7583020997652282E-2</c:v>
                </c:pt>
                <c:pt idx="18">
                  <c:v>-2.9718839207411828E-2</c:v>
                </c:pt>
                <c:pt idx="19">
                  <c:v>5.7898512064933787E-2</c:v>
                </c:pt>
                <c:pt idx="20">
                  <c:v>3.9942416171814904E-2</c:v>
                </c:pt>
                <c:pt idx="21">
                  <c:v>2.0816898548616264E-2</c:v>
                </c:pt>
                <c:pt idx="22">
                  <c:v>3.1666987089373211E-2</c:v>
                </c:pt>
                <c:pt idx="23">
                  <c:v>2.6381857172354355E-2</c:v>
                </c:pt>
                <c:pt idx="24">
                  <c:v>5.4363688650166039E-4</c:v>
                </c:pt>
                <c:pt idx="25">
                  <c:v>6.6625423240700171E-2</c:v>
                </c:pt>
                <c:pt idx="26">
                  <c:v>-1.7201884047942161E-2</c:v>
                </c:pt>
                <c:pt idx="27">
                  <c:v>3.5031761089218211E-2</c:v>
                </c:pt>
                <c:pt idx="28">
                  <c:v>-3.0914332116564365E-3</c:v>
                </c:pt>
                <c:pt idx="29">
                  <c:v>-4.729219901497593E-2</c:v>
                </c:pt>
                <c:pt idx="30">
                  <c:v>7.8791962979921429E-4</c:v>
                </c:pt>
                <c:pt idx="31">
                  <c:v>6.9720842733875035E-2</c:v>
                </c:pt>
                <c:pt idx="32">
                  <c:v>5.5688792423519401E-2</c:v>
                </c:pt>
                <c:pt idx="33">
                  <c:v>3.1344941663280598E-2</c:v>
                </c:pt>
                <c:pt idx="34">
                  <c:v>2.8923711390609806E-2</c:v>
                </c:pt>
                <c:pt idx="35">
                  <c:v>4.0719457909791902E-2</c:v>
                </c:pt>
                <c:pt idx="36">
                  <c:v>3.2121764312432119E-2</c:v>
                </c:pt>
                <c:pt idx="37">
                  <c:v>1.1024603630826153E-2</c:v>
                </c:pt>
                <c:pt idx="38">
                  <c:v>7.071658363834301E-3</c:v>
                </c:pt>
                <c:pt idx="39">
                  <c:v>2.2912526549248718E-2</c:v>
                </c:pt>
              </c:numCache>
            </c:numRef>
          </c:val>
          <c:smooth val="0"/>
          <c:extLst>
            <c:ext xmlns:c16="http://schemas.microsoft.com/office/drawing/2014/chart" uri="{C3380CC4-5D6E-409C-BE32-E72D297353CC}">
              <c16:uniqueId val="{00000001-3C3F-42CC-B182-F85F38CCC453}"/>
            </c:ext>
          </c:extLst>
        </c:ser>
        <c:dLbls>
          <c:showLegendKey val="0"/>
          <c:showVal val="0"/>
          <c:showCatName val="0"/>
          <c:showSerName val="0"/>
          <c:showPercent val="0"/>
          <c:showBubbleSize val="0"/>
        </c:dLbls>
        <c:smooth val="0"/>
        <c:axId val="401224136"/>
        <c:axId val="401234576"/>
      </c:lineChart>
      <c:dateAx>
        <c:axId val="401224136"/>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r>
                  <a:rPr lang="en-US" sz="1050"/>
                  <a:t>Date</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he-IL"/>
            </a:p>
          </c:txPr>
        </c:title>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e-IL"/>
          </a:p>
        </c:txPr>
        <c:crossAx val="401234576"/>
        <c:crosses val="autoZero"/>
        <c:auto val="1"/>
        <c:lblOffset val="100"/>
        <c:baseTimeUnit val="months"/>
        <c:majorUnit val="3"/>
        <c:majorTimeUnit val="months"/>
      </c:dateAx>
      <c:valAx>
        <c:axId val="4012345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sz="1050"/>
                  <a:t>Excess Return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he-I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e-IL"/>
          </a:p>
        </c:txPr>
        <c:crossAx val="401224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a:t>
            </a:r>
            <a:r>
              <a:rPr lang="he-IL"/>
              <a:t>%</a:t>
            </a:r>
            <a:r>
              <a:rPr lang="en-US"/>
              <a:t> to Portfolio Return (Test Period)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lotArea>
      <c:layout/>
      <c:barChart>
        <c:barDir val="bar"/>
        <c:grouping val="clustered"/>
        <c:varyColors val="0"/>
        <c:ser>
          <c:idx val="0"/>
          <c:order val="0"/>
          <c:tx>
            <c:strRef>
              <c:f>Return_Attribution!$F$3</c:f>
              <c:strCache>
                <c:ptCount val="1"/>
                <c:pt idx="0">
                  <c:v>Contribution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Return_Attribution!$B$7:$B$13</c:f>
              <c:strCache>
                <c:ptCount val="7"/>
                <c:pt idx="0">
                  <c:v>PG</c:v>
                </c:pt>
                <c:pt idx="1">
                  <c:v>VXUS</c:v>
                </c:pt>
                <c:pt idx="2">
                  <c:v>JPM</c:v>
                </c:pt>
                <c:pt idx="3">
                  <c:v>VGT</c:v>
                </c:pt>
                <c:pt idx="4">
                  <c:v>SPY</c:v>
                </c:pt>
                <c:pt idx="5">
                  <c:v>GLD</c:v>
                </c:pt>
                <c:pt idx="6">
                  <c:v>NVDA</c:v>
                </c:pt>
              </c:strCache>
            </c:strRef>
          </c:cat>
          <c:val>
            <c:numRef>
              <c:f>Return_Attribution!$F$7:$F$13</c:f>
              <c:numCache>
                <c:formatCode>0.00%</c:formatCode>
                <c:ptCount val="7"/>
                <c:pt idx="0">
                  <c:v>1.8871570015196251E-2</c:v>
                </c:pt>
                <c:pt idx="1">
                  <c:v>2.5077237713879826E-2</c:v>
                </c:pt>
                <c:pt idx="2">
                  <c:v>0.10177228776640677</c:v>
                </c:pt>
                <c:pt idx="3">
                  <c:v>0.12381432051326718</c:v>
                </c:pt>
                <c:pt idx="4">
                  <c:v>0.14843295813709231</c:v>
                </c:pt>
                <c:pt idx="5">
                  <c:v>0.17914930863773149</c:v>
                </c:pt>
                <c:pt idx="6">
                  <c:v>0.40288231721642609</c:v>
                </c:pt>
              </c:numCache>
            </c:numRef>
          </c:val>
          <c:extLst>
            <c:ext xmlns:c16="http://schemas.microsoft.com/office/drawing/2014/chart" uri="{C3380CC4-5D6E-409C-BE32-E72D297353CC}">
              <c16:uniqueId val="{00000000-817B-4863-B0E3-9CF086493E24}"/>
            </c:ext>
          </c:extLst>
        </c:ser>
        <c:dLbls>
          <c:showLegendKey val="0"/>
          <c:showVal val="0"/>
          <c:showCatName val="0"/>
          <c:showSerName val="0"/>
          <c:showPercent val="0"/>
          <c:showBubbleSize val="0"/>
        </c:dLbls>
        <c:gapWidth val="130"/>
        <c:axId val="742584352"/>
        <c:axId val="742585792"/>
      </c:barChart>
      <c:catAx>
        <c:axId val="74258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742585792"/>
        <c:crosses val="autoZero"/>
        <c:auto val="1"/>
        <c:lblAlgn val="ctr"/>
        <c:lblOffset val="100"/>
        <c:noMultiLvlLbl val="0"/>
      </c:catAx>
      <c:valAx>
        <c:axId val="74258579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4258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Weight vs Risk Contribution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Risk_Contribution!$B$1</c:f>
              <c:strCache>
                <c:ptCount val="1"/>
                <c:pt idx="0">
                  <c:v>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e-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ullRef>
                    <c15:sqref>Risk_Contribution!$A$2:$A$11</c15:sqref>
                  </c15:fullRef>
                </c:ext>
              </c:extLst>
              <c:f>(Risk_Contribution!$A$2,Risk_Contribution!$A$4:$A$7,Risk_Contribution!$A$9,Risk_Contribution!$A$11)</c:f>
              <c:strCache>
                <c:ptCount val="7"/>
                <c:pt idx="0">
                  <c:v>GLD</c:v>
                </c:pt>
                <c:pt idx="1">
                  <c:v>SPY</c:v>
                </c:pt>
                <c:pt idx="2">
                  <c:v>JPM</c:v>
                </c:pt>
                <c:pt idx="3">
                  <c:v>NVDA</c:v>
                </c:pt>
                <c:pt idx="4">
                  <c:v>PG</c:v>
                </c:pt>
                <c:pt idx="5">
                  <c:v>VGT</c:v>
                </c:pt>
                <c:pt idx="6">
                  <c:v>VXUS</c:v>
                </c:pt>
              </c:strCache>
            </c:strRef>
          </c:cat>
          <c:val>
            <c:numRef>
              <c:extLst>
                <c:ext xmlns:c15="http://schemas.microsoft.com/office/drawing/2012/chart" uri="{02D57815-91ED-43cb-92C2-25804820EDAC}">
                  <c15:fullRef>
                    <c15:sqref>Risk_Contribution!$B$2:$B$11</c15:sqref>
                  </c15:fullRef>
                </c:ext>
              </c:extLst>
              <c:f>(Risk_Contribution!$B$2,Risk_Contribution!$B$4:$B$7,Risk_Contribution!$B$9,Risk_Contribution!$B$11)</c:f>
              <c:numCache>
                <c:formatCode>General</c:formatCode>
                <c:ptCount val="7"/>
                <c:pt idx="0">
                  <c:v>0.2</c:v>
                </c:pt>
                <c:pt idx="1">
                  <c:v>0.25</c:v>
                </c:pt>
                <c:pt idx="2">
                  <c:v>0.1</c:v>
                </c:pt>
                <c:pt idx="3">
                  <c:v>0.15</c:v>
                </c:pt>
                <c:pt idx="4">
                  <c:v>0.1</c:v>
                </c:pt>
                <c:pt idx="5">
                  <c:v>0.15</c:v>
                </c:pt>
                <c:pt idx="6">
                  <c:v>0.05</c:v>
                </c:pt>
              </c:numCache>
            </c:numRef>
          </c:val>
          <c:extLst>
            <c:ext xmlns:c16="http://schemas.microsoft.com/office/drawing/2014/chart" uri="{C3380CC4-5D6E-409C-BE32-E72D297353CC}">
              <c16:uniqueId val="{00000000-67CD-420A-BB35-815192D788CF}"/>
            </c:ext>
          </c:extLst>
        </c:ser>
        <c:ser>
          <c:idx val="1"/>
          <c:order val="1"/>
          <c:tx>
            <c:strRef>
              <c:f>Risk_Contribution!$D$1</c:f>
              <c:strCache>
                <c:ptCount val="1"/>
                <c:pt idx="0">
                  <c:v>Risk Contribution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e-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ullRef>
                    <c15:sqref>Risk_Contribution!$A$2:$A$11</c15:sqref>
                  </c15:fullRef>
                </c:ext>
              </c:extLst>
              <c:f>(Risk_Contribution!$A$2,Risk_Contribution!$A$4:$A$7,Risk_Contribution!$A$9,Risk_Contribution!$A$11)</c:f>
              <c:strCache>
                <c:ptCount val="7"/>
                <c:pt idx="0">
                  <c:v>GLD</c:v>
                </c:pt>
                <c:pt idx="1">
                  <c:v>SPY</c:v>
                </c:pt>
                <c:pt idx="2">
                  <c:v>JPM</c:v>
                </c:pt>
                <c:pt idx="3">
                  <c:v>NVDA</c:v>
                </c:pt>
                <c:pt idx="4">
                  <c:v>PG</c:v>
                </c:pt>
                <c:pt idx="5">
                  <c:v>VGT</c:v>
                </c:pt>
                <c:pt idx="6">
                  <c:v>VXUS</c:v>
                </c:pt>
              </c:strCache>
            </c:strRef>
          </c:cat>
          <c:val>
            <c:numRef>
              <c:extLst>
                <c:ext xmlns:c15="http://schemas.microsoft.com/office/drawing/2012/chart" uri="{02D57815-91ED-43cb-92C2-25804820EDAC}">
                  <c15:fullRef>
                    <c15:sqref>Risk_Contribution!$D$2:$D$11</c15:sqref>
                  </c15:fullRef>
                </c:ext>
              </c:extLst>
              <c:f>(Risk_Contribution!$D$2,Risk_Contribution!$D$4:$D$7,Risk_Contribution!$D$9,Risk_Contribution!$D$11)</c:f>
              <c:numCache>
                <c:formatCode>0%</c:formatCode>
                <c:ptCount val="7"/>
                <c:pt idx="0">
                  <c:v>3.7144492148861057E-2</c:v>
                </c:pt>
                <c:pt idx="1">
                  <c:v>0.23138129648936945</c:v>
                </c:pt>
                <c:pt idx="2">
                  <c:v>9.8534216207191536E-2</c:v>
                </c:pt>
                <c:pt idx="3">
                  <c:v>0.37756294301704363</c:v>
                </c:pt>
                <c:pt idx="4">
                  <c:v>3.5016788547601263E-2</c:v>
                </c:pt>
                <c:pt idx="5">
                  <c:v>0.18044083558760055</c:v>
                </c:pt>
                <c:pt idx="6">
                  <c:v>3.9919428002332481E-2</c:v>
                </c:pt>
              </c:numCache>
            </c:numRef>
          </c:val>
          <c:extLst>
            <c:ext xmlns:c16="http://schemas.microsoft.com/office/drawing/2014/chart" uri="{C3380CC4-5D6E-409C-BE32-E72D297353CC}">
              <c16:uniqueId val="{00000001-67CD-420A-BB35-815192D788CF}"/>
            </c:ext>
          </c:extLst>
        </c:ser>
        <c:dLbls>
          <c:showLegendKey val="0"/>
          <c:showVal val="0"/>
          <c:showCatName val="0"/>
          <c:showSerName val="0"/>
          <c:showPercent val="0"/>
          <c:showBubbleSize val="0"/>
        </c:dLbls>
        <c:gapWidth val="100"/>
        <c:overlap val="-24"/>
        <c:axId val="724613128"/>
        <c:axId val="724613848"/>
      </c:barChart>
      <c:catAx>
        <c:axId val="7246131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crossAx val="724613848"/>
        <c:crosses val="autoZero"/>
        <c:auto val="1"/>
        <c:lblAlgn val="ctr"/>
        <c:lblOffset val="100"/>
        <c:noMultiLvlLbl val="0"/>
      </c:catAx>
      <c:valAx>
        <c:axId val="72461384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crossAx val="724613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Portfolio Tail Risk: VaR vs CVaR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lotArea>
      <c:layout/>
      <c:barChart>
        <c:barDir val="col"/>
        <c:grouping val="clustered"/>
        <c:varyColors val="0"/>
        <c:ser>
          <c:idx val="2"/>
          <c:order val="0"/>
          <c:tx>
            <c:strRef>
              <c:f>VaR!$AC$6</c:f>
              <c:strCache>
                <c:ptCount val="1"/>
                <c:pt idx="0">
                  <c:v>CVaR</c:v>
                </c:pt>
              </c:strCache>
            </c:strRef>
          </c:tx>
          <c:spPr>
            <a:solidFill>
              <a:srgbClr val="FF0000">
                <a:alpha val="90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VaR!$AA$7:$AA$9</c:f>
              <c:numCache>
                <c:formatCode>0%</c:formatCode>
                <c:ptCount val="3"/>
                <c:pt idx="0">
                  <c:v>0.9</c:v>
                </c:pt>
                <c:pt idx="1">
                  <c:v>0.95</c:v>
                </c:pt>
                <c:pt idx="2">
                  <c:v>0.99</c:v>
                </c:pt>
              </c:numCache>
            </c:numRef>
          </c:cat>
          <c:val>
            <c:numRef>
              <c:f>VaR!$AC$7:$AC$9</c:f>
              <c:numCache>
                <c:formatCode>0.00%</c:formatCode>
                <c:ptCount val="3"/>
                <c:pt idx="0">
                  <c:v>-6.5984933512406849E-2</c:v>
                </c:pt>
                <c:pt idx="1">
                  <c:v>-8.5289794762596821E-2</c:v>
                </c:pt>
                <c:pt idx="2">
                  <c:v>-9.9893073032778751E-2</c:v>
                </c:pt>
              </c:numCache>
            </c:numRef>
          </c:val>
          <c:extLst>
            <c:ext xmlns:c16="http://schemas.microsoft.com/office/drawing/2014/chart" uri="{C3380CC4-5D6E-409C-BE32-E72D297353CC}">
              <c16:uniqueId val="{00000002-5208-4165-80EF-CADCA2A07D08}"/>
            </c:ext>
          </c:extLst>
        </c:ser>
        <c:ser>
          <c:idx val="0"/>
          <c:order val="1"/>
          <c:tx>
            <c:strRef>
              <c:f>VaR!$AB$6</c:f>
              <c:strCache>
                <c:ptCount val="1"/>
                <c:pt idx="0">
                  <c:v>VaR</c:v>
                </c:pt>
              </c:strCache>
            </c:strRef>
          </c:tx>
          <c:spPr>
            <a:solidFill>
              <a:srgbClr val="FB6161">
                <a:alpha val="89804"/>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e-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VaR!$AA$7:$AA$9</c:f>
              <c:numCache>
                <c:formatCode>0%</c:formatCode>
                <c:ptCount val="3"/>
                <c:pt idx="0">
                  <c:v>0.9</c:v>
                </c:pt>
                <c:pt idx="1">
                  <c:v>0.95</c:v>
                </c:pt>
                <c:pt idx="2">
                  <c:v>0.99</c:v>
                </c:pt>
              </c:numCache>
            </c:numRef>
          </c:cat>
          <c:val>
            <c:numRef>
              <c:f>VaR!$AB$7:$AB$9</c:f>
              <c:numCache>
                <c:formatCode>0.00%</c:formatCode>
                <c:ptCount val="3"/>
                <c:pt idx="0">
                  <c:v>-3.7716685480543168E-2</c:v>
                </c:pt>
                <c:pt idx="1">
                  <c:v>-6.1948556898446888E-2</c:v>
                </c:pt>
                <c:pt idx="2">
                  <c:v>-9.5452237071455587E-2</c:v>
                </c:pt>
              </c:numCache>
            </c:numRef>
          </c:val>
          <c:extLst>
            <c:ext xmlns:c16="http://schemas.microsoft.com/office/drawing/2014/chart" uri="{C3380CC4-5D6E-409C-BE32-E72D297353CC}">
              <c16:uniqueId val="{00000003-5208-4165-80EF-CADCA2A07D08}"/>
            </c:ext>
          </c:extLst>
        </c:ser>
        <c:dLbls>
          <c:dLblPos val="outEnd"/>
          <c:showLegendKey val="0"/>
          <c:showVal val="1"/>
          <c:showCatName val="0"/>
          <c:showSerName val="0"/>
          <c:showPercent val="0"/>
          <c:showBubbleSize val="0"/>
        </c:dLbls>
        <c:gapWidth val="219"/>
        <c:overlap val="-27"/>
        <c:axId val="639918832"/>
        <c:axId val="639931432"/>
      </c:barChart>
      <c:catAx>
        <c:axId val="639918832"/>
        <c:scaling>
          <c:orientation val="minMax"/>
        </c:scaling>
        <c:delete val="0"/>
        <c:axPos val="b"/>
        <c:numFmt formatCode="0%"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639931432"/>
        <c:crosses val="autoZero"/>
        <c:auto val="1"/>
        <c:lblAlgn val="ctr"/>
        <c:lblOffset val="100"/>
        <c:noMultiLvlLbl val="0"/>
      </c:catAx>
      <c:valAx>
        <c:axId val="639931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639918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he-IL"/>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 Drawdown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lotArea>
      <c:layout/>
      <c:areaChart>
        <c:grouping val="standard"/>
        <c:varyColors val="0"/>
        <c:ser>
          <c:idx val="0"/>
          <c:order val="0"/>
          <c:tx>
            <c:strRef>
              <c:f>Drawdown!$F$3</c:f>
              <c:strCache>
                <c:ptCount val="1"/>
                <c:pt idx="0">
                  <c:v>Drawdown</c:v>
                </c:pt>
              </c:strCache>
            </c:strRef>
          </c:tx>
          <c:spPr>
            <a:solidFill>
              <a:srgbClr val="FF0000">
                <a:alpha val="60000"/>
              </a:srgbClr>
            </a:solidFill>
            <a:ln w="12700">
              <a:solidFill>
                <a:srgbClr val="C00000"/>
              </a:solidFill>
            </a:ln>
            <a:effectLst/>
          </c:spPr>
          <c:cat>
            <c:numRef>
              <c:f>Drawdown!$B$4:$B$135</c:f>
              <c:numCache>
                <c:formatCode>m/d/yyyy</c:formatCode>
                <c:ptCount val="132"/>
                <c:pt idx="0">
                  <c:v>42036</c:v>
                </c:pt>
                <c:pt idx="1">
                  <c:v>42064</c:v>
                </c:pt>
                <c:pt idx="2">
                  <c:v>42095</c:v>
                </c:pt>
                <c:pt idx="3">
                  <c:v>42125</c:v>
                </c:pt>
                <c:pt idx="4">
                  <c:v>42156</c:v>
                </c:pt>
                <c:pt idx="5">
                  <c:v>42186</c:v>
                </c:pt>
                <c:pt idx="6">
                  <c:v>42217</c:v>
                </c:pt>
                <c:pt idx="7">
                  <c:v>42248</c:v>
                </c:pt>
                <c:pt idx="8">
                  <c:v>42278</c:v>
                </c:pt>
                <c:pt idx="9">
                  <c:v>42309</c:v>
                </c:pt>
                <c:pt idx="10">
                  <c:v>42339</c:v>
                </c:pt>
                <c:pt idx="11">
                  <c:v>42370</c:v>
                </c:pt>
                <c:pt idx="12">
                  <c:v>42401</c:v>
                </c:pt>
                <c:pt idx="13">
                  <c:v>42430</c:v>
                </c:pt>
                <c:pt idx="14">
                  <c:v>42461</c:v>
                </c:pt>
                <c:pt idx="15">
                  <c:v>42491</c:v>
                </c:pt>
                <c:pt idx="16">
                  <c:v>42522</c:v>
                </c:pt>
                <c:pt idx="17">
                  <c:v>42552</c:v>
                </c:pt>
                <c:pt idx="18">
                  <c:v>42583</c:v>
                </c:pt>
                <c:pt idx="19">
                  <c:v>42614</c:v>
                </c:pt>
                <c:pt idx="20">
                  <c:v>42644</c:v>
                </c:pt>
                <c:pt idx="21">
                  <c:v>42675</c:v>
                </c:pt>
                <c:pt idx="22">
                  <c:v>42705</c:v>
                </c:pt>
                <c:pt idx="23">
                  <c:v>42736</c:v>
                </c:pt>
                <c:pt idx="24">
                  <c:v>42767</c:v>
                </c:pt>
                <c:pt idx="25">
                  <c:v>42795</c:v>
                </c:pt>
                <c:pt idx="26">
                  <c:v>42826</c:v>
                </c:pt>
                <c:pt idx="27">
                  <c:v>42856</c:v>
                </c:pt>
                <c:pt idx="28">
                  <c:v>42887</c:v>
                </c:pt>
                <c:pt idx="29">
                  <c:v>42917</c:v>
                </c:pt>
                <c:pt idx="30">
                  <c:v>42948</c:v>
                </c:pt>
                <c:pt idx="31">
                  <c:v>42979</c:v>
                </c:pt>
                <c:pt idx="32">
                  <c:v>43009</c:v>
                </c:pt>
                <c:pt idx="33">
                  <c:v>43040</c:v>
                </c:pt>
                <c:pt idx="34">
                  <c:v>43070</c:v>
                </c:pt>
                <c:pt idx="35">
                  <c:v>43101</c:v>
                </c:pt>
                <c:pt idx="36">
                  <c:v>43132</c:v>
                </c:pt>
                <c:pt idx="37">
                  <c:v>43160</c:v>
                </c:pt>
                <c:pt idx="38">
                  <c:v>43191</c:v>
                </c:pt>
                <c:pt idx="39">
                  <c:v>43221</c:v>
                </c:pt>
                <c:pt idx="40">
                  <c:v>43252</c:v>
                </c:pt>
                <c:pt idx="41">
                  <c:v>43282</c:v>
                </c:pt>
                <c:pt idx="42">
                  <c:v>43313</c:v>
                </c:pt>
                <c:pt idx="43">
                  <c:v>43344</c:v>
                </c:pt>
                <c:pt idx="44">
                  <c:v>43374</c:v>
                </c:pt>
                <c:pt idx="45">
                  <c:v>43405</c:v>
                </c:pt>
                <c:pt idx="46">
                  <c:v>43435</c:v>
                </c:pt>
                <c:pt idx="47">
                  <c:v>43466</c:v>
                </c:pt>
                <c:pt idx="48">
                  <c:v>43497</c:v>
                </c:pt>
                <c:pt idx="49">
                  <c:v>43525</c:v>
                </c:pt>
                <c:pt idx="50">
                  <c:v>43556</c:v>
                </c:pt>
                <c:pt idx="51">
                  <c:v>43586</c:v>
                </c:pt>
                <c:pt idx="52">
                  <c:v>43617</c:v>
                </c:pt>
                <c:pt idx="53">
                  <c:v>43647</c:v>
                </c:pt>
                <c:pt idx="54">
                  <c:v>43678</c:v>
                </c:pt>
                <c:pt idx="55">
                  <c:v>43709</c:v>
                </c:pt>
                <c:pt idx="56">
                  <c:v>43739</c:v>
                </c:pt>
                <c:pt idx="57">
                  <c:v>43770</c:v>
                </c:pt>
                <c:pt idx="58">
                  <c:v>43800</c:v>
                </c:pt>
                <c:pt idx="59">
                  <c:v>43831</c:v>
                </c:pt>
                <c:pt idx="60">
                  <c:v>43862</c:v>
                </c:pt>
                <c:pt idx="61">
                  <c:v>43891</c:v>
                </c:pt>
                <c:pt idx="62">
                  <c:v>43922</c:v>
                </c:pt>
                <c:pt idx="63">
                  <c:v>43952</c:v>
                </c:pt>
                <c:pt idx="64">
                  <c:v>43983</c:v>
                </c:pt>
                <c:pt idx="65">
                  <c:v>44013</c:v>
                </c:pt>
                <c:pt idx="66">
                  <c:v>44044</c:v>
                </c:pt>
                <c:pt idx="67">
                  <c:v>44075</c:v>
                </c:pt>
                <c:pt idx="68">
                  <c:v>44105</c:v>
                </c:pt>
                <c:pt idx="69">
                  <c:v>44136</c:v>
                </c:pt>
                <c:pt idx="70">
                  <c:v>44166</c:v>
                </c:pt>
                <c:pt idx="71">
                  <c:v>44197</c:v>
                </c:pt>
                <c:pt idx="72">
                  <c:v>44228</c:v>
                </c:pt>
                <c:pt idx="73">
                  <c:v>44256</c:v>
                </c:pt>
                <c:pt idx="74">
                  <c:v>44287</c:v>
                </c:pt>
                <c:pt idx="75">
                  <c:v>44317</c:v>
                </c:pt>
                <c:pt idx="76">
                  <c:v>44348</c:v>
                </c:pt>
                <c:pt idx="77">
                  <c:v>44378</c:v>
                </c:pt>
                <c:pt idx="78">
                  <c:v>44409</c:v>
                </c:pt>
                <c:pt idx="79">
                  <c:v>44440</c:v>
                </c:pt>
                <c:pt idx="80">
                  <c:v>44470</c:v>
                </c:pt>
                <c:pt idx="81">
                  <c:v>44501</c:v>
                </c:pt>
                <c:pt idx="82">
                  <c:v>44531</c:v>
                </c:pt>
                <c:pt idx="83">
                  <c:v>44562</c:v>
                </c:pt>
                <c:pt idx="84">
                  <c:v>44593</c:v>
                </c:pt>
                <c:pt idx="85">
                  <c:v>44621</c:v>
                </c:pt>
                <c:pt idx="86">
                  <c:v>44652</c:v>
                </c:pt>
                <c:pt idx="87">
                  <c:v>44682</c:v>
                </c:pt>
                <c:pt idx="88">
                  <c:v>44713</c:v>
                </c:pt>
                <c:pt idx="89">
                  <c:v>44743</c:v>
                </c:pt>
                <c:pt idx="90">
                  <c:v>44774</c:v>
                </c:pt>
                <c:pt idx="91">
                  <c:v>44805</c:v>
                </c:pt>
                <c:pt idx="92">
                  <c:v>44835</c:v>
                </c:pt>
                <c:pt idx="93">
                  <c:v>44866</c:v>
                </c:pt>
                <c:pt idx="94">
                  <c:v>44896</c:v>
                </c:pt>
                <c:pt idx="95">
                  <c:v>44927</c:v>
                </c:pt>
                <c:pt idx="96">
                  <c:v>44958</c:v>
                </c:pt>
                <c:pt idx="97">
                  <c:v>44986</c:v>
                </c:pt>
                <c:pt idx="98">
                  <c:v>45017</c:v>
                </c:pt>
                <c:pt idx="99">
                  <c:v>45047</c:v>
                </c:pt>
                <c:pt idx="100">
                  <c:v>45078</c:v>
                </c:pt>
                <c:pt idx="101">
                  <c:v>45108</c:v>
                </c:pt>
                <c:pt idx="102">
                  <c:v>45139</c:v>
                </c:pt>
                <c:pt idx="103">
                  <c:v>45170</c:v>
                </c:pt>
                <c:pt idx="104">
                  <c:v>45200</c:v>
                </c:pt>
                <c:pt idx="105">
                  <c:v>45231</c:v>
                </c:pt>
                <c:pt idx="106">
                  <c:v>45261</c:v>
                </c:pt>
                <c:pt idx="107">
                  <c:v>45292</c:v>
                </c:pt>
                <c:pt idx="108">
                  <c:v>45323</c:v>
                </c:pt>
                <c:pt idx="109">
                  <c:v>45352</c:v>
                </c:pt>
                <c:pt idx="110">
                  <c:v>45383</c:v>
                </c:pt>
                <c:pt idx="111">
                  <c:v>45413</c:v>
                </c:pt>
                <c:pt idx="112">
                  <c:v>45444</c:v>
                </c:pt>
                <c:pt idx="113">
                  <c:v>45474</c:v>
                </c:pt>
                <c:pt idx="114">
                  <c:v>45505</c:v>
                </c:pt>
                <c:pt idx="115">
                  <c:v>45536</c:v>
                </c:pt>
                <c:pt idx="116">
                  <c:v>45566</c:v>
                </c:pt>
                <c:pt idx="117">
                  <c:v>45597</c:v>
                </c:pt>
                <c:pt idx="118">
                  <c:v>45627</c:v>
                </c:pt>
                <c:pt idx="119">
                  <c:v>45658</c:v>
                </c:pt>
                <c:pt idx="120">
                  <c:v>45689</c:v>
                </c:pt>
                <c:pt idx="121">
                  <c:v>45717</c:v>
                </c:pt>
                <c:pt idx="122">
                  <c:v>45748</c:v>
                </c:pt>
                <c:pt idx="123">
                  <c:v>45778</c:v>
                </c:pt>
                <c:pt idx="124">
                  <c:v>45809</c:v>
                </c:pt>
                <c:pt idx="125">
                  <c:v>45839</c:v>
                </c:pt>
                <c:pt idx="126">
                  <c:v>45870</c:v>
                </c:pt>
                <c:pt idx="127">
                  <c:v>45901</c:v>
                </c:pt>
                <c:pt idx="128">
                  <c:v>45931</c:v>
                </c:pt>
                <c:pt idx="129">
                  <c:v>45962</c:v>
                </c:pt>
                <c:pt idx="130">
                  <c:v>45992</c:v>
                </c:pt>
                <c:pt idx="131">
                  <c:v>46023</c:v>
                </c:pt>
              </c:numCache>
            </c:numRef>
          </c:cat>
          <c:val>
            <c:numRef>
              <c:f>Drawdown!$F$4:$F$135</c:f>
              <c:numCache>
                <c:formatCode>0.00%</c:formatCode>
                <c:ptCount val="132"/>
                <c:pt idx="0">
                  <c:v>0</c:v>
                </c:pt>
                <c:pt idx="1">
                  <c:v>-2.6987598480012531E-2</c:v>
                </c:pt>
                <c:pt idx="2">
                  <c:v>-1.0866060727119597E-2</c:v>
                </c:pt>
                <c:pt idx="3">
                  <c:v>-7.9220632749166242E-4</c:v>
                </c:pt>
                <c:pt idx="4">
                  <c:v>-2.8658706880330675E-2</c:v>
                </c:pt>
                <c:pt idx="5">
                  <c:v>-3.380852735807871E-2</c:v>
                </c:pt>
                <c:pt idx="6">
                  <c:v>-4.9812447200881405E-2</c:v>
                </c:pt>
                <c:pt idx="7">
                  <c:v>-5.3475153954730792E-2</c:v>
                </c:pt>
                <c:pt idx="8">
                  <c:v>0</c:v>
                </c:pt>
                <c:pt idx="9">
                  <c:v>0</c:v>
                </c:pt>
                <c:pt idx="10">
                  <c:v>-1.9826405005559655E-3</c:v>
                </c:pt>
                <c:pt idx="11">
                  <c:v>-3.8552679362191866E-2</c:v>
                </c:pt>
                <c:pt idx="12">
                  <c:v>-1.7258166738909231E-2</c:v>
                </c:pt>
                <c:pt idx="13">
                  <c:v>0</c:v>
                </c:pt>
                <c:pt idx="14">
                  <c:v>0</c:v>
                </c:pt>
                <c:pt idx="15">
                  <c:v>0</c:v>
                </c:pt>
                <c:pt idx="16">
                  <c:v>0</c:v>
                </c:pt>
                <c:pt idx="17">
                  <c:v>0</c:v>
                </c:pt>
                <c:pt idx="18">
                  <c:v>0</c:v>
                </c:pt>
                <c:pt idx="19">
                  <c:v>0</c:v>
                </c:pt>
                <c:pt idx="20">
                  <c:v>-5.1242384980904054E-3</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-2.7123411556963295E-2</c:v>
                </c:pt>
                <c:pt idx="37">
                  <c:v>-4.9016723297539144E-2</c:v>
                </c:pt>
                <c:pt idx="38">
                  <c:v>-6.2959230001923938E-2</c:v>
                </c:pt>
                <c:pt idx="39">
                  <c:v>-3.3808595406026209E-2</c:v>
                </c:pt>
                <c:pt idx="40">
                  <c:v>-4.8126533162736296E-2</c:v>
                </c:pt>
                <c:pt idx="41">
                  <c:v>-2.0535325723000875E-2</c:v>
                </c:pt>
                <c:pt idx="42">
                  <c:v>0</c:v>
                </c:pt>
                <c:pt idx="43">
                  <c:v>-2.2517792421937743E-3</c:v>
                </c:pt>
                <c:pt idx="44">
                  <c:v>-6.6526777278109628E-2</c:v>
                </c:pt>
                <c:pt idx="45">
                  <c:v>-8.6192554137321409E-2</c:v>
                </c:pt>
                <c:pt idx="46">
                  <c:v>-0.15188359775988491</c:v>
                </c:pt>
                <c:pt idx="47">
                  <c:v>-9.7766278698230735E-2</c:v>
                </c:pt>
                <c:pt idx="48">
                  <c:v>-6.8028295318554033E-2</c:v>
                </c:pt>
                <c:pt idx="49">
                  <c:v>-3.7141837145039158E-2</c:v>
                </c:pt>
                <c:pt idx="50">
                  <c:v>-4.1921140422696013E-4</c:v>
                </c:pt>
                <c:pt idx="51">
                  <c:v>-7.8638432125159863E-2</c:v>
                </c:pt>
                <c:pt idx="52">
                  <c:v>0</c:v>
                </c:pt>
                <c:pt idx="53">
                  <c:v>0</c:v>
                </c:pt>
                <c:pt idx="54">
                  <c:v>0</c:v>
                </c:pt>
                <c:pt idx="55">
                  <c:v>0</c:v>
                </c:pt>
                <c:pt idx="56">
                  <c:v>0</c:v>
                </c:pt>
                <c:pt idx="57">
                  <c:v>0</c:v>
                </c:pt>
                <c:pt idx="58">
                  <c:v>0</c:v>
                </c:pt>
                <c:pt idx="59">
                  <c:v>0</c:v>
                </c:pt>
                <c:pt idx="60">
                  <c:v>-3.5395321408939417E-2</c:v>
                </c:pt>
                <c:pt idx="61">
                  <c:v>-0.11755815660477631</c:v>
                </c:pt>
                <c:pt idx="62">
                  <c:v>-2.8180902521792173E-2</c:v>
                </c:pt>
                <c:pt idx="63">
                  <c:v>0</c:v>
                </c:pt>
                <c:pt idx="64">
                  <c:v>0</c:v>
                </c:pt>
                <c:pt idx="65">
                  <c:v>0</c:v>
                </c:pt>
                <c:pt idx="66">
                  <c:v>0</c:v>
                </c:pt>
                <c:pt idx="67">
                  <c:v>-2.9161990953694095E-2</c:v>
                </c:pt>
                <c:pt idx="68">
                  <c:v>-5.393059961991542E-2</c:v>
                </c:pt>
                <c:pt idx="69">
                  <c:v>0</c:v>
                </c:pt>
                <c:pt idx="70">
                  <c:v>0</c:v>
                </c:pt>
                <c:pt idx="71">
                  <c:v>-1.7326516882805731E-2</c:v>
                </c:pt>
                <c:pt idx="72">
                  <c:v>-7.6647932503937088E-4</c:v>
                </c:pt>
                <c:pt idx="73">
                  <c:v>0</c:v>
                </c:pt>
                <c:pt idx="74">
                  <c:v>0</c:v>
                </c:pt>
                <c:pt idx="75">
                  <c:v>0</c:v>
                </c:pt>
                <c:pt idx="76">
                  <c:v>0</c:v>
                </c:pt>
                <c:pt idx="77">
                  <c:v>0</c:v>
                </c:pt>
                <c:pt idx="78">
                  <c:v>0</c:v>
                </c:pt>
                <c:pt idx="79">
                  <c:v>-4.0449967038657997E-2</c:v>
                </c:pt>
                <c:pt idx="80">
                  <c:v>0</c:v>
                </c:pt>
                <c:pt idx="81">
                  <c:v>0</c:v>
                </c:pt>
                <c:pt idx="82">
                  <c:v>0</c:v>
                </c:pt>
                <c:pt idx="83">
                  <c:v>-6.2879335860719698E-2</c:v>
                </c:pt>
                <c:pt idx="84">
                  <c:v>-7.3290271264137008E-2</c:v>
                </c:pt>
                <c:pt idx="85">
                  <c:v>-4.774002079035522E-2</c:v>
                </c:pt>
                <c:pt idx="86">
                  <c:v>-0.1453351606881399</c:v>
                </c:pt>
                <c:pt idx="87">
                  <c:v>-0.14860727520099215</c:v>
                </c:pt>
                <c:pt idx="88">
                  <c:v>-0.2247099202842886</c:v>
                </c:pt>
                <c:pt idx="89">
                  <c:v>-0.17164205687236145</c:v>
                </c:pt>
                <c:pt idx="90">
                  <c:v>-0.21660221589707751</c:v>
                </c:pt>
                <c:pt idx="91">
                  <c:v>-0.29410803015585252</c:v>
                </c:pt>
                <c:pt idx="92">
                  <c:v>-0.24220516464875064</c:v>
                </c:pt>
                <c:pt idx="93">
                  <c:v>-0.1634026237962265</c:v>
                </c:pt>
                <c:pt idx="94">
                  <c:v>-0.20139094818846393</c:v>
                </c:pt>
                <c:pt idx="95">
                  <c:v>-0.12548003736456592</c:v>
                </c:pt>
                <c:pt idx="96">
                  <c:v>-0.11771801487736255</c:v>
                </c:pt>
                <c:pt idx="97">
                  <c:v>-5.7656318858345768E-2</c:v>
                </c:pt>
                <c:pt idx="98">
                  <c:v>-4.1331436901977825E-2</c:v>
                </c:pt>
                <c:pt idx="99">
                  <c:v>0</c:v>
                </c:pt>
                <c:pt idx="100">
                  <c:v>0</c:v>
                </c:pt>
                <c:pt idx="101">
                  <c:v>0</c:v>
                </c:pt>
                <c:pt idx="102">
                  <c:v>-1.2297172267483059E-2</c:v>
                </c:pt>
                <c:pt idx="103">
                  <c:v>-7.0031223632141204E-2</c:v>
                </c:pt>
                <c:pt idx="104">
                  <c:v>-7.5202790567200473E-2</c:v>
                </c:pt>
                <c:pt idx="105">
                  <c:v>0</c:v>
                </c:pt>
                <c:pt idx="106">
                  <c:v>0</c:v>
                </c:pt>
                <c:pt idx="107">
                  <c:v>0</c:v>
                </c:pt>
                <c:pt idx="108">
                  <c:v>0</c:v>
                </c:pt>
                <c:pt idx="109">
                  <c:v>0</c:v>
                </c:pt>
                <c:pt idx="110">
                  <c:v>-2.3994202025727662E-2</c:v>
                </c:pt>
                <c:pt idx="111">
                  <c:v>0</c:v>
                </c:pt>
                <c:pt idx="112">
                  <c:v>0</c:v>
                </c:pt>
                <c:pt idx="113">
                  <c:v>0</c:v>
                </c:pt>
                <c:pt idx="114">
                  <c:v>0</c:v>
                </c:pt>
                <c:pt idx="115">
                  <c:v>0</c:v>
                </c:pt>
                <c:pt idx="116">
                  <c:v>0</c:v>
                </c:pt>
                <c:pt idx="117">
                  <c:v>0</c:v>
                </c:pt>
                <c:pt idx="118">
                  <c:v>-2.6793790477993462E-2</c:v>
                </c:pt>
                <c:pt idx="119">
                  <c:v>-1.1847480847976377E-2</c:v>
                </c:pt>
                <c:pt idx="120">
                  <c:v>-5.1444867747068024E-3</c:v>
                </c:pt>
                <c:pt idx="121">
                  <c:v>-4.3848922181066508E-2</c:v>
                </c:pt>
                <c:pt idx="122">
                  <c:v>-3.6278514148268548E-2</c:v>
                </c:pt>
                <c:pt idx="123">
                  <c:v>0</c:v>
                </c:pt>
                <c:pt idx="124">
                  <c:v>0</c:v>
                </c:pt>
                <c:pt idx="125">
                  <c:v>0</c:v>
                </c:pt>
                <c:pt idx="126">
                  <c:v>0</c:v>
                </c:pt>
                <c:pt idx="127">
                  <c:v>0</c:v>
                </c:pt>
                <c:pt idx="128">
                  <c:v>0</c:v>
                </c:pt>
                <c:pt idx="129">
                  <c:v>-1.6046522504051808E-2</c:v>
                </c:pt>
                <c:pt idx="130">
                  <c:v>-4.0871959059700647E-3</c:v>
                </c:pt>
                <c:pt idx="131">
                  <c:v>0</c:v>
                </c:pt>
              </c:numCache>
            </c:numRef>
          </c:val>
          <c:extLst>
            <c:ext xmlns:c16="http://schemas.microsoft.com/office/drawing/2014/chart" uri="{C3380CC4-5D6E-409C-BE32-E72D297353CC}">
              <c16:uniqueId val="{00000000-7BA9-4BC0-8F42-463EE11F94B8}"/>
            </c:ext>
          </c:extLst>
        </c:ser>
        <c:dLbls>
          <c:showLegendKey val="0"/>
          <c:showVal val="0"/>
          <c:showCatName val="0"/>
          <c:showSerName val="0"/>
          <c:showPercent val="0"/>
          <c:showBubbleSize val="0"/>
        </c:dLbls>
        <c:axId val="625514248"/>
        <c:axId val="625516048"/>
      </c:areaChart>
      <c:dateAx>
        <c:axId val="625514248"/>
        <c:scaling>
          <c:orientation val="minMax"/>
        </c:scaling>
        <c:delete val="0"/>
        <c:axPos val="b"/>
        <c:numFmt formatCode="m/d/yy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625516048"/>
        <c:crosses val="autoZero"/>
        <c:auto val="1"/>
        <c:lblOffset val="100"/>
        <c:baseTimeUnit val="months"/>
        <c:majorUnit val="1"/>
        <c:majorTimeUnit val="years"/>
        <c:minorUnit val="1"/>
        <c:minorTimeUnit val="years"/>
      </c:dateAx>
      <c:valAx>
        <c:axId val="625516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625514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he-IL"/>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Portfolio vs SPY — Cumulative Growth (Full Sample)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he-IL"/>
        </a:p>
      </c:txPr>
    </c:title>
    <c:autoTitleDeleted val="0"/>
    <c:plotArea>
      <c:layout/>
      <c:lineChart>
        <c:grouping val="standard"/>
        <c:varyColors val="0"/>
        <c:ser>
          <c:idx val="0"/>
          <c:order val="0"/>
          <c:tx>
            <c:strRef>
              <c:f>Out_of_Sample!$F$17</c:f>
              <c:strCache>
                <c:ptCount val="1"/>
                <c:pt idx="0">
                  <c:v>Portfolio Cumulative</c:v>
                </c:pt>
              </c:strCache>
            </c:strRef>
          </c:tx>
          <c:spPr>
            <a:ln w="38100" cap="rnd">
              <a:solidFill>
                <a:srgbClr val="4B91D1"/>
              </a:solidFill>
              <a:round/>
            </a:ln>
            <a:effectLst/>
          </c:spPr>
          <c:marker>
            <c:symbol val="none"/>
          </c:marker>
          <c:cat>
            <c:numRef>
              <c:f>Out_of_Sample!$B$19:$B$150</c:f>
              <c:numCache>
                <c:formatCode>m/d/yyyy</c:formatCode>
                <c:ptCount val="132"/>
                <c:pt idx="0">
                  <c:v>42036</c:v>
                </c:pt>
                <c:pt idx="1">
                  <c:v>42064</c:v>
                </c:pt>
                <c:pt idx="2">
                  <c:v>42095</c:v>
                </c:pt>
                <c:pt idx="3">
                  <c:v>42125</c:v>
                </c:pt>
                <c:pt idx="4">
                  <c:v>42156</c:v>
                </c:pt>
                <c:pt idx="5">
                  <c:v>42186</c:v>
                </c:pt>
                <c:pt idx="6">
                  <c:v>42217</c:v>
                </c:pt>
                <c:pt idx="7">
                  <c:v>42248</c:v>
                </c:pt>
                <c:pt idx="8">
                  <c:v>42278</c:v>
                </c:pt>
                <c:pt idx="9">
                  <c:v>42309</c:v>
                </c:pt>
                <c:pt idx="10">
                  <c:v>42339</c:v>
                </c:pt>
                <c:pt idx="11">
                  <c:v>42370</c:v>
                </c:pt>
                <c:pt idx="12">
                  <c:v>42401</c:v>
                </c:pt>
                <c:pt idx="13">
                  <c:v>42430</c:v>
                </c:pt>
                <c:pt idx="14">
                  <c:v>42461</c:v>
                </c:pt>
                <c:pt idx="15">
                  <c:v>42491</c:v>
                </c:pt>
                <c:pt idx="16">
                  <c:v>42522</c:v>
                </c:pt>
                <c:pt idx="17">
                  <c:v>42552</c:v>
                </c:pt>
                <c:pt idx="18">
                  <c:v>42583</c:v>
                </c:pt>
                <c:pt idx="19">
                  <c:v>42614</c:v>
                </c:pt>
                <c:pt idx="20">
                  <c:v>42644</c:v>
                </c:pt>
                <c:pt idx="21">
                  <c:v>42675</c:v>
                </c:pt>
                <c:pt idx="22">
                  <c:v>42705</c:v>
                </c:pt>
                <c:pt idx="23">
                  <c:v>42736</c:v>
                </c:pt>
                <c:pt idx="24">
                  <c:v>42767</c:v>
                </c:pt>
                <c:pt idx="25">
                  <c:v>42795</c:v>
                </c:pt>
                <c:pt idx="26">
                  <c:v>42826</c:v>
                </c:pt>
                <c:pt idx="27">
                  <c:v>42856</c:v>
                </c:pt>
                <c:pt idx="28">
                  <c:v>42887</c:v>
                </c:pt>
                <c:pt idx="29">
                  <c:v>42917</c:v>
                </c:pt>
                <c:pt idx="30">
                  <c:v>42948</c:v>
                </c:pt>
                <c:pt idx="31">
                  <c:v>42979</c:v>
                </c:pt>
                <c:pt idx="32">
                  <c:v>43009</c:v>
                </c:pt>
                <c:pt idx="33">
                  <c:v>43040</c:v>
                </c:pt>
                <c:pt idx="34">
                  <c:v>43070</c:v>
                </c:pt>
                <c:pt idx="35">
                  <c:v>43101</c:v>
                </c:pt>
                <c:pt idx="36">
                  <c:v>43132</c:v>
                </c:pt>
                <c:pt idx="37">
                  <c:v>43160</c:v>
                </c:pt>
                <c:pt idx="38">
                  <c:v>43191</c:v>
                </c:pt>
                <c:pt idx="39">
                  <c:v>43221</c:v>
                </c:pt>
                <c:pt idx="40">
                  <c:v>43252</c:v>
                </c:pt>
                <c:pt idx="41">
                  <c:v>43282</c:v>
                </c:pt>
                <c:pt idx="42">
                  <c:v>43313</c:v>
                </c:pt>
                <c:pt idx="43">
                  <c:v>43344</c:v>
                </c:pt>
                <c:pt idx="44">
                  <c:v>43374</c:v>
                </c:pt>
                <c:pt idx="45">
                  <c:v>43405</c:v>
                </c:pt>
                <c:pt idx="46">
                  <c:v>43435</c:v>
                </c:pt>
                <c:pt idx="47">
                  <c:v>43466</c:v>
                </c:pt>
                <c:pt idx="48">
                  <c:v>43497</c:v>
                </c:pt>
                <c:pt idx="49">
                  <c:v>43525</c:v>
                </c:pt>
                <c:pt idx="50">
                  <c:v>43556</c:v>
                </c:pt>
                <c:pt idx="51">
                  <c:v>43586</c:v>
                </c:pt>
                <c:pt idx="52">
                  <c:v>43617</c:v>
                </c:pt>
                <c:pt idx="53">
                  <c:v>43647</c:v>
                </c:pt>
                <c:pt idx="54">
                  <c:v>43678</c:v>
                </c:pt>
                <c:pt idx="55">
                  <c:v>43709</c:v>
                </c:pt>
                <c:pt idx="56">
                  <c:v>43739</c:v>
                </c:pt>
                <c:pt idx="57">
                  <c:v>43770</c:v>
                </c:pt>
                <c:pt idx="58">
                  <c:v>43800</c:v>
                </c:pt>
                <c:pt idx="59">
                  <c:v>43831</c:v>
                </c:pt>
                <c:pt idx="60">
                  <c:v>43862</c:v>
                </c:pt>
                <c:pt idx="61">
                  <c:v>43891</c:v>
                </c:pt>
                <c:pt idx="62">
                  <c:v>43922</c:v>
                </c:pt>
                <c:pt idx="63">
                  <c:v>43952</c:v>
                </c:pt>
                <c:pt idx="64">
                  <c:v>43983</c:v>
                </c:pt>
                <c:pt idx="65">
                  <c:v>44013</c:v>
                </c:pt>
                <c:pt idx="66">
                  <c:v>44044</c:v>
                </c:pt>
                <c:pt idx="67">
                  <c:v>44075</c:v>
                </c:pt>
                <c:pt idx="68">
                  <c:v>44105</c:v>
                </c:pt>
                <c:pt idx="69">
                  <c:v>44136</c:v>
                </c:pt>
                <c:pt idx="70">
                  <c:v>44166</c:v>
                </c:pt>
                <c:pt idx="71">
                  <c:v>44197</c:v>
                </c:pt>
                <c:pt idx="72">
                  <c:v>44228</c:v>
                </c:pt>
                <c:pt idx="73">
                  <c:v>44256</c:v>
                </c:pt>
                <c:pt idx="74">
                  <c:v>44287</c:v>
                </c:pt>
                <c:pt idx="75">
                  <c:v>44317</c:v>
                </c:pt>
                <c:pt idx="76">
                  <c:v>44348</c:v>
                </c:pt>
                <c:pt idx="77">
                  <c:v>44378</c:v>
                </c:pt>
                <c:pt idx="78">
                  <c:v>44409</c:v>
                </c:pt>
                <c:pt idx="79">
                  <c:v>44440</c:v>
                </c:pt>
                <c:pt idx="80">
                  <c:v>44470</c:v>
                </c:pt>
                <c:pt idx="81">
                  <c:v>44501</c:v>
                </c:pt>
                <c:pt idx="82">
                  <c:v>44531</c:v>
                </c:pt>
                <c:pt idx="83">
                  <c:v>44562</c:v>
                </c:pt>
                <c:pt idx="84">
                  <c:v>44593</c:v>
                </c:pt>
                <c:pt idx="85">
                  <c:v>44621</c:v>
                </c:pt>
                <c:pt idx="86">
                  <c:v>44652</c:v>
                </c:pt>
                <c:pt idx="87">
                  <c:v>44682</c:v>
                </c:pt>
                <c:pt idx="88">
                  <c:v>44713</c:v>
                </c:pt>
                <c:pt idx="89">
                  <c:v>44743</c:v>
                </c:pt>
                <c:pt idx="90">
                  <c:v>44774</c:v>
                </c:pt>
                <c:pt idx="91">
                  <c:v>44805</c:v>
                </c:pt>
                <c:pt idx="92">
                  <c:v>44835</c:v>
                </c:pt>
                <c:pt idx="93">
                  <c:v>44866</c:v>
                </c:pt>
                <c:pt idx="94">
                  <c:v>44896</c:v>
                </c:pt>
                <c:pt idx="95">
                  <c:v>44927</c:v>
                </c:pt>
                <c:pt idx="96">
                  <c:v>44958</c:v>
                </c:pt>
                <c:pt idx="97">
                  <c:v>44986</c:v>
                </c:pt>
                <c:pt idx="98">
                  <c:v>45017</c:v>
                </c:pt>
                <c:pt idx="99">
                  <c:v>45047</c:v>
                </c:pt>
                <c:pt idx="100">
                  <c:v>45078</c:v>
                </c:pt>
                <c:pt idx="101">
                  <c:v>45108</c:v>
                </c:pt>
                <c:pt idx="102">
                  <c:v>45139</c:v>
                </c:pt>
                <c:pt idx="103">
                  <c:v>45170</c:v>
                </c:pt>
                <c:pt idx="104">
                  <c:v>45200</c:v>
                </c:pt>
                <c:pt idx="105">
                  <c:v>45231</c:v>
                </c:pt>
                <c:pt idx="106">
                  <c:v>45261</c:v>
                </c:pt>
                <c:pt idx="107">
                  <c:v>45292</c:v>
                </c:pt>
                <c:pt idx="108">
                  <c:v>45323</c:v>
                </c:pt>
                <c:pt idx="109">
                  <c:v>45352</c:v>
                </c:pt>
                <c:pt idx="110">
                  <c:v>45383</c:v>
                </c:pt>
                <c:pt idx="111">
                  <c:v>45413</c:v>
                </c:pt>
                <c:pt idx="112">
                  <c:v>45444</c:v>
                </c:pt>
                <c:pt idx="113">
                  <c:v>45474</c:v>
                </c:pt>
                <c:pt idx="114">
                  <c:v>45505</c:v>
                </c:pt>
                <c:pt idx="115">
                  <c:v>45536</c:v>
                </c:pt>
                <c:pt idx="116">
                  <c:v>45566</c:v>
                </c:pt>
                <c:pt idx="117">
                  <c:v>45597</c:v>
                </c:pt>
                <c:pt idx="118">
                  <c:v>45627</c:v>
                </c:pt>
                <c:pt idx="119">
                  <c:v>45658</c:v>
                </c:pt>
                <c:pt idx="120">
                  <c:v>45689</c:v>
                </c:pt>
                <c:pt idx="121">
                  <c:v>45717</c:v>
                </c:pt>
                <c:pt idx="122">
                  <c:v>45748</c:v>
                </c:pt>
                <c:pt idx="123">
                  <c:v>45778</c:v>
                </c:pt>
                <c:pt idx="124">
                  <c:v>45809</c:v>
                </c:pt>
                <c:pt idx="125">
                  <c:v>45839</c:v>
                </c:pt>
                <c:pt idx="126">
                  <c:v>45870</c:v>
                </c:pt>
                <c:pt idx="127">
                  <c:v>45901</c:v>
                </c:pt>
                <c:pt idx="128">
                  <c:v>45931</c:v>
                </c:pt>
                <c:pt idx="129">
                  <c:v>45962</c:v>
                </c:pt>
                <c:pt idx="130">
                  <c:v>45992</c:v>
                </c:pt>
                <c:pt idx="131">
                  <c:v>46023</c:v>
                </c:pt>
              </c:numCache>
            </c:numRef>
          </c:cat>
          <c:val>
            <c:numRef>
              <c:f>Out_of_Sample!$F$19:$F$150</c:f>
              <c:numCache>
                <c:formatCode>General</c:formatCode>
                <c:ptCount val="132"/>
                <c:pt idx="0">
                  <c:v>1.053187883742839</c:v>
                </c:pt>
                <c:pt idx="1">
                  <c:v>1.024764871997434</c:v>
                </c:pt>
                <c:pt idx="2">
                  <c:v>1.0417438802821308</c:v>
                </c:pt>
                <c:pt idx="3">
                  <c:v>1.0523535417303584</c:v>
                </c:pt>
                <c:pt idx="4">
                  <c:v>1.0230048810225345</c:v>
                </c:pt>
                <c:pt idx="5">
                  <c:v>1.0175811525056671</c:v>
                </c:pt>
                <c:pt idx="6">
                  <c:v>1.0007260179507751</c:v>
                </c:pt>
                <c:pt idx="7">
                  <c:v>0.99686849951500933</c:v>
                </c:pt>
                <c:pt idx="8">
                  <c:v>1.074596687879275</c:v>
                </c:pt>
                <c:pt idx="9">
                  <c:v>1.082331137974248</c:v>
                </c:pt>
                <c:pt idx="10">
                  <c:v>1.0801852644119863</c:v>
                </c:pt>
                <c:pt idx="11">
                  <c:v>1.040604372502939</c:v>
                </c:pt>
                <c:pt idx="12">
                  <c:v>1.0636520865103902</c:v>
                </c:pt>
                <c:pt idx="13">
                  <c:v>1.1268045730511709</c:v>
                </c:pt>
                <c:pt idx="14">
                  <c:v>1.1373186375036535</c:v>
                </c:pt>
                <c:pt idx="15">
                  <c:v>1.1954550505606123</c:v>
                </c:pt>
                <c:pt idx="16">
                  <c:v>1.211537265552485</c:v>
                </c:pt>
                <c:pt idx="17">
                  <c:v>1.2872943860014749</c:v>
                </c:pt>
                <c:pt idx="18">
                  <c:v>1.3072892834356413</c:v>
                </c:pt>
                <c:pt idx="19">
                  <c:v>1.3372673018282009</c:v>
                </c:pt>
                <c:pt idx="20">
                  <c:v>1.3304148253045178</c:v>
                </c:pt>
                <c:pt idx="21">
                  <c:v>1.3938714331501807</c:v>
                </c:pt>
                <c:pt idx="22">
                  <c:v>1.4422424087510912</c:v>
                </c:pt>
                <c:pt idx="23">
                  <c:v>1.4847203279763221</c:v>
                </c:pt>
                <c:pt idx="24">
                  <c:v>1.5216467157133284</c:v>
                </c:pt>
                <c:pt idx="25">
                  <c:v>1.5351807967932736</c:v>
                </c:pt>
                <c:pt idx="26">
                  <c:v>1.5361638467478977</c:v>
                </c:pt>
                <c:pt idx="27">
                  <c:v>1.6346930216962312</c:v>
                </c:pt>
                <c:pt idx="28">
                  <c:v>1.6376537415569272</c:v>
                </c:pt>
                <c:pt idx="29">
                  <c:v>1.7047875446510141</c:v>
                </c:pt>
                <c:pt idx="30">
                  <c:v>1.7411271908873942</c:v>
                </c:pt>
                <c:pt idx="31">
                  <c:v>1.7590438486371602</c:v>
                </c:pt>
                <c:pt idx="32">
                  <c:v>1.8298112900810806</c:v>
                </c:pt>
                <c:pt idx="33">
                  <c:v>1.8555475886796484</c:v>
                </c:pt>
                <c:pt idx="34">
                  <c:v>1.8653650607760466</c:v>
                </c:pt>
                <c:pt idx="35">
                  <c:v>2.0093167880331433</c:v>
                </c:pt>
                <c:pt idx="36">
                  <c:v>1.9548172618393378</c:v>
                </c:pt>
                <c:pt idx="37">
                  <c:v>1.9108266628972164</c:v>
                </c:pt>
                <c:pt idx="38">
                  <c:v>1.8828117500849115</c:v>
                </c:pt>
                <c:pt idx="39">
                  <c:v>1.9413846095177547</c:v>
                </c:pt>
                <c:pt idx="40">
                  <c:v>1.9126153367526393</c:v>
                </c:pt>
                <c:pt idx="41">
                  <c:v>1.9680548133012741</c:v>
                </c:pt>
                <c:pt idx="42">
                  <c:v>2.0471887315207176</c:v>
                </c:pt>
                <c:pt idx="43">
                  <c:v>2.0425789143916218</c:v>
                </c:pt>
                <c:pt idx="44">
                  <c:v>1.9109958626106001</c:v>
                </c:pt>
                <c:pt idx="45">
                  <c:v>1.8707363058776243</c:v>
                </c:pt>
                <c:pt idx="46">
                  <c:v>1.7362543413333569</c:v>
                </c:pt>
                <c:pt idx="47">
                  <c:v>1.8470427072039863</c:v>
                </c:pt>
                <c:pt idx="48">
                  <c:v>1.9079219716880593</c:v>
                </c:pt>
                <c:pt idx="49">
                  <c:v>1.9711523807387201</c:v>
                </c:pt>
                <c:pt idx="50">
                  <c:v>2.046330526693656</c:v>
                </c:pt>
                <c:pt idx="51">
                  <c:v>1.8862010192216963</c:v>
                </c:pt>
                <c:pt idx="52">
                  <c:v>2.0578086921867946</c:v>
                </c:pt>
                <c:pt idx="53">
                  <c:v>2.1062261060727083</c:v>
                </c:pt>
                <c:pt idx="54">
                  <c:v>2.1120411169455813</c:v>
                </c:pt>
                <c:pt idx="55">
                  <c:v>2.1451486649795846</c:v>
                </c:pt>
                <c:pt idx="56">
                  <c:v>2.247455573341441</c:v>
                </c:pt>
                <c:pt idx="57">
                  <c:v>2.3073661438003694</c:v>
                </c:pt>
                <c:pt idx="58">
                  <c:v>2.4026648523806573</c:v>
                </c:pt>
                <c:pt idx="59">
                  <c:v>2.4228666673815109</c:v>
                </c:pt>
                <c:pt idx="60">
                  <c:v>2.3371085225891632</c:v>
                </c:pt>
                <c:pt idx="61">
                  <c:v>2.1380389272752098</c:v>
                </c:pt>
                <c:pt idx="62">
                  <c:v>2.3545880970836865</c:v>
                </c:pt>
                <c:pt idx="63">
                  <c:v>2.5042604843445977</c:v>
                </c:pt>
                <c:pt idx="64">
                  <c:v>2.58212306509976</c:v>
                </c:pt>
                <c:pt idx="65">
                  <c:v>2.7815139994794595</c:v>
                </c:pt>
                <c:pt idx="66">
                  <c:v>3.0149212314808116</c:v>
                </c:pt>
                <c:pt idx="67">
                  <c:v>2.9270001256557889</c:v>
                </c:pt>
                <c:pt idx="68">
                  <c:v>2.8523247215843215</c:v>
                </c:pt>
                <c:pt idx="69">
                  <c:v>3.0617515315926052</c:v>
                </c:pt>
                <c:pt idx="70">
                  <c:v>3.1751453024277287</c:v>
                </c:pt>
                <c:pt idx="71">
                  <c:v>3.1201310937894986</c:v>
                </c:pt>
                <c:pt idx="72">
                  <c:v>3.1727116198069694</c:v>
                </c:pt>
                <c:pt idx="73">
                  <c:v>3.2329628081636113</c:v>
                </c:pt>
                <c:pt idx="74">
                  <c:v>3.3870692949490615</c:v>
                </c:pt>
                <c:pt idx="75">
                  <c:v>3.5117976761865246</c:v>
                </c:pt>
                <c:pt idx="76">
                  <c:v>3.617452392135847</c:v>
                </c:pt>
                <c:pt idx="77">
                  <c:v>3.6713438332823389</c:v>
                </c:pt>
                <c:pt idx="78">
                  <c:v>3.8219052118231494</c:v>
                </c:pt>
                <c:pt idx="79">
                  <c:v>3.6673092720909981</c:v>
                </c:pt>
                <c:pt idx="80">
                  <c:v>3.9438462346110725</c:v>
                </c:pt>
                <c:pt idx="81">
                  <c:v>4.0837283521611338</c:v>
                </c:pt>
                <c:pt idx="82">
                  <c:v>4.1637570965863144</c:v>
                </c:pt>
                <c:pt idx="83">
                  <c:v>3.9019428153492544</c:v>
                </c:pt>
                <c:pt idx="84">
                  <c:v>3.8585942089629879</c:v>
                </c:pt>
                <c:pt idx="85">
                  <c:v>3.964979245492791</c:v>
                </c:pt>
                <c:pt idx="86">
                  <c:v>3.5586167886139823</c:v>
                </c:pt>
                <c:pt idx="87">
                  <c:v>3.5449924990716011</c:v>
                </c:pt>
                <c:pt idx="88">
                  <c:v>3.2281195699546843</c:v>
                </c:pt>
                <c:pt idx="89">
                  <c:v>3.4490812628405716</c:v>
                </c:pt>
                <c:pt idx="90">
                  <c:v>3.2618780816516453</c:v>
                </c:pt>
                <c:pt idx="91">
                  <c:v>2.9391626973104894</c:v>
                </c:pt>
                <c:pt idx="92">
                  <c:v>3.1552736225314932</c:v>
                </c:pt>
                <c:pt idx="93">
                  <c:v>3.4833882615225322</c:v>
                </c:pt>
                <c:pt idx="94">
                  <c:v>3.3252141061478833</c:v>
                </c:pt>
                <c:pt idx="95">
                  <c:v>3.6412886999102239</c:v>
                </c:pt>
                <c:pt idx="96">
                  <c:v>3.6736078762292008</c:v>
                </c:pt>
                <c:pt idx="97">
                  <c:v>3.9236901888113387</c:v>
                </c:pt>
                <c:pt idx="98">
                  <c:v>3.9916630321878768</c:v>
                </c:pt>
                <c:pt idx="99">
                  <c:v>4.2039823598907669</c:v>
                </c:pt>
                <c:pt idx="100">
                  <c:v>4.4263906971542806</c:v>
                </c:pt>
                <c:pt idx="101">
                  <c:v>4.6314142439450467</c:v>
                </c:pt>
                <c:pt idx="102">
                  <c:v>4.5744609447217464</c:v>
                </c:pt>
                <c:pt idx="103">
                  <c:v>4.3070706368447116</c:v>
                </c:pt>
                <c:pt idx="104">
                  <c:v>4.2831189678608563</c:v>
                </c:pt>
                <c:pt idx="105">
                  <c:v>4.662443523351957</c:v>
                </c:pt>
                <c:pt idx="106">
                  <c:v>4.8259988241249063</c:v>
                </c:pt>
                <c:pt idx="107">
                  <c:v>5.0647428715733112</c:v>
                </c:pt>
                <c:pt idx="108">
                  <c:v>5.4364015140661728</c:v>
                </c:pt>
                <c:pt idx="109">
                  <c:v>5.757699223940155</c:v>
                </c:pt>
                <c:pt idx="110">
                  <c:v>5.6195478252520106</c:v>
                </c:pt>
                <c:pt idx="111">
                  <c:v>6.0512223527946665</c:v>
                </c:pt>
                <c:pt idx="112">
                  <c:v>6.2798738877209859</c:v>
                </c:pt>
                <c:pt idx="113">
                  <c:v>6.327675630296639</c:v>
                </c:pt>
                <c:pt idx="114">
                  <c:v>6.5058681304986585</c:v>
                </c:pt>
                <c:pt idx="115">
                  <c:v>6.6124137869105368</c:v>
                </c:pt>
                <c:pt idx="116">
                  <c:v>6.7291458012100867</c:v>
                </c:pt>
                <c:pt idx="117">
                  <c:v>7.0393056403577585</c:v>
                </c:pt>
                <c:pt idx="118">
                  <c:v>6.8506959595690669</c:v>
                </c:pt>
                <c:pt idx="119">
                  <c:v>6.9559076022239266</c:v>
                </c:pt>
                <c:pt idx="120">
                  <c:v>7.0030920261297736</c:v>
                </c:pt>
                <c:pt idx="121">
                  <c:v>6.7306396750100141</c:v>
                </c:pt>
                <c:pt idx="122">
                  <c:v>6.783930090951019</c:v>
                </c:pt>
                <c:pt idx="123">
                  <c:v>7.3406903627641196</c:v>
                </c:pt>
                <c:pt idx="124">
                  <c:v>7.7630319846784266</c:v>
                </c:pt>
                <c:pt idx="125">
                  <c:v>7.962809295367185</c:v>
                </c:pt>
                <c:pt idx="126">
                  <c:v>8.1351924929792219</c:v>
                </c:pt>
                <c:pt idx="127">
                  <c:v>8.5990156983545063</c:v>
                </c:pt>
                <c:pt idx="128">
                  <c:v>8.8786620348802732</c:v>
                </c:pt>
                <c:pt idx="129">
                  <c:v>8.7361903848011533</c:v>
                </c:pt>
                <c:pt idx="130">
                  <c:v>8.8423732041478242</c:v>
                </c:pt>
                <c:pt idx="131">
                  <c:v>9.0225444821591037</c:v>
                </c:pt>
              </c:numCache>
            </c:numRef>
          </c:val>
          <c:smooth val="0"/>
          <c:extLst>
            <c:ext xmlns:c16="http://schemas.microsoft.com/office/drawing/2014/chart" uri="{C3380CC4-5D6E-409C-BE32-E72D297353CC}">
              <c16:uniqueId val="{00000000-CBAE-4B05-B9A1-90FC29EE2A2B}"/>
            </c:ext>
          </c:extLst>
        </c:ser>
        <c:ser>
          <c:idx val="1"/>
          <c:order val="1"/>
          <c:tx>
            <c:strRef>
              <c:f>Out_of_Sample!$G$17</c:f>
              <c:strCache>
                <c:ptCount val="1"/>
                <c:pt idx="0">
                  <c:v>SPY Cumulative</c:v>
                </c:pt>
              </c:strCache>
            </c:strRef>
          </c:tx>
          <c:spPr>
            <a:ln w="38100" cap="rnd">
              <a:solidFill>
                <a:schemeClr val="accent2"/>
              </a:solidFill>
              <a:round/>
            </a:ln>
            <a:effectLst/>
          </c:spPr>
          <c:marker>
            <c:symbol val="none"/>
          </c:marker>
          <c:cat>
            <c:numRef>
              <c:f>Out_of_Sample!$B$19:$B$150</c:f>
              <c:numCache>
                <c:formatCode>m/d/yyyy</c:formatCode>
                <c:ptCount val="132"/>
                <c:pt idx="0">
                  <c:v>42036</c:v>
                </c:pt>
                <c:pt idx="1">
                  <c:v>42064</c:v>
                </c:pt>
                <c:pt idx="2">
                  <c:v>42095</c:v>
                </c:pt>
                <c:pt idx="3">
                  <c:v>42125</c:v>
                </c:pt>
                <c:pt idx="4">
                  <c:v>42156</c:v>
                </c:pt>
                <c:pt idx="5">
                  <c:v>42186</c:v>
                </c:pt>
                <c:pt idx="6">
                  <c:v>42217</c:v>
                </c:pt>
                <c:pt idx="7">
                  <c:v>42248</c:v>
                </c:pt>
                <c:pt idx="8">
                  <c:v>42278</c:v>
                </c:pt>
                <c:pt idx="9">
                  <c:v>42309</c:v>
                </c:pt>
                <c:pt idx="10">
                  <c:v>42339</c:v>
                </c:pt>
                <c:pt idx="11">
                  <c:v>42370</c:v>
                </c:pt>
                <c:pt idx="12">
                  <c:v>42401</c:v>
                </c:pt>
                <c:pt idx="13">
                  <c:v>42430</c:v>
                </c:pt>
                <c:pt idx="14">
                  <c:v>42461</c:v>
                </c:pt>
                <c:pt idx="15">
                  <c:v>42491</c:v>
                </c:pt>
                <c:pt idx="16">
                  <c:v>42522</c:v>
                </c:pt>
                <c:pt idx="17">
                  <c:v>42552</c:v>
                </c:pt>
                <c:pt idx="18">
                  <c:v>42583</c:v>
                </c:pt>
                <c:pt idx="19">
                  <c:v>42614</c:v>
                </c:pt>
                <c:pt idx="20">
                  <c:v>42644</c:v>
                </c:pt>
                <c:pt idx="21">
                  <c:v>42675</c:v>
                </c:pt>
                <c:pt idx="22">
                  <c:v>42705</c:v>
                </c:pt>
                <c:pt idx="23">
                  <c:v>42736</c:v>
                </c:pt>
                <c:pt idx="24">
                  <c:v>42767</c:v>
                </c:pt>
                <c:pt idx="25">
                  <c:v>42795</c:v>
                </c:pt>
                <c:pt idx="26">
                  <c:v>42826</c:v>
                </c:pt>
                <c:pt idx="27">
                  <c:v>42856</c:v>
                </c:pt>
                <c:pt idx="28">
                  <c:v>42887</c:v>
                </c:pt>
                <c:pt idx="29">
                  <c:v>42917</c:v>
                </c:pt>
                <c:pt idx="30">
                  <c:v>42948</c:v>
                </c:pt>
                <c:pt idx="31">
                  <c:v>42979</c:v>
                </c:pt>
                <c:pt idx="32">
                  <c:v>43009</c:v>
                </c:pt>
                <c:pt idx="33">
                  <c:v>43040</c:v>
                </c:pt>
                <c:pt idx="34">
                  <c:v>43070</c:v>
                </c:pt>
                <c:pt idx="35">
                  <c:v>43101</c:v>
                </c:pt>
                <c:pt idx="36">
                  <c:v>43132</c:v>
                </c:pt>
                <c:pt idx="37">
                  <c:v>43160</c:v>
                </c:pt>
                <c:pt idx="38">
                  <c:v>43191</c:v>
                </c:pt>
                <c:pt idx="39">
                  <c:v>43221</c:v>
                </c:pt>
                <c:pt idx="40">
                  <c:v>43252</c:v>
                </c:pt>
                <c:pt idx="41">
                  <c:v>43282</c:v>
                </c:pt>
                <c:pt idx="42">
                  <c:v>43313</c:v>
                </c:pt>
                <c:pt idx="43">
                  <c:v>43344</c:v>
                </c:pt>
                <c:pt idx="44">
                  <c:v>43374</c:v>
                </c:pt>
                <c:pt idx="45">
                  <c:v>43405</c:v>
                </c:pt>
                <c:pt idx="46">
                  <c:v>43435</c:v>
                </c:pt>
                <c:pt idx="47">
                  <c:v>43466</c:v>
                </c:pt>
                <c:pt idx="48">
                  <c:v>43497</c:v>
                </c:pt>
                <c:pt idx="49">
                  <c:v>43525</c:v>
                </c:pt>
                <c:pt idx="50">
                  <c:v>43556</c:v>
                </c:pt>
                <c:pt idx="51">
                  <c:v>43586</c:v>
                </c:pt>
                <c:pt idx="52">
                  <c:v>43617</c:v>
                </c:pt>
                <c:pt idx="53">
                  <c:v>43647</c:v>
                </c:pt>
                <c:pt idx="54">
                  <c:v>43678</c:v>
                </c:pt>
                <c:pt idx="55">
                  <c:v>43709</c:v>
                </c:pt>
                <c:pt idx="56">
                  <c:v>43739</c:v>
                </c:pt>
                <c:pt idx="57">
                  <c:v>43770</c:v>
                </c:pt>
                <c:pt idx="58">
                  <c:v>43800</c:v>
                </c:pt>
                <c:pt idx="59">
                  <c:v>43831</c:v>
                </c:pt>
                <c:pt idx="60">
                  <c:v>43862</c:v>
                </c:pt>
                <c:pt idx="61">
                  <c:v>43891</c:v>
                </c:pt>
                <c:pt idx="62">
                  <c:v>43922</c:v>
                </c:pt>
                <c:pt idx="63">
                  <c:v>43952</c:v>
                </c:pt>
                <c:pt idx="64">
                  <c:v>43983</c:v>
                </c:pt>
                <c:pt idx="65">
                  <c:v>44013</c:v>
                </c:pt>
                <c:pt idx="66">
                  <c:v>44044</c:v>
                </c:pt>
                <c:pt idx="67">
                  <c:v>44075</c:v>
                </c:pt>
                <c:pt idx="68">
                  <c:v>44105</c:v>
                </c:pt>
                <c:pt idx="69">
                  <c:v>44136</c:v>
                </c:pt>
                <c:pt idx="70">
                  <c:v>44166</c:v>
                </c:pt>
                <c:pt idx="71">
                  <c:v>44197</c:v>
                </c:pt>
                <c:pt idx="72">
                  <c:v>44228</c:v>
                </c:pt>
                <c:pt idx="73">
                  <c:v>44256</c:v>
                </c:pt>
                <c:pt idx="74">
                  <c:v>44287</c:v>
                </c:pt>
                <c:pt idx="75">
                  <c:v>44317</c:v>
                </c:pt>
                <c:pt idx="76">
                  <c:v>44348</c:v>
                </c:pt>
                <c:pt idx="77">
                  <c:v>44378</c:v>
                </c:pt>
                <c:pt idx="78">
                  <c:v>44409</c:v>
                </c:pt>
                <c:pt idx="79">
                  <c:v>44440</c:v>
                </c:pt>
                <c:pt idx="80">
                  <c:v>44470</c:v>
                </c:pt>
                <c:pt idx="81">
                  <c:v>44501</c:v>
                </c:pt>
                <c:pt idx="82">
                  <c:v>44531</c:v>
                </c:pt>
                <c:pt idx="83">
                  <c:v>44562</c:v>
                </c:pt>
                <c:pt idx="84">
                  <c:v>44593</c:v>
                </c:pt>
                <c:pt idx="85">
                  <c:v>44621</c:v>
                </c:pt>
                <c:pt idx="86">
                  <c:v>44652</c:v>
                </c:pt>
                <c:pt idx="87">
                  <c:v>44682</c:v>
                </c:pt>
                <c:pt idx="88">
                  <c:v>44713</c:v>
                </c:pt>
                <c:pt idx="89">
                  <c:v>44743</c:v>
                </c:pt>
                <c:pt idx="90">
                  <c:v>44774</c:v>
                </c:pt>
                <c:pt idx="91">
                  <c:v>44805</c:v>
                </c:pt>
                <c:pt idx="92">
                  <c:v>44835</c:v>
                </c:pt>
                <c:pt idx="93">
                  <c:v>44866</c:v>
                </c:pt>
                <c:pt idx="94">
                  <c:v>44896</c:v>
                </c:pt>
                <c:pt idx="95">
                  <c:v>44927</c:v>
                </c:pt>
                <c:pt idx="96">
                  <c:v>44958</c:v>
                </c:pt>
                <c:pt idx="97">
                  <c:v>44986</c:v>
                </c:pt>
                <c:pt idx="98">
                  <c:v>45017</c:v>
                </c:pt>
                <c:pt idx="99">
                  <c:v>45047</c:v>
                </c:pt>
                <c:pt idx="100">
                  <c:v>45078</c:v>
                </c:pt>
                <c:pt idx="101">
                  <c:v>45108</c:v>
                </c:pt>
                <c:pt idx="102">
                  <c:v>45139</c:v>
                </c:pt>
                <c:pt idx="103">
                  <c:v>45170</c:v>
                </c:pt>
                <c:pt idx="104">
                  <c:v>45200</c:v>
                </c:pt>
                <c:pt idx="105">
                  <c:v>45231</c:v>
                </c:pt>
                <c:pt idx="106">
                  <c:v>45261</c:v>
                </c:pt>
                <c:pt idx="107">
                  <c:v>45292</c:v>
                </c:pt>
                <c:pt idx="108">
                  <c:v>45323</c:v>
                </c:pt>
                <c:pt idx="109">
                  <c:v>45352</c:v>
                </c:pt>
                <c:pt idx="110">
                  <c:v>45383</c:v>
                </c:pt>
                <c:pt idx="111">
                  <c:v>45413</c:v>
                </c:pt>
                <c:pt idx="112">
                  <c:v>45444</c:v>
                </c:pt>
                <c:pt idx="113">
                  <c:v>45474</c:v>
                </c:pt>
                <c:pt idx="114">
                  <c:v>45505</c:v>
                </c:pt>
                <c:pt idx="115">
                  <c:v>45536</c:v>
                </c:pt>
                <c:pt idx="116">
                  <c:v>45566</c:v>
                </c:pt>
                <c:pt idx="117">
                  <c:v>45597</c:v>
                </c:pt>
                <c:pt idx="118">
                  <c:v>45627</c:v>
                </c:pt>
                <c:pt idx="119">
                  <c:v>45658</c:v>
                </c:pt>
                <c:pt idx="120">
                  <c:v>45689</c:v>
                </c:pt>
                <c:pt idx="121">
                  <c:v>45717</c:v>
                </c:pt>
                <c:pt idx="122">
                  <c:v>45748</c:v>
                </c:pt>
                <c:pt idx="123">
                  <c:v>45778</c:v>
                </c:pt>
                <c:pt idx="124">
                  <c:v>45809</c:v>
                </c:pt>
                <c:pt idx="125">
                  <c:v>45839</c:v>
                </c:pt>
                <c:pt idx="126">
                  <c:v>45870</c:v>
                </c:pt>
                <c:pt idx="127">
                  <c:v>45901</c:v>
                </c:pt>
                <c:pt idx="128">
                  <c:v>45931</c:v>
                </c:pt>
                <c:pt idx="129">
                  <c:v>45962</c:v>
                </c:pt>
                <c:pt idx="130">
                  <c:v>45992</c:v>
                </c:pt>
                <c:pt idx="131">
                  <c:v>46023</c:v>
                </c:pt>
              </c:numCache>
            </c:numRef>
          </c:cat>
          <c:val>
            <c:numRef>
              <c:f>Out_of_Sample!$G$19:$G$150</c:f>
              <c:numCache>
                <c:formatCode>General</c:formatCode>
                <c:ptCount val="132"/>
                <c:pt idx="0">
                  <c:v>1.0562045625470042</c:v>
                </c:pt>
                <c:pt idx="1">
                  <c:v>1.0349962396590624</c:v>
                </c:pt>
                <c:pt idx="2">
                  <c:v>1.0451742291301078</c:v>
                </c:pt>
                <c:pt idx="3">
                  <c:v>1.0586111807470544</c:v>
                </c:pt>
                <c:pt idx="4">
                  <c:v>1.0320882426673352</c:v>
                </c:pt>
                <c:pt idx="5">
                  <c:v>1.055402356480321</c:v>
                </c:pt>
                <c:pt idx="6">
                  <c:v>0.99107545750814741</c:v>
                </c:pt>
                <c:pt idx="7">
                  <c:v>0.96079217849084986</c:v>
                </c:pt>
                <c:pt idx="8">
                  <c:v>1.0425169215342192</c:v>
                </c:pt>
                <c:pt idx="9">
                  <c:v>1.0463274003509651</c:v>
                </c:pt>
                <c:pt idx="10">
                  <c:v>1.0221609425921283</c:v>
                </c:pt>
                <c:pt idx="11">
                  <c:v>0.97127099523690141</c:v>
                </c:pt>
                <c:pt idx="12">
                  <c:v>0.97046878917021806</c:v>
                </c:pt>
                <c:pt idx="13">
                  <c:v>1.0304336926548006</c:v>
                </c:pt>
                <c:pt idx="14">
                  <c:v>1.0344948608673852</c:v>
                </c:pt>
                <c:pt idx="15">
                  <c:v>1.0520932564552519</c:v>
                </c:pt>
                <c:pt idx="16">
                  <c:v>1.0502381549260467</c:v>
                </c:pt>
                <c:pt idx="17">
                  <c:v>1.0885936324893459</c:v>
                </c:pt>
                <c:pt idx="18">
                  <c:v>1.0898972173477064</c:v>
                </c:pt>
                <c:pt idx="19">
                  <c:v>1.0844823263975936</c:v>
                </c:pt>
                <c:pt idx="20">
                  <c:v>1.0656806217097019</c:v>
                </c:pt>
                <c:pt idx="21">
                  <c:v>1.1049385810980197</c:v>
                </c:pt>
                <c:pt idx="22">
                  <c:v>1.1207320130358489</c:v>
                </c:pt>
                <c:pt idx="23">
                  <c:v>1.1407871647029335</c:v>
                </c:pt>
                <c:pt idx="24">
                  <c:v>1.1856104286788673</c:v>
                </c:pt>
                <c:pt idx="25">
                  <c:v>1.1819503634996245</c:v>
                </c:pt>
                <c:pt idx="26">
                  <c:v>1.1936826272248688</c:v>
                </c:pt>
                <c:pt idx="27">
                  <c:v>1.2105289546252198</c:v>
                </c:pt>
                <c:pt idx="28">
                  <c:v>1.2123339182752575</c:v>
                </c:pt>
                <c:pt idx="29">
                  <c:v>1.23725244422161</c:v>
                </c:pt>
                <c:pt idx="30">
                  <c:v>1.2408623715216853</c:v>
                </c:pt>
                <c:pt idx="31">
                  <c:v>1.2596139383304092</c:v>
                </c:pt>
                <c:pt idx="32">
                  <c:v>1.2892955627976941</c:v>
                </c:pt>
                <c:pt idx="33">
                  <c:v>1.3287039358235151</c:v>
                </c:pt>
                <c:pt idx="34">
                  <c:v>1.3379794434695418</c:v>
                </c:pt>
                <c:pt idx="35">
                  <c:v>1.4133868137377792</c:v>
                </c:pt>
                <c:pt idx="36">
                  <c:v>1.3619954875908753</c:v>
                </c:pt>
                <c:pt idx="37">
                  <c:v>1.3193782902983209</c:v>
                </c:pt>
                <c:pt idx="38">
                  <c:v>1.3261970418651297</c:v>
                </c:pt>
                <c:pt idx="39">
                  <c:v>1.3584356981699679</c:v>
                </c:pt>
                <c:pt idx="40">
                  <c:v>1.3601403860616701</c:v>
                </c:pt>
                <c:pt idx="41">
                  <c:v>1.41052895462522</c:v>
                </c:pt>
                <c:pt idx="42">
                  <c:v>1.4555527701178248</c:v>
                </c:pt>
                <c:pt idx="43">
                  <c:v>1.457608423163701</c:v>
                </c:pt>
                <c:pt idx="44">
                  <c:v>1.3568814239157689</c:v>
                </c:pt>
                <c:pt idx="45">
                  <c:v>1.3820506392579599</c:v>
                </c:pt>
                <c:pt idx="46">
                  <c:v>1.253045876159439</c:v>
                </c:pt>
                <c:pt idx="47">
                  <c:v>1.3533717723740291</c:v>
                </c:pt>
                <c:pt idx="48">
                  <c:v>1.3972424166457762</c:v>
                </c:pt>
                <c:pt idx="49">
                  <c:v>1.4162948107295066</c:v>
                </c:pt>
                <c:pt idx="50">
                  <c:v>1.4741539232890453</c:v>
                </c:pt>
                <c:pt idx="51">
                  <c:v>1.3801453998495867</c:v>
                </c:pt>
                <c:pt idx="52">
                  <c:v>1.4690398596139389</c:v>
                </c:pt>
                <c:pt idx="53">
                  <c:v>1.491250940085235</c:v>
                </c:pt>
                <c:pt idx="54">
                  <c:v>1.4662822762597147</c:v>
                </c:pt>
                <c:pt idx="55">
                  <c:v>1.4879418400601661</c:v>
                </c:pt>
                <c:pt idx="56">
                  <c:v>1.5208322887941848</c:v>
                </c:pt>
                <c:pt idx="57">
                  <c:v>1.5758836801203318</c:v>
                </c:pt>
                <c:pt idx="58">
                  <c:v>1.613737778891954</c:v>
                </c:pt>
                <c:pt idx="59">
                  <c:v>1.6130859864627738</c:v>
                </c:pt>
                <c:pt idx="60">
                  <c:v>1.4853848082226131</c:v>
                </c:pt>
                <c:pt idx="61">
                  <c:v>1.2923038355477572</c:v>
                </c:pt>
                <c:pt idx="62">
                  <c:v>1.456405114063676</c:v>
                </c:pt>
                <c:pt idx="63">
                  <c:v>1.5257959388317881</c:v>
                </c:pt>
                <c:pt idx="64">
                  <c:v>1.5460516420155435</c:v>
                </c:pt>
                <c:pt idx="65">
                  <c:v>1.6371020305841066</c:v>
                </c:pt>
                <c:pt idx="66">
                  <c:v>1.7513662572073208</c:v>
                </c:pt>
                <c:pt idx="67">
                  <c:v>1.679067435447481</c:v>
                </c:pt>
                <c:pt idx="68">
                  <c:v>1.6372023063424423</c:v>
                </c:pt>
                <c:pt idx="69">
                  <c:v>1.8152920531461525</c:v>
                </c:pt>
                <c:pt idx="70">
                  <c:v>1.8745550263223869</c:v>
                </c:pt>
                <c:pt idx="71">
                  <c:v>1.855452494359489</c:v>
                </c:pt>
                <c:pt idx="72">
                  <c:v>1.9070443720230639</c:v>
                </c:pt>
                <c:pt idx="73">
                  <c:v>1.9871145650538984</c:v>
                </c:pt>
                <c:pt idx="74">
                  <c:v>2.0922536976685886</c:v>
                </c:pt>
                <c:pt idx="75">
                  <c:v>2.1059914765605416</c:v>
                </c:pt>
                <c:pt idx="76">
                  <c:v>2.1462020556530459</c:v>
                </c:pt>
                <c:pt idx="77">
                  <c:v>2.1985961393833042</c:v>
                </c:pt>
                <c:pt idx="78">
                  <c:v>2.2640260716971676</c:v>
                </c:pt>
                <c:pt idx="79">
                  <c:v>2.1516169466031592</c:v>
                </c:pt>
                <c:pt idx="80">
                  <c:v>2.3025821007771379</c:v>
                </c:pt>
                <c:pt idx="81">
                  <c:v>2.2840812233642525</c:v>
                </c:pt>
                <c:pt idx="82">
                  <c:v>2.3813487089496119</c:v>
                </c:pt>
                <c:pt idx="83">
                  <c:v>2.2557533216344954</c:v>
                </c:pt>
                <c:pt idx="84">
                  <c:v>2.1891702180997745</c:v>
                </c:pt>
                <c:pt idx="85">
                  <c:v>2.2644271747305087</c:v>
                </c:pt>
                <c:pt idx="86">
                  <c:v>2.0656806217097015</c:v>
                </c:pt>
                <c:pt idx="87">
                  <c:v>2.0703434444722988</c:v>
                </c:pt>
                <c:pt idx="88">
                  <c:v>1.8914514916019052</c:v>
                </c:pt>
                <c:pt idx="89">
                  <c:v>2.0656304838305339</c:v>
                </c:pt>
                <c:pt idx="90">
                  <c:v>1.9813487089496113</c:v>
                </c:pt>
                <c:pt idx="91">
                  <c:v>1.7908247681123086</c:v>
                </c:pt>
                <c:pt idx="92">
                  <c:v>1.9363750313361741</c:v>
                </c:pt>
                <c:pt idx="93">
                  <c:v>2.0440210579092501</c:v>
                </c:pt>
                <c:pt idx="94">
                  <c:v>1.9174229130107794</c:v>
                </c:pt>
                <c:pt idx="95">
                  <c:v>2.0380045124091248</c:v>
                </c:pt>
                <c:pt idx="96">
                  <c:v>1.9867635998997237</c:v>
                </c:pt>
                <c:pt idx="97">
                  <c:v>2.0525946352469284</c:v>
                </c:pt>
                <c:pt idx="98">
                  <c:v>2.0853848082226114</c:v>
                </c:pt>
                <c:pt idx="99">
                  <c:v>2.0950112810228121</c:v>
                </c:pt>
                <c:pt idx="100">
                  <c:v>2.2225119077463016</c:v>
                </c:pt>
                <c:pt idx="101">
                  <c:v>2.2952619704186508</c:v>
                </c:pt>
                <c:pt idx="102">
                  <c:v>2.2579593883178735</c:v>
                </c:pt>
                <c:pt idx="103">
                  <c:v>2.1432940586613181</c:v>
                </c:pt>
                <c:pt idx="104">
                  <c:v>2.096766106793682</c:v>
                </c:pt>
                <c:pt idx="105">
                  <c:v>2.2882928052143385</c:v>
                </c:pt>
                <c:pt idx="106">
                  <c:v>2.3831035347204801</c:v>
                </c:pt>
                <c:pt idx="107">
                  <c:v>2.4210579092504378</c:v>
                </c:pt>
                <c:pt idx="108">
                  <c:v>2.5474053647530703</c:v>
                </c:pt>
                <c:pt idx="109">
                  <c:v>2.6225620456254695</c:v>
                </c:pt>
                <c:pt idx="110">
                  <c:v>2.5168212584607663</c:v>
                </c:pt>
                <c:pt idx="111">
                  <c:v>2.6441213336675848</c:v>
                </c:pt>
                <c:pt idx="112">
                  <c:v>2.7286036600651786</c:v>
                </c:pt>
                <c:pt idx="113">
                  <c:v>2.7616445224366997</c:v>
                </c:pt>
                <c:pt idx="114">
                  <c:v>2.8261719729255441</c:v>
                </c:pt>
                <c:pt idx="115">
                  <c:v>2.876710955126597</c:v>
                </c:pt>
                <c:pt idx="116">
                  <c:v>2.8510403609927288</c:v>
                </c:pt>
                <c:pt idx="117">
                  <c:v>3.0210579092504375</c:v>
                </c:pt>
                <c:pt idx="118">
                  <c:v>2.9384808222612175</c:v>
                </c:pt>
                <c:pt idx="119">
                  <c:v>3.017397844071195</c:v>
                </c:pt>
                <c:pt idx="120">
                  <c:v>2.9790925043870633</c:v>
                </c:pt>
                <c:pt idx="121">
                  <c:v>2.8046628227625963</c:v>
                </c:pt>
                <c:pt idx="122">
                  <c:v>2.7803459513662561</c:v>
                </c:pt>
                <c:pt idx="123">
                  <c:v>2.9550764602657296</c:v>
                </c:pt>
                <c:pt idx="124">
                  <c:v>3.097768864377036</c:v>
                </c:pt>
                <c:pt idx="125">
                  <c:v>3.1691150664326888</c:v>
                </c:pt>
                <c:pt idx="126">
                  <c:v>3.2341438957132103</c:v>
                </c:pt>
                <c:pt idx="127">
                  <c:v>3.3400852343945844</c:v>
                </c:pt>
                <c:pt idx="128">
                  <c:v>3.4197041865129099</c:v>
                </c:pt>
                <c:pt idx="129">
                  <c:v>3.4263725244422152</c:v>
                </c:pt>
                <c:pt idx="130">
                  <c:v>3.4190022562045614</c:v>
                </c:pt>
                <c:pt idx="131">
                  <c:v>3.4678365505139119</c:v>
                </c:pt>
              </c:numCache>
            </c:numRef>
          </c:val>
          <c:smooth val="0"/>
          <c:extLst>
            <c:ext xmlns:c16="http://schemas.microsoft.com/office/drawing/2014/chart" uri="{C3380CC4-5D6E-409C-BE32-E72D297353CC}">
              <c16:uniqueId val="{00000001-CBAE-4B05-B9A1-90FC29EE2A2B}"/>
            </c:ext>
          </c:extLst>
        </c:ser>
        <c:dLbls>
          <c:showLegendKey val="0"/>
          <c:showVal val="0"/>
          <c:showCatName val="0"/>
          <c:showSerName val="0"/>
          <c:showPercent val="0"/>
          <c:showBubbleSize val="0"/>
        </c:dLbls>
        <c:smooth val="0"/>
        <c:axId val="747685368"/>
        <c:axId val="747698328"/>
      </c:lineChart>
      <c:dateAx>
        <c:axId val="747685368"/>
        <c:scaling>
          <c:orientation val="minMax"/>
          <c:max val="46204"/>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he-IL"/>
            </a:p>
          </c:txPr>
        </c:title>
        <c:numFmt formatCode="yyyy" sourceLinked="0"/>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crossAx val="747698328"/>
        <c:crosses val="autoZero"/>
        <c:auto val="1"/>
        <c:lblOffset val="100"/>
        <c:baseTimeUnit val="months"/>
        <c:majorUnit val="12"/>
        <c:majorTimeUnit val="months"/>
      </c:dateAx>
      <c:valAx>
        <c:axId val="74769832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sz="1000"/>
                  <a:t>Cumulative Growth</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he-I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crossAx val="7476853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baseline="0">
                <a:solidFill>
                  <a:srgbClr val="44546A"/>
                </a:solidFill>
                <a:latin typeface="+mn-lt"/>
                <a:ea typeface="+mn-ea"/>
                <a:cs typeface="+mn-cs"/>
              </a:defRPr>
            </a:pPr>
            <a:r>
              <a:rPr lang="en-US" sz="1600" b="1" i="0" u="none" strike="noStrike" kern="1200" baseline="0">
                <a:solidFill>
                  <a:srgbClr val="44546A"/>
                </a:solidFill>
                <a:latin typeface="+mn-lt"/>
                <a:ea typeface="+mn-ea"/>
                <a:cs typeface="+mn-cs"/>
              </a:rPr>
              <a:t>Final Portfolio Allocation</a:t>
            </a:r>
          </a:p>
        </c:rich>
      </c:tx>
      <c:overlay val="0"/>
      <c:spPr>
        <a:noFill/>
        <a:ln>
          <a:noFill/>
        </a:ln>
        <a:effectLst/>
      </c:spPr>
      <c:txPr>
        <a:bodyPr rot="0" spcFirstLastPara="1" vertOverflow="ellipsis" vert="horz" wrap="square" anchor="ctr" anchorCtr="1"/>
        <a:lstStyle/>
        <a:p>
          <a:pPr algn="ctr" rtl="0">
            <a:defRPr lang="en-US" sz="1600" b="1" i="0" u="none" strike="noStrike" kern="1200" baseline="0">
              <a:solidFill>
                <a:srgbClr val="44546A"/>
              </a:solidFill>
              <a:latin typeface="+mn-lt"/>
              <a:ea typeface="+mn-ea"/>
              <a:cs typeface="+mn-cs"/>
            </a:defRPr>
          </a:pPr>
          <a:endParaRPr lang="he-IL"/>
        </a:p>
      </c:txPr>
    </c:title>
    <c:autoTitleDeleted val="0"/>
    <c:plotArea>
      <c:layout>
        <c:manualLayout>
          <c:layoutTarget val="inner"/>
          <c:xMode val="edge"/>
          <c:yMode val="edge"/>
          <c:x val="0.25412204724409448"/>
          <c:y val="0.14934692204447822"/>
          <c:w val="0.47508945756780402"/>
          <c:h val="0.71002377741152445"/>
        </c:manualLayout>
      </c:layout>
      <c:pieChart>
        <c:varyColors val="1"/>
        <c:ser>
          <c:idx val="0"/>
          <c:order val="0"/>
          <c:tx>
            <c:strRef>
              <c:f>Solver_Optimization!$C$27</c:f>
              <c:strCache>
                <c:ptCount val="1"/>
                <c:pt idx="0">
                  <c:v>Weights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DBE-4F1B-85C2-9F3314E5E48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BE-4F1B-85C2-9F3314E5E48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DBE-4F1B-85C2-9F3314E5E48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DBE-4F1B-85C2-9F3314E5E48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DBE-4F1B-85C2-9F3314E5E48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DBE-4F1B-85C2-9F3314E5E486}"/>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DBE-4F1B-85C2-9F3314E5E4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e-IL"/>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Solver_Optimization!$A$28:$A$37</c15:sqref>
                  </c15:fullRef>
                </c:ext>
              </c:extLst>
              <c:f>(Solver_Optimization!$A$28,Solver_Optimization!$A$30:$A$33,Solver_Optimization!$A$35,Solver_Optimization!$A$37)</c:f>
              <c:strCache>
                <c:ptCount val="7"/>
                <c:pt idx="0">
                  <c:v>GLD</c:v>
                </c:pt>
                <c:pt idx="1">
                  <c:v>SPY</c:v>
                </c:pt>
                <c:pt idx="2">
                  <c:v>JPM</c:v>
                </c:pt>
                <c:pt idx="3">
                  <c:v>NVDA</c:v>
                </c:pt>
                <c:pt idx="4">
                  <c:v>PG</c:v>
                </c:pt>
                <c:pt idx="5">
                  <c:v>VGT</c:v>
                </c:pt>
                <c:pt idx="6">
                  <c:v>VXUS</c:v>
                </c:pt>
              </c:strCache>
            </c:strRef>
          </c:cat>
          <c:val>
            <c:numRef>
              <c:extLst>
                <c:ext xmlns:c15="http://schemas.microsoft.com/office/drawing/2012/chart" uri="{02D57815-91ED-43cb-92C2-25804820EDAC}">
                  <c15:fullRef>
                    <c15:sqref>Solver_Optimization!$C$28:$C$37</c15:sqref>
                  </c15:fullRef>
                </c:ext>
              </c:extLst>
              <c:f>(Solver_Optimization!$C$28,Solver_Optimization!$C$30:$C$33,Solver_Optimization!$C$35,Solver_Optimization!$C$37)</c:f>
              <c:numCache>
                <c:formatCode>General</c:formatCode>
                <c:ptCount val="7"/>
                <c:pt idx="0">
                  <c:v>0.2</c:v>
                </c:pt>
                <c:pt idx="1">
                  <c:v>0.25</c:v>
                </c:pt>
                <c:pt idx="2">
                  <c:v>0.10000000124176341</c:v>
                </c:pt>
                <c:pt idx="3">
                  <c:v>0.15</c:v>
                </c:pt>
                <c:pt idx="4">
                  <c:v>0.1</c:v>
                </c:pt>
                <c:pt idx="5">
                  <c:v>0.15</c:v>
                </c:pt>
                <c:pt idx="6">
                  <c:v>0.05</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E-8DBE-4F1B-85C2-9F3314E5E48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17316185476815396"/>
          <c:y val="0.87182491143126684"/>
          <c:w val="0.64534295713035872"/>
          <c:h val="0.10326666461820486"/>
        </c:manualLayout>
      </c:layout>
      <c:overlay val="0"/>
      <c:spPr>
        <a:solidFill>
          <a:schemeClr val="lt1">
            <a:alpha val="78000"/>
          </a:schemeClr>
        </a:solidFill>
        <a:ln>
          <a:noFill/>
        </a:ln>
        <a:effectLst/>
      </c:spPr>
      <c:txPr>
        <a:bodyPr rot="0" spcFirstLastPara="1" vertOverflow="ellipsis" vert="horz" wrap="square" anchor="ctr" anchorCtr="1"/>
        <a:lstStyle/>
        <a:p>
          <a:pPr>
            <a:defRPr sz="1050" b="0" i="0" u="none" strike="noStrike" kern="1200" baseline="0">
              <a:solidFill>
                <a:schemeClr val="dk1">
                  <a:lumMod val="65000"/>
                  <a:lumOff val="35000"/>
                </a:schemeClr>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435269"/>
                </a:solidFill>
                <a:latin typeface="+mn-lt"/>
                <a:cs typeface="Segoe UI" panose="020B0502040204020203" pitchFamily="34" charset="0"/>
              </a:rPr>
              <a:t>Portfolio Drawdown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he-IL"/>
        </a:p>
      </c:txPr>
    </c:title>
    <c:autoTitleDeleted val="0"/>
    <c:plotArea>
      <c:layout/>
      <c:areaChart>
        <c:grouping val="standard"/>
        <c:varyColors val="0"/>
        <c:ser>
          <c:idx val="0"/>
          <c:order val="0"/>
          <c:tx>
            <c:strRef>
              <c:f>Drawdown!$F$3</c:f>
              <c:strCache>
                <c:ptCount val="1"/>
                <c:pt idx="0">
                  <c:v>Drawdown</c:v>
                </c:pt>
              </c:strCache>
            </c:strRef>
          </c:tx>
          <c:spPr>
            <a:solidFill>
              <a:srgbClr val="FF0000">
                <a:alpha val="60000"/>
              </a:srgbClr>
            </a:solidFill>
            <a:ln w="12700">
              <a:solidFill>
                <a:srgbClr val="C00000"/>
              </a:solidFill>
            </a:ln>
            <a:effectLst/>
          </c:spPr>
          <c:cat>
            <c:numRef>
              <c:f>Drawdown!$B$4:$B$135</c:f>
              <c:numCache>
                <c:formatCode>m/d/yyyy</c:formatCode>
                <c:ptCount val="132"/>
                <c:pt idx="0">
                  <c:v>42036</c:v>
                </c:pt>
                <c:pt idx="1">
                  <c:v>42064</c:v>
                </c:pt>
                <c:pt idx="2">
                  <c:v>42095</c:v>
                </c:pt>
                <c:pt idx="3">
                  <c:v>42125</c:v>
                </c:pt>
                <c:pt idx="4">
                  <c:v>42156</c:v>
                </c:pt>
                <c:pt idx="5">
                  <c:v>42186</c:v>
                </c:pt>
                <c:pt idx="6">
                  <c:v>42217</c:v>
                </c:pt>
                <c:pt idx="7">
                  <c:v>42248</c:v>
                </c:pt>
                <c:pt idx="8">
                  <c:v>42278</c:v>
                </c:pt>
                <c:pt idx="9">
                  <c:v>42309</c:v>
                </c:pt>
                <c:pt idx="10">
                  <c:v>42339</c:v>
                </c:pt>
                <c:pt idx="11">
                  <c:v>42370</c:v>
                </c:pt>
                <c:pt idx="12">
                  <c:v>42401</c:v>
                </c:pt>
                <c:pt idx="13">
                  <c:v>42430</c:v>
                </c:pt>
                <c:pt idx="14">
                  <c:v>42461</c:v>
                </c:pt>
                <c:pt idx="15">
                  <c:v>42491</c:v>
                </c:pt>
                <c:pt idx="16">
                  <c:v>42522</c:v>
                </c:pt>
                <c:pt idx="17">
                  <c:v>42552</c:v>
                </c:pt>
                <c:pt idx="18">
                  <c:v>42583</c:v>
                </c:pt>
                <c:pt idx="19">
                  <c:v>42614</c:v>
                </c:pt>
                <c:pt idx="20">
                  <c:v>42644</c:v>
                </c:pt>
                <c:pt idx="21">
                  <c:v>42675</c:v>
                </c:pt>
                <c:pt idx="22">
                  <c:v>42705</c:v>
                </c:pt>
                <c:pt idx="23">
                  <c:v>42736</c:v>
                </c:pt>
                <c:pt idx="24">
                  <c:v>42767</c:v>
                </c:pt>
                <c:pt idx="25">
                  <c:v>42795</c:v>
                </c:pt>
                <c:pt idx="26">
                  <c:v>42826</c:v>
                </c:pt>
                <c:pt idx="27">
                  <c:v>42856</c:v>
                </c:pt>
                <c:pt idx="28">
                  <c:v>42887</c:v>
                </c:pt>
                <c:pt idx="29">
                  <c:v>42917</c:v>
                </c:pt>
                <c:pt idx="30">
                  <c:v>42948</c:v>
                </c:pt>
                <c:pt idx="31">
                  <c:v>42979</c:v>
                </c:pt>
                <c:pt idx="32">
                  <c:v>43009</c:v>
                </c:pt>
                <c:pt idx="33">
                  <c:v>43040</c:v>
                </c:pt>
                <c:pt idx="34">
                  <c:v>43070</c:v>
                </c:pt>
                <c:pt idx="35">
                  <c:v>43101</c:v>
                </c:pt>
                <c:pt idx="36">
                  <c:v>43132</c:v>
                </c:pt>
                <c:pt idx="37">
                  <c:v>43160</c:v>
                </c:pt>
                <c:pt idx="38">
                  <c:v>43191</c:v>
                </c:pt>
                <c:pt idx="39">
                  <c:v>43221</c:v>
                </c:pt>
                <c:pt idx="40">
                  <c:v>43252</c:v>
                </c:pt>
                <c:pt idx="41">
                  <c:v>43282</c:v>
                </c:pt>
                <c:pt idx="42">
                  <c:v>43313</c:v>
                </c:pt>
                <c:pt idx="43">
                  <c:v>43344</c:v>
                </c:pt>
                <c:pt idx="44">
                  <c:v>43374</c:v>
                </c:pt>
                <c:pt idx="45">
                  <c:v>43405</c:v>
                </c:pt>
                <c:pt idx="46">
                  <c:v>43435</c:v>
                </c:pt>
                <c:pt idx="47">
                  <c:v>43466</c:v>
                </c:pt>
                <c:pt idx="48">
                  <c:v>43497</c:v>
                </c:pt>
                <c:pt idx="49">
                  <c:v>43525</c:v>
                </c:pt>
                <c:pt idx="50">
                  <c:v>43556</c:v>
                </c:pt>
                <c:pt idx="51">
                  <c:v>43586</c:v>
                </c:pt>
                <c:pt idx="52">
                  <c:v>43617</c:v>
                </c:pt>
                <c:pt idx="53">
                  <c:v>43647</c:v>
                </c:pt>
                <c:pt idx="54">
                  <c:v>43678</c:v>
                </c:pt>
                <c:pt idx="55">
                  <c:v>43709</c:v>
                </c:pt>
                <c:pt idx="56">
                  <c:v>43739</c:v>
                </c:pt>
                <c:pt idx="57">
                  <c:v>43770</c:v>
                </c:pt>
                <c:pt idx="58">
                  <c:v>43800</c:v>
                </c:pt>
                <c:pt idx="59">
                  <c:v>43831</c:v>
                </c:pt>
                <c:pt idx="60">
                  <c:v>43862</c:v>
                </c:pt>
                <c:pt idx="61">
                  <c:v>43891</c:v>
                </c:pt>
                <c:pt idx="62">
                  <c:v>43922</c:v>
                </c:pt>
                <c:pt idx="63">
                  <c:v>43952</c:v>
                </c:pt>
                <c:pt idx="64">
                  <c:v>43983</c:v>
                </c:pt>
                <c:pt idx="65">
                  <c:v>44013</c:v>
                </c:pt>
                <c:pt idx="66">
                  <c:v>44044</c:v>
                </c:pt>
                <c:pt idx="67">
                  <c:v>44075</c:v>
                </c:pt>
                <c:pt idx="68">
                  <c:v>44105</c:v>
                </c:pt>
                <c:pt idx="69">
                  <c:v>44136</c:v>
                </c:pt>
                <c:pt idx="70">
                  <c:v>44166</c:v>
                </c:pt>
                <c:pt idx="71">
                  <c:v>44197</c:v>
                </c:pt>
                <c:pt idx="72">
                  <c:v>44228</c:v>
                </c:pt>
                <c:pt idx="73">
                  <c:v>44256</c:v>
                </c:pt>
                <c:pt idx="74">
                  <c:v>44287</c:v>
                </c:pt>
                <c:pt idx="75">
                  <c:v>44317</c:v>
                </c:pt>
                <c:pt idx="76">
                  <c:v>44348</c:v>
                </c:pt>
                <c:pt idx="77">
                  <c:v>44378</c:v>
                </c:pt>
                <c:pt idx="78">
                  <c:v>44409</c:v>
                </c:pt>
                <c:pt idx="79">
                  <c:v>44440</c:v>
                </c:pt>
                <c:pt idx="80">
                  <c:v>44470</c:v>
                </c:pt>
                <c:pt idx="81">
                  <c:v>44501</c:v>
                </c:pt>
                <c:pt idx="82">
                  <c:v>44531</c:v>
                </c:pt>
                <c:pt idx="83">
                  <c:v>44562</c:v>
                </c:pt>
                <c:pt idx="84">
                  <c:v>44593</c:v>
                </c:pt>
                <c:pt idx="85">
                  <c:v>44621</c:v>
                </c:pt>
                <c:pt idx="86">
                  <c:v>44652</c:v>
                </c:pt>
                <c:pt idx="87">
                  <c:v>44682</c:v>
                </c:pt>
                <c:pt idx="88">
                  <c:v>44713</c:v>
                </c:pt>
                <c:pt idx="89">
                  <c:v>44743</c:v>
                </c:pt>
                <c:pt idx="90">
                  <c:v>44774</c:v>
                </c:pt>
                <c:pt idx="91">
                  <c:v>44805</c:v>
                </c:pt>
                <c:pt idx="92">
                  <c:v>44835</c:v>
                </c:pt>
                <c:pt idx="93">
                  <c:v>44866</c:v>
                </c:pt>
                <c:pt idx="94">
                  <c:v>44896</c:v>
                </c:pt>
                <c:pt idx="95">
                  <c:v>44927</c:v>
                </c:pt>
                <c:pt idx="96">
                  <c:v>44958</c:v>
                </c:pt>
                <c:pt idx="97">
                  <c:v>44986</c:v>
                </c:pt>
                <c:pt idx="98">
                  <c:v>45017</c:v>
                </c:pt>
                <c:pt idx="99">
                  <c:v>45047</c:v>
                </c:pt>
                <c:pt idx="100">
                  <c:v>45078</c:v>
                </c:pt>
                <c:pt idx="101">
                  <c:v>45108</c:v>
                </c:pt>
                <c:pt idx="102">
                  <c:v>45139</c:v>
                </c:pt>
                <c:pt idx="103">
                  <c:v>45170</c:v>
                </c:pt>
                <c:pt idx="104">
                  <c:v>45200</c:v>
                </c:pt>
                <c:pt idx="105">
                  <c:v>45231</c:v>
                </c:pt>
                <c:pt idx="106">
                  <c:v>45261</c:v>
                </c:pt>
                <c:pt idx="107">
                  <c:v>45292</c:v>
                </c:pt>
                <c:pt idx="108">
                  <c:v>45323</c:v>
                </c:pt>
                <c:pt idx="109">
                  <c:v>45352</c:v>
                </c:pt>
                <c:pt idx="110">
                  <c:v>45383</c:v>
                </c:pt>
                <c:pt idx="111">
                  <c:v>45413</c:v>
                </c:pt>
                <c:pt idx="112">
                  <c:v>45444</c:v>
                </c:pt>
                <c:pt idx="113">
                  <c:v>45474</c:v>
                </c:pt>
                <c:pt idx="114">
                  <c:v>45505</c:v>
                </c:pt>
                <c:pt idx="115">
                  <c:v>45536</c:v>
                </c:pt>
                <c:pt idx="116">
                  <c:v>45566</c:v>
                </c:pt>
                <c:pt idx="117">
                  <c:v>45597</c:v>
                </c:pt>
                <c:pt idx="118">
                  <c:v>45627</c:v>
                </c:pt>
                <c:pt idx="119">
                  <c:v>45658</c:v>
                </c:pt>
                <c:pt idx="120">
                  <c:v>45689</c:v>
                </c:pt>
                <c:pt idx="121">
                  <c:v>45717</c:v>
                </c:pt>
                <c:pt idx="122">
                  <c:v>45748</c:v>
                </c:pt>
                <c:pt idx="123">
                  <c:v>45778</c:v>
                </c:pt>
                <c:pt idx="124">
                  <c:v>45809</c:v>
                </c:pt>
                <c:pt idx="125">
                  <c:v>45839</c:v>
                </c:pt>
                <c:pt idx="126">
                  <c:v>45870</c:v>
                </c:pt>
                <c:pt idx="127">
                  <c:v>45901</c:v>
                </c:pt>
                <c:pt idx="128">
                  <c:v>45931</c:v>
                </c:pt>
                <c:pt idx="129">
                  <c:v>45962</c:v>
                </c:pt>
                <c:pt idx="130">
                  <c:v>45992</c:v>
                </c:pt>
                <c:pt idx="131">
                  <c:v>46023</c:v>
                </c:pt>
              </c:numCache>
            </c:numRef>
          </c:cat>
          <c:val>
            <c:numRef>
              <c:f>Drawdown!$F$4:$F$135</c:f>
              <c:numCache>
                <c:formatCode>0.00%</c:formatCode>
                <c:ptCount val="132"/>
                <c:pt idx="0">
                  <c:v>0</c:v>
                </c:pt>
                <c:pt idx="1">
                  <c:v>-2.6987598480012531E-2</c:v>
                </c:pt>
                <c:pt idx="2">
                  <c:v>-1.0866060727119597E-2</c:v>
                </c:pt>
                <c:pt idx="3">
                  <c:v>-7.9220632749166242E-4</c:v>
                </c:pt>
                <c:pt idx="4">
                  <c:v>-2.8658706880330675E-2</c:v>
                </c:pt>
                <c:pt idx="5">
                  <c:v>-3.380852735807871E-2</c:v>
                </c:pt>
                <c:pt idx="6">
                  <c:v>-4.9812447200881405E-2</c:v>
                </c:pt>
                <c:pt idx="7">
                  <c:v>-5.3475153954730792E-2</c:v>
                </c:pt>
                <c:pt idx="8">
                  <c:v>0</c:v>
                </c:pt>
                <c:pt idx="9">
                  <c:v>0</c:v>
                </c:pt>
                <c:pt idx="10">
                  <c:v>-1.9826405005559655E-3</c:v>
                </c:pt>
                <c:pt idx="11">
                  <c:v>-3.8552679362191866E-2</c:v>
                </c:pt>
                <c:pt idx="12">
                  <c:v>-1.7258166738909231E-2</c:v>
                </c:pt>
                <c:pt idx="13">
                  <c:v>0</c:v>
                </c:pt>
                <c:pt idx="14">
                  <c:v>0</c:v>
                </c:pt>
                <c:pt idx="15">
                  <c:v>0</c:v>
                </c:pt>
                <c:pt idx="16">
                  <c:v>0</c:v>
                </c:pt>
                <c:pt idx="17">
                  <c:v>0</c:v>
                </c:pt>
                <c:pt idx="18">
                  <c:v>0</c:v>
                </c:pt>
                <c:pt idx="19">
                  <c:v>0</c:v>
                </c:pt>
                <c:pt idx="20">
                  <c:v>-5.1242384980904054E-3</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-2.7123411556963295E-2</c:v>
                </c:pt>
                <c:pt idx="37">
                  <c:v>-4.9016723297539144E-2</c:v>
                </c:pt>
                <c:pt idx="38">
                  <c:v>-6.2959230001923938E-2</c:v>
                </c:pt>
                <c:pt idx="39">
                  <c:v>-3.3808595406026209E-2</c:v>
                </c:pt>
                <c:pt idx="40">
                  <c:v>-4.8126533162736296E-2</c:v>
                </c:pt>
                <c:pt idx="41">
                  <c:v>-2.0535325723000875E-2</c:v>
                </c:pt>
                <c:pt idx="42">
                  <c:v>0</c:v>
                </c:pt>
                <c:pt idx="43">
                  <c:v>-2.2517792421937743E-3</c:v>
                </c:pt>
                <c:pt idx="44">
                  <c:v>-6.6526777278109628E-2</c:v>
                </c:pt>
                <c:pt idx="45">
                  <c:v>-8.6192554137321409E-2</c:v>
                </c:pt>
                <c:pt idx="46">
                  <c:v>-0.15188359775988491</c:v>
                </c:pt>
                <c:pt idx="47">
                  <c:v>-9.7766278698230735E-2</c:v>
                </c:pt>
                <c:pt idx="48">
                  <c:v>-6.8028295318554033E-2</c:v>
                </c:pt>
                <c:pt idx="49">
                  <c:v>-3.7141837145039158E-2</c:v>
                </c:pt>
                <c:pt idx="50">
                  <c:v>-4.1921140422696013E-4</c:v>
                </c:pt>
                <c:pt idx="51">
                  <c:v>-7.8638432125159863E-2</c:v>
                </c:pt>
                <c:pt idx="52">
                  <c:v>0</c:v>
                </c:pt>
                <c:pt idx="53">
                  <c:v>0</c:v>
                </c:pt>
                <c:pt idx="54">
                  <c:v>0</c:v>
                </c:pt>
                <c:pt idx="55">
                  <c:v>0</c:v>
                </c:pt>
                <c:pt idx="56">
                  <c:v>0</c:v>
                </c:pt>
                <c:pt idx="57">
                  <c:v>0</c:v>
                </c:pt>
                <c:pt idx="58">
                  <c:v>0</c:v>
                </c:pt>
                <c:pt idx="59">
                  <c:v>0</c:v>
                </c:pt>
                <c:pt idx="60">
                  <c:v>-3.5395321408939417E-2</c:v>
                </c:pt>
                <c:pt idx="61">
                  <c:v>-0.11755815660477631</c:v>
                </c:pt>
                <c:pt idx="62">
                  <c:v>-2.8180902521792173E-2</c:v>
                </c:pt>
                <c:pt idx="63">
                  <c:v>0</c:v>
                </c:pt>
                <c:pt idx="64">
                  <c:v>0</c:v>
                </c:pt>
                <c:pt idx="65">
                  <c:v>0</c:v>
                </c:pt>
                <c:pt idx="66">
                  <c:v>0</c:v>
                </c:pt>
                <c:pt idx="67">
                  <c:v>-2.9161990953694095E-2</c:v>
                </c:pt>
                <c:pt idx="68">
                  <c:v>-5.393059961991542E-2</c:v>
                </c:pt>
                <c:pt idx="69">
                  <c:v>0</c:v>
                </c:pt>
                <c:pt idx="70">
                  <c:v>0</c:v>
                </c:pt>
                <c:pt idx="71">
                  <c:v>-1.7326516882805731E-2</c:v>
                </c:pt>
                <c:pt idx="72">
                  <c:v>-7.6647932503937088E-4</c:v>
                </c:pt>
                <c:pt idx="73">
                  <c:v>0</c:v>
                </c:pt>
                <c:pt idx="74">
                  <c:v>0</c:v>
                </c:pt>
                <c:pt idx="75">
                  <c:v>0</c:v>
                </c:pt>
                <c:pt idx="76">
                  <c:v>0</c:v>
                </c:pt>
                <c:pt idx="77">
                  <c:v>0</c:v>
                </c:pt>
                <c:pt idx="78">
                  <c:v>0</c:v>
                </c:pt>
                <c:pt idx="79">
                  <c:v>-4.0449967038657997E-2</c:v>
                </c:pt>
                <c:pt idx="80">
                  <c:v>0</c:v>
                </c:pt>
                <c:pt idx="81">
                  <c:v>0</c:v>
                </c:pt>
                <c:pt idx="82">
                  <c:v>0</c:v>
                </c:pt>
                <c:pt idx="83">
                  <c:v>-6.2879335860719698E-2</c:v>
                </c:pt>
                <c:pt idx="84">
                  <c:v>-7.3290271264137008E-2</c:v>
                </c:pt>
                <c:pt idx="85">
                  <c:v>-4.774002079035522E-2</c:v>
                </c:pt>
                <c:pt idx="86">
                  <c:v>-0.1453351606881399</c:v>
                </c:pt>
                <c:pt idx="87">
                  <c:v>-0.14860727520099215</c:v>
                </c:pt>
                <c:pt idx="88">
                  <c:v>-0.2247099202842886</c:v>
                </c:pt>
                <c:pt idx="89">
                  <c:v>-0.17164205687236145</c:v>
                </c:pt>
                <c:pt idx="90">
                  <c:v>-0.21660221589707751</c:v>
                </c:pt>
                <c:pt idx="91">
                  <c:v>-0.29410803015585252</c:v>
                </c:pt>
                <c:pt idx="92">
                  <c:v>-0.24220516464875064</c:v>
                </c:pt>
                <c:pt idx="93">
                  <c:v>-0.1634026237962265</c:v>
                </c:pt>
                <c:pt idx="94">
                  <c:v>-0.20139094818846393</c:v>
                </c:pt>
                <c:pt idx="95">
                  <c:v>-0.12548003736456592</c:v>
                </c:pt>
                <c:pt idx="96">
                  <c:v>-0.11771801487736255</c:v>
                </c:pt>
                <c:pt idx="97">
                  <c:v>-5.7656318858345768E-2</c:v>
                </c:pt>
                <c:pt idx="98">
                  <c:v>-4.1331436901977825E-2</c:v>
                </c:pt>
                <c:pt idx="99">
                  <c:v>0</c:v>
                </c:pt>
                <c:pt idx="100">
                  <c:v>0</c:v>
                </c:pt>
                <c:pt idx="101">
                  <c:v>0</c:v>
                </c:pt>
                <c:pt idx="102">
                  <c:v>-1.2297172267483059E-2</c:v>
                </c:pt>
                <c:pt idx="103">
                  <c:v>-7.0031223632141204E-2</c:v>
                </c:pt>
                <c:pt idx="104">
                  <c:v>-7.5202790567200473E-2</c:v>
                </c:pt>
                <c:pt idx="105">
                  <c:v>0</c:v>
                </c:pt>
                <c:pt idx="106">
                  <c:v>0</c:v>
                </c:pt>
                <c:pt idx="107">
                  <c:v>0</c:v>
                </c:pt>
                <c:pt idx="108">
                  <c:v>0</c:v>
                </c:pt>
                <c:pt idx="109">
                  <c:v>0</c:v>
                </c:pt>
                <c:pt idx="110">
                  <c:v>-2.3994202025727662E-2</c:v>
                </c:pt>
                <c:pt idx="111">
                  <c:v>0</c:v>
                </c:pt>
                <c:pt idx="112">
                  <c:v>0</c:v>
                </c:pt>
                <c:pt idx="113">
                  <c:v>0</c:v>
                </c:pt>
                <c:pt idx="114">
                  <c:v>0</c:v>
                </c:pt>
                <c:pt idx="115">
                  <c:v>0</c:v>
                </c:pt>
                <c:pt idx="116">
                  <c:v>0</c:v>
                </c:pt>
                <c:pt idx="117">
                  <c:v>0</c:v>
                </c:pt>
                <c:pt idx="118">
                  <c:v>-2.6793790477993462E-2</c:v>
                </c:pt>
                <c:pt idx="119">
                  <c:v>-1.1847480847976377E-2</c:v>
                </c:pt>
                <c:pt idx="120">
                  <c:v>-5.1444867747068024E-3</c:v>
                </c:pt>
                <c:pt idx="121">
                  <c:v>-4.3848922181066508E-2</c:v>
                </c:pt>
                <c:pt idx="122">
                  <c:v>-3.6278514148268548E-2</c:v>
                </c:pt>
                <c:pt idx="123">
                  <c:v>0</c:v>
                </c:pt>
                <c:pt idx="124">
                  <c:v>0</c:v>
                </c:pt>
                <c:pt idx="125">
                  <c:v>0</c:v>
                </c:pt>
                <c:pt idx="126">
                  <c:v>0</c:v>
                </c:pt>
                <c:pt idx="127">
                  <c:v>0</c:v>
                </c:pt>
                <c:pt idx="128">
                  <c:v>0</c:v>
                </c:pt>
                <c:pt idx="129">
                  <c:v>-1.6046522504051808E-2</c:v>
                </c:pt>
                <c:pt idx="130">
                  <c:v>-4.0871959059700647E-3</c:v>
                </c:pt>
                <c:pt idx="131">
                  <c:v>0</c:v>
                </c:pt>
              </c:numCache>
            </c:numRef>
          </c:val>
          <c:extLst>
            <c:ext xmlns:c16="http://schemas.microsoft.com/office/drawing/2014/chart" uri="{C3380CC4-5D6E-409C-BE32-E72D297353CC}">
              <c16:uniqueId val="{00000000-C2C5-4EB6-A347-4A4945F6640A}"/>
            </c:ext>
          </c:extLst>
        </c:ser>
        <c:dLbls>
          <c:showLegendKey val="0"/>
          <c:showVal val="0"/>
          <c:showCatName val="0"/>
          <c:showSerName val="0"/>
          <c:showPercent val="0"/>
          <c:showBubbleSize val="0"/>
        </c:dLbls>
        <c:axId val="625514248"/>
        <c:axId val="625516048"/>
      </c:areaChart>
      <c:dateAx>
        <c:axId val="625514248"/>
        <c:scaling>
          <c:orientation val="minMax"/>
        </c:scaling>
        <c:delete val="0"/>
        <c:axPos val="b"/>
        <c:numFmt formatCode="m/d/yy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625516048"/>
        <c:crosses val="autoZero"/>
        <c:auto val="1"/>
        <c:lblOffset val="100"/>
        <c:baseTimeUnit val="months"/>
        <c:majorUnit val="1"/>
        <c:majorTimeUnit val="years"/>
        <c:minorUnit val="1"/>
        <c:minorTimeUnit val="years"/>
      </c:dateAx>
      <c:valAx>
        <c:axId val="625516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6255142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Weight vs Risk Contribution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Risk_Contribution!$B$1</c:f>
              <c:strCache>
                <c:ptCount val="1"/>
                <c:pt idx="0">
                  <c:v>Weight</c:v>
                </c:pt>
              </c:strCache>
            </c:strRef>
          </c:tx>
          <c:spPr>
            <a:solidFill>
              <a:srgbClr val="66A2D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e-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ullRef>
                    <c15:sqref>Risk_Contribution!$A$2:$A$11</c15:sqref>
                  </c15:fullRef>
                </c:ext>
              </c:extLst>
              <c:f>(Risk_Contribution!$A$2,Risk_Contribution!$A$4:$A$7,Risk_Contribution!$A$9,Risk_Contribution!$A$11)</c:f>
              <c:strCache>
                <c:ptCount val="7"/>
                <c:pt idx="0">
                  <c:v>GLD</c:v>
                </c:pt>
                <c:pt idx="1">
                  <c:v>SPY</c:v>
                </c:pt>
                <c:pt idx="2">
                  <c:v>JPM</c:v>
                </c:pt>
                <c:pt idx="3">
                  <c:v>NVDA</c:v>
                </c:pt>
                <c:pt idx="4">
                  <c:v>PG</c:v>
                </c:pt>
                <c:pt idx="5">
                  <c:v>VGT</c:v>
                </c:pt>
                <c:pt idx="6">
                  <c:v>VXUS</c:v>
                </c:pt>
              </c:strCache>
            </c:strRef>
          </c:cat>
          <c:val>
            <c:numRef>
              <c:extLst>
                <c:ext xmlns:c15="http://schemas.microsoft.com/office/drawing/2012/chart" uri="{02D57815-91ED-43cb-92C2-25804820EDAC}">
                  <c15:fullRef>
                    <c15:sqref>Risk_Contribution!$B$2:$B$11</c15:sqref>
                  </c15:fullRef>
                </c:ext>
              </c:extLst>
              <c:f>(Risk_Contribution!$B$2,Risk_Contribution!$B$4:$B$7,Risk_Contribution!$B$9,Risk_Contribution!$B$11)</c:f>
              <c:numCache>
                <c:formatCode>General</c:formatCode>
                <c:ptCount val="7"/>
                <c:pt idx="0">
                  <c:v>0.2</c:v>
                </c:pt>
                <c:pt idx="1">
                  <c:v>0.25</c:v>
                </c:pt>
                <c:pt idx="2">
                  <c:v>0.1</c:v>
                </c:pt>
                <c:pt idx="3">
                  <c:v>0.15</c:v>
                </c:pt>
                <c:pt idx="4">
                  <c:v>0.1</c:v>
                </c:pt>
                <c:pt idx="5">
                  <c:v>0.15</c:v>
                </c:pt>
                <c:pt idx="6">
                  <c:v>0.05</c:v>
                </c:pt>
              </c:numCache>
            </c:numRef>
          </c:val>
          <c:extLst>
            <c:ext xmlns:c16="http://schemas.microsoft.com/office/drawing/2014/chart" uri="{C3380CC4-5D6E-409C-BE32-E72D297353CC}">
              <c16:uniqueId val="{00000000-9270-4984-AC3F-3289AB2A748F}"/>
            </c:ext>
          </c:extLst>
        </c:ser>
        <c:ser>
          <c:idx val="1"/>
          <c:order val="1"/>
          <c:tx>
            <c:strRef>
              <c:f>Risk_Contribution!$D$1</c:f>
              <c:strCache>
                <c:ptCount val="1"/>
                <c:pt idx="0">
                  <c:v>Risk Contribution (%)</c:v>
                </c:pt>
              </c:strCache>
            </c:strRef>
          </c:tx>
          <c:spPr>
            <a:solidFill>
              <a:srgbClr val="EE86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e-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extLst>
                <c:ext xmlns:c15="http://schemas.microsoft.com/office/drawing/2012/chart" uri="{02D57815-91ED-43cb-92C2-25804820EDAC}">
                  <c15:fullRef>
                    <c15:sqref>Risk_Contribution!$A$2:$A$11</c15:sqref>
                  </c15:fullRef>
                </c:ext>
              </c:extLst>
              <c:f>(Risk_Contribution!$A$2,Risk_Contribution!$A$4:$A$7,Risk_Contribution!$A$9,Risk_Contribution!$A$11)</c:f>
              <c:strCache>
                <c:ptCount val="7"/>
                <c:pt idx="0">
                  <c:v>GLD</c:v>
                </c:pt>
                <c:pt idx="1">
                  <c:v>SPY</c:v>
                </c:pt>
                <c:pt idx="2">
                  <c:v>JPM</c:v>
                </c:pt>
                <c:pt idx="3">
                  <c:v>NVDA</c:v>
                </c:pt>
                <c:pt idx="4">
                  <c:v>PG</c:v>
                </c:pt>
                <c:pt idx="5">
                  <c:v>VGT</c:v>
                </c:pt>
                <c:pt idx="6">
                  <c:v>VXUS</c:v>
                </c:pt>
              </c:strCache>
            </c:strRef>
          </c:cat>
          <c:val>
            <c:numRef>
              <c:extLst>
                <c:ext xmlns:c15="http://schemas.microsoft.com/office/drawing/2012/chart" uri="{02D57815-91ED-43cb-92C2-25804820EDAC}">
                  <c15:fullRef>
                    <c15:sqref>Risk_Contribution!$D$2:$D$11</c15:sqref>
                  </c15:fullRef>
                </c:ext>
              </c:extLst>
              <c:f>(Risk_Contribution!$D$2,Risk_Contribution!$D$4:$D$7,Risk_Contribution!$D$9,Risk_Contribution!$D$11)</c:f>
              <c:numCache>
                <c:formatCode>0%</c:formatCode>
                <c:ptCount val="7"/>
                <c:pt idx="0">
                  <c:v>3.7144492148861057E-2</c:v>
                </c:pt>
                <c:pt idx="1">
                  <c:v>0.23138129648936945</c:v>
                </c:pt>
                <c:pt idx="2">
                  <c:v>9.8534216207191536E-2</c:v>
                </c:pt>
                <c:pt idx="3">
                  <c:v>0.37756294301704363</c:v>
                </c:pt>
                <c:pt idx="4">
                  <c:v>3.5016788547601263E-2</c:v>
                </c:pt>
                <c:pt idx="5">
                  <c:v>0.18044083558760055</c:v>
                </c:pt>
                <c:pt idx="6">
                  <c:v>3.9919428002332481E-2</c:v>
                </c:pt>
              </c:numCache>
            </c:numRef>
          </c:val>
          <c:extLst>
            <c:ext xmlns:c16="http://schemas.microsoft.com/office/drawing/2014/chart" uri="{C3380CC4-5D6E-409C-BE32-E72D297353CC}">
              <c16:uniqueId val="{00000001-9270-4984-AC3F-3289AB2A748F}"/>
            </c:ext>
          </c:extLst>
        </c:ser>
        <c:dLbls>
          <c:showLegendKey val="0"/>
          <c:showVal val="0"/>
          <c:showCatName val="0"/>
          <c:showSerName val="0"/>
          <c:showPercent val="0"/>
          <c:showBubbleSize val="0"/>
        </c:dLbls>
        <c:gapWidth val="100"/>
        <c:overlap val="-24"/>
        <c:axId val="724613128"/>
        <c:axId val="724613848"/>
      </c:barChart>
      <c:catAx>
        <c:axId val="7246131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crossAx val="724613848"/>
        <c:crosses val="autoZero"/>
        <c:auto val="1"/>
        <c:lblAlgn val="ctr"/>
        <c:lblOffset val="100"/>
        <c:noMultiLvlLbl val="0"/>
      </c:catAx>
      <c:valAx>
        <c:axId val="72461384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crossAx val="724613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CAPM Regression: Portfolio vs Market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he-IL"/>
        </a:p>
      </c:txPr>
    </c:title>
    <c:autoTitleDeleted val="0"/>
    <c:plotArea>
      <c:layout/>
      <c:scatterChart>
        <c:scatterStyle val="lineMarker"/>
        <c:varyColors val="0"/>
        <c:ser>
          <c:idx val="0"/>
          <c:order val="0"/>
          <c:tx>
            <c:strRef>
              <c:f>CAPM!$G$3</c:f>
              <c:strCache>
                <c:ptCount val="1"/>
                <c:pt idx="0">
                  <c:v>SPY Excess Return</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12700" cap="rnd">
                <a:solidFill>
                  <a:schemeClr val="accent1"/>
                </a:solidFill>
              </a:ln>
              <a:effectLst/>
            </c:spPr>
            <c:trendlineType val="linear"/>
            <c:dispRSqr val="1"/>
            <c:dispEq val="1"/>
            <c:trendlineLbl>
              <c:layout>
                <c:manualLayout>
                  <c:x val="-0.55885585132580218"/>
                  <c:y val="0.11184459350830379"/>
                </c:manualLayout>
              </c:layout>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he-IL"/>
                      <a:t>  0.9639</a:t>
                    </a:r>
                    <a:r>
                      <a:rPr lang="en-US"/>
                      <a:t>X </a:t>
                    </a:r>
                    <a:r>
                      <a:rPr lang="he-IL"/>
                      <a:t> + 0.0124</a:t>
                    </a:r>
                    <a:r>
                      <a:rPr lang="en-US"/>
                      <a:t>Y = </a:t>
                    </a:r>
                    <a:br>
                      <a:rPr lang="he-IL"/>
                    </a:br>
                    <a:r>
                      <a:rPr lang="he-IL"/>
                      <a:t>  </a:t>
                    </a:r>
                    <a:r>
                      <a:rPr lang="en-US"/>
                      <a:t>  </a:t>
                    </a:r>
                    <a:r>
                      <a:rPr lang="he-IL"/>
                      <a:t>0.824</a:t>
                    </a:r>
                    <a:r>
                      <a:rPr lang="en-US"/>
                      <a:t>=</a:t>
                    </a:r>
                    <a:r>
                      <a:rPr lang="he-IL"/>
                      <a:t>²</a:t>
                    </a:r>
                    <a:r>
                      <a:rPr lang="en-US"/>
                      <a:t>  </a:t>
                    </a:r>
                    <a:r>
                      <a:rPr lang="he-IL"/>
                      <a:t>R</a:t>
                    </a: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trendlineLbl>
          </c:trendline>
          <c:trendline>
            <c:spPr>
              <a:ln w="9525" cap="rnd">
                <a:solidFill>
                  <a:schemeClr val="accent1"/>
                </a:solidFill>
              </a:ln>
              <a:effectLst/>
            </c:spPr>
            <c:trendlineType val="log"/>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trendlineLbl>
          </c:trendline>
          <c:xVal>
            <c:numRef>
              <c:f>CAPM!$G$4:$G$43</c:f>
              <c:numCache>
                <c:formatCode>General</c:formatCode>
                <c:ptCount val="40"/>
                <c:pt idx="0">
                  <c:v>7.7942214009742855E-2</c:v>
                </c:pt>
                <c:pt idx="1">
                  <c:v>5.2258184234829162E-2</c:v>
                </c:pt>
                <c:pt idx="2">
                  <c:v>-6.5269165358451092E-2</c:v>
                </c:pt>
                <c:pt idx="3">
                  <c:v>5.9553992451777692E-2</c:v>
                </c:pt>
                <c:pt idx="4">
                  <c:v>-2.8476021780489504E-2</c:v>
                </c:pt>
                <c:pt idx="5">
                  <c:v>2.9801477144635623E-2</c:v>
                </c:pt>
                <c:pt idx="6">
                  <c:v>1.2641653842709065E-2</c:v>
                </c:pt>
                <c:pt idx="7">
                  <c:v>1.2828280399746696E-3</c:v>
                </c:pt>
                <c:pt idx="8">
                  <c:v>5.7525826652307398E-2</c:v>
                </c:pt>
                <c:pt idx="9">
                  <c:v>2.9399927810864611E-2</c:v>
                </c:pt>
                <c:pt idx="10">
                  <c:v>-1.9585326605357646E-2</c:v>
                </c:pt>
                <c:pt idx="11">
                  <c:v>-5.4116057880907488E-2</c:v>
                </c:pt>
                <c:pt idx="12">
                  <c:v>-2.5041951280371823E-2</c:v>
                </c:pt>
                <c:pt idx="13">
                  <c:v>8.8010521281683379E-2</c:v>
                </c:pt>
                <c:pt idx="14">
                  <c:v>3.8099620216184592E-2</c:v>
                </c:pt>
                <c:pt idx="15">
                  <c:v>1.2593114669023096E-2</c:v>
                </c:pt>
                <c:pt idx="16">
                  <c:v>4.8853545394300944E-2</c:v>
                </c:pt>
                <c:pt idx="17">
                  <c:v>2.6169894504802414E-2</c:v>
                </c:pt>
                <c:pt idx="18">
                  <c:v>-4.3652984622835768E-2</c:v>
                </c:pt>
                <c:pt idx="19">
                  <c:v>4.7246371037358591E-2</c:v>
                </c:pt>
                <c:pt idx="20">
                  <c:v>2.8617668809374962E-2</c:v>
                </c:pt>
                <c:pt idx="21">
                  <c:v>8.7757402031039752E-3</c:v>
                </c:pt>
                <c:pt idx="22">
                  <c:v>2.0032255526709251E-2</c:v>
                </c:pt>
                <c:pt idx="23">
                  <c:v>1.4549153183839612E-2</c:v>
                </c:pt>
                <c:pt idx="24">
                  <c:v>-1.2256925079011029E-2</c:v>
                </c:pt>
                <c:pt idx="25">
                  <c:v>5.6300178202963812E-2</c:v>
                </c:pt>
                <c:pt idx="26">
                  <c:v>-3.0667164550659577E-2</c:v>
                </c:pt>
                <c:pt idx="27">
                  <c:v>2.352306852306859E-2</c:v>
                </c:pt>
                <c:pt idx="28">
                  <c:v>-1.6028159028724155E-2</c:v>
                </c:pt>
                <c:pt idx="29">
                  <c:v>-6.1884614090006375E-2</c:v>
                </c:pt>
                <c:pt idx="30">
                  <c:v>-1.2003491898913733E-2</c:v>
                </c:pt>
                <c:pt idx="31">
                  <c:v>5.9511547108113648E-2</c:v>
                </c:pt>
                <c:pt idx="32">
                  <c:v>4.495387886911336E-2</c:v>
                </c:pt>
                <c:pt idx="33">
                  <c:v>1.969814679938494E-2</c:v>
                </c:pt>
                <c:pt idx="34">
                  <c:v>1.7186221153440449E-2</c:v>
                </c:pt>
                <c:pt idx="35">
                  <c:v>2.9423817275146723E-2</c:v>
                </c:pt>
                <c:pt idx="36">
                  <c:v>2.0504067969617866E-2</c:v>
                </c:pt>
                <c:pt idx="37">
                  <c:v>-1.3833582578267954E-3</c:v>
                </c:pt>
                <c:pt idx="38">
                  <c:v>-5.4843744665076591E-3</c:v>
                </c:pt>
                <c:pt idx="39">
                  <c:v>1.0949867042077198E-2</c:v>
                </c:pt>
              </c:numCache>
            </c:numRef>
          </c:xVal>
          <c:yVal>
            <c:numRef>
              <c:f>CAPM!$F$4:$F$43</c:f>
              <c:numCache>
                <c:formatCode>General</c:formatCode>
                <c:ptCount val="40"/>
                <c:pt idx="0">
                  <c:v>7.0194724646838513E-2</c:v>
                </c:pt>
                <c:pt idx="1">
                  <c:v>0.10065594881576612</c:v>
                </c:pt>
                <c:pt idx="2">
                  <c:v>-4.8741465731848586E-2</c:v>
                </c:pt>
                <c:pt idx="3">
                  <c:v>9.1720574076105316E-2</c:v>
                </c:pt>
                <c:pt idx="4">
                  <c:v>5.5424189023445206E-3</c:v>
                </c:pt>
                <c:pt idx="5">
                  <c:v>6.4742063118297805E-2</c:v>
                </c:pt>
                <c:pt idx="6">
                  <c:v>1.3990369636479989E-2</c:v>
                </c:pt>
                <c:pt idx="7">
                  <c:v>4.9857360868756029E-2</c:v>
                </c:pt>
                <c:pt idx="8">
                  <c:v>4.957086992533416E-2</c:v>
                </c:pt>
                <c:pt idx="9">
                  <c:v>4.2985114543980157E-2</c:v>
                </c:pt>
                <c:pt idx="10">
                  <c:v>-1.5630505692242679E-2</c:v>
                </c:pt>
                <c:pt idx="11">
                  <c:v>-6.1786189551411616E-2</c:v>
                </c:pt>
                <c:pt idx="12">
                  <c:v>-8.8943447499933801E-3</c:v>
                </c:pt>
                <c:pt idx="13">
                  <c:v>8.5229360894268191E-2</c:v>
                </c:pt>
                <c:pt idx="14">
                  <c:v>3.174597646501149E-2</c:v>
                </c:pt>
                <c:pt idx="15">
                  <c:v>4.6137057387637494E-2</c:v>
                </c:pt>
                <c:pt idx="16">
                  <c:v>7.0048208813427285E-2</c:v>
                </c:pt>
                <c:pt idx="17">
                  <c:v>5.5767840309315246E-2</c:v>
                </c:pt>
                <c:pt idx="18">
                  <c:v>-2.7327535412128852E-2</c:v>
                </c:pt>
                <c:pt idx="19">
                  <c:v>7.3483261340509032E-2</c:v>
                </c:pt>
                <c:pt idx="20">
                  <c:v>3.4452674450816227E-2</c:v>
                </c:pt>
                <c:pt idx="21">
                  <c:v>4.278561973851033E-3</c:v>
                </c:pt>
                <c:pt idx="22">
                  <c:v>2.482748125533522E-2</c:v>
                </c:pt>
                <c:pt idx="23">
                  <c:v>1.3043521265425941E-2</c:v>
                </c:pt>
                <c:pt idx="24">
                  <c:v>1.4320131507391542E-2</c:v>
                </c:pt>
                <c:pt idx="25">
                  <c:v>4.2758674227551426E-2</c:v>
                </c:pt>
                <c:pt idx="26">
                  <c:v>-3.0127123861102726E-2</c:v>
                </c:pt>
                <c:pt idx="27">
                  <c:v>1.202447020601349E-2</c:v>
                </c:pt>
                <c:pt idx="28">
                  <c:v>3.4500264529238804E-3</c:v>
                </c:pt>
                <c:pt idx="29">
                  <c:v>-4.2237912925203902E-2</c:v>
                </c:pt>
                <c:pt idx="30">
                  <c:v>4.5842522921259003E-3</c:v>
                </c:pt>
                <c:pt idx="31">
                  <c:v>7.8737127940398721E-2</c:v>
                </c:pt>
                <c:pt idx="32">
                  <c:v>5.4200985789653877E-2</c:v>
                </c:pt>
                <c:pt idx="33">
                  <c:v>2.2401110513227011E-2</c:v>
                </c:pt>
                <c:pt idx="34">
                  <c:v>1.8315206926488119E-2</c:v>
                </c:pt>
                <c:pt idx="35">
                  <c:v>5.3681077299920929E-2</c:v>
                </c:pt>
                <c:pt idx="36">
                  <c:v>2.9187404659886083E-2</c:v>
                </c:pt>
                <c:pt idx="37">
                  <c:v>-1.9379855829562229E-2</c:v>
                </c:pt>
                <c:pt idx="38">
                  <c:v>8.8210285417698632E-3</c:v>
                </c:pt>
                <c:pt idx="39">
                  <c:v>1.7042562803550265E-2</c:v>
                </c:pt>
              </c:numCache>
            </c:numRef>
          </c:yVal>
          <c:smooth val="0"/>
          <c:extLst>
            <c:ext xmlns:c16="http://schemas.microsoft.com/office/drawing/2014/chart" uri="{C3380CC4-5D6E-409C-BE32-E72D297353CC}">
              <c16:uniqueId val="{00000002-D1BF-4369-ABA5-BD16019334F4}"/>
            </c:ext>
          </c:extLst>
        </c:ser>
        <c:dLbls>
          <c:showLegendKey val="0"/>
          <c:showVal val="0"/>
          <c:showCatName val="0"/>
          <c:showSerName val="0"/>
          <c:showPercent val="0"/>
          <c:showBubbleSize val="0"/>
        </c:dLbls>
        <c:axId val="682732336"/>
        <c:axId val="682729456"/>
      </c:scatterChart>
      <c:valAx>
        <c:axId val="68273233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sz="1000"/>
                  <a:t>SPY Excess Return</a:t>
                </a:r>
              </a:p>
            </c:rich>
          </c:tx>
          <c:layout>
            <c:manualLayout>
              <c:xMode val="edge"/>
              <c:yMode val="edge"/>
              <c:x val="0.4746947320994595"/>
              <c:y val="0.9344988139183454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he-IL"/>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crossAx val="682729456"/>
        <c:crosses val="autoZero"/>
        <c:crossBetween val="midCat"/>
      </c:valAx>
      <c:valAx>
        <c:axId val="6827294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US" sz="1000"/>
                  <a:t>Portfolio Excess Return</a:t>
                </a:r>
              </a:p>
            </c:rich>
          </c:tx>
          <c:layout>
            <c:manualLayout>
              <c:xMode val="edge"/>
              <c:yMode val="edge"/>
              <c:x val="8.1977647911604338E-3"/>
              <c:y val="0.1943169483456723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he-IL"/>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e-IL"/>
          </a:p>
        </c:txPr>
        <c:crossAx val="6827323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he-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9525</xdr:colOff>
      <xdr:row>2</xdr:row>
      <xdr:rowOff>9526</xdr:rowOff>
    </xdr:from>
    <xdr:to>
      <xdr:col>11</xdr:col>
      <xdr:colOff>561975</xdr:colOff>
      <xdr:row>3</xdr:row>
      <xdr:rowOff>95251</xdr:rowOff>
    </xdr:to>
    <xdr:sp macro="" textlink="">
      <xdr:nvSpPr>
        <xdr:cNvPr id="2" name="TextBox 1">
          <a:extLst>
            <a:ext uri="{FF2B5EF4-FFF2-40B4-BE49-F238E27FC236}">
              <a16:creationId xmlns:a16="http://schemas.microsoft.com/office/drawing/2014/main" id="{5FF12DEC-E47D-D30D-4D45-3F2DAA22A8C2}"/>
            </a:ext>
          </a:extLst>
        </xdr:cNvPr>
        <xdr:cNvSpPr txBox="1"/>
      </xdr:nvSpPr>
      <xdr:spPr>
        <a:xfrm>
          <a:off x="4905375" y="371476"/>
          <a:ext cx="4667250" cy="285750"/>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a:t>This sheet defines the key parameters used throughout the portfolio analysis.</a:t>
          </a:r>
          <a:endParaRPr lang="he-IL"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12</xdr:col>
      <xdr:colOff>19050</xdr:colOff>
      <xdr:row>1</xdr:row>
      <xdr:rowOff>19050</xdr:rowOff>
    </xdr:from>
    <xdr:ext cx="4848225" cy="280205"/>
    <xdr:sp macro="" textlink="">
      <xdr:nvSpPr>
        <xdr:cNvPr id="2" name="TextBox 1">
          <a:extLst>
            <a:ext uri="{FF2B5EF4-FFF2-40B4-BE49-F238E27FC236}">
              <a16:creationId xmlns:a16="http://schemas.microsoft.com/office/drawing/2014/main" id="{A20120DD-1B08-6245-1F19-C339F9D5BAE2}"/>
            </a:ext>
          </a:extLst>
        </xdr:cNvPr>
        <xdr:cNvSpPr txBox="1"/>
      </xdr:nvSpPr>
      <xdr:spPr>
        <a:xfrm>
          <a:off x="8372475" y="200025"/>
          <a:ext cx="4848225" cy="280205"/>
        </a:xfrm>
        <a:prstGeom prst="rect">
          <a:avLst/>
        </a:prstGeom>
        <a:solidFill>
          <a:schemeClr val="bg2"/>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r>
            <a:rPr lang="en-US" sz="1200"/>
            <a:t>The Timeline sheet brings all assets onto the same monthly timeline</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13</xdr:col>
      <xdr:colOff>9525</xdr:colOff>
      <xdr:row>2</xdr:row>
      <xdr:rowOff>19049</xdr:rowOff>
    </xdr:from>
    <xdr:ext cx="4705350" cy="655949"/>
    <xdr:sp macro="" textlink="">
      <xdr:nvSpPr>
        <xdr:cNvPr id="5" name="TextBox 4">
          <a:extLst>
            <a:ext uri="{FF2B5EF4-FFF2-40B4-BE49-F238E27FC236}">
              <a16:creationId xmlns:a16="http://schemas.microsoft.com/office/drawing/2014/main" id="{5C822E12-D64E-5FA1-F3EA-11C9E245C20D}"/>
            </a:ext>
          </a:extLst>
        </xdr:cNvPr>
        <xdr:cNvSpPr txBox="1"/>
      </xdr:nvSpPr>
      <xdr:spPr>
        <a:xfrm>
          <a:off x="8991600" y="457199"/>
          <a:ext cx="4705350" cy="655949"/>
        </a:xfrm>
        <a:prstGeom prst="rect">
          <a:avLst/>
        </a:prstGeom>
        <a:solidFill>
          <a:schemeClr val="bg2"/>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r>
            <a:rPr lang="en-US" sz="1200" b="0" cap="none" spc="0">
              <a:ln w="0"/>
              <a:solidFill>
                <a:schemeClr val="tx1"/>
              </a:solidFill>
              <a:effectLst>
                <a:outerShdw blurRad="38100" dist="19050" dir="2700000" algn="tl" rotWithShape="0">
                  <a:schemeClr val="dk1">
                    <a:alpha val="40000"/>
                  </a:schemeClr>
                </a:outerShdw>
              </a:effectLst>
            </a:rPr>
            <a:t>The Returns sheet converts monthly price data into monthly percentage returns for each asset.</a:t>
          </a:r>
        </a:p>
        <a:p>
          <a:r>
            <a:rPr lang="en-US" sz="1200" b="0" cap="none" spc="0">
              <a:ln w="0"/>
              <a:solidFill>
                <a:schemeClr val="tx1"/>
              </a:solidFill>
              <a:effectLst>
                <a:outerShdw blurRad="38100" dist="19050" dir="2700000" algn="tl" rotWithShape="0">
                  <a:schemeClr val="dk1">
                    <a:alpha val="40000"/>
                  </a:schemeClr>
                </a:outerShdw>
              </a:effectLst>
            </a:rPr>
            <a:t>Each value represents the price change from one month to the next.</a:t>
          </a:r>
          <a:endParaRPr lang="he-IL"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8</xdr:col>
      <xdr:colOff>0</xdr:colOff>
      <xdr:row>120</xdr:row>
      <xdr:rowOff>0</xdr:rowOff>
    </xdr:from>
    <xdr:to>
      <xdr:col>9</xdr:col>
      <xdr:colOff>76200</xdr:colOff>
      <xdr:row>123</xdr:row>
      <xdr:rowOff>0</xdr:rowOff>
    </xdr:to>
    <xdr:sp macro="" textlink="">
      <xdr:nvSpPr>
        <xdr:cNvPr id="2" name="Text Box 1">
          <a:extLst>
            <a:ext uri="{FF2B5EF4-FFF2-40B4-BE49-F238E27FC236}">
              <a16:creationId xmlns:a16="http://schemas.microsoft.com/office/drawing/2014/main" id="{0945A006-8134-4464-97EB-0D6D6F733EA1}"/>
            </a:ext>
          </a:extLst>
        </xdr:cNvPr>
        <xdr:cNvSpPr txBox="1">
          <a:spLocks noChangeArrowheads="1"/>
        </xdr:cNvSpPr>
      </xdr:nvSpPr>
      <xdr:spPr bwMode="auto">
        <a:xfrm>
          <a:off x="5553075" y="21917025"/>
          <a:ext cx="762000" cy="5429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Arial"/>
              <a:cs typeface="Arial"/>
            </a:rPr>
            <a:t>The Returns sheet converts monthly price data into monthly percentage returns for each asset.</a:t>
          </a:r>
        </a:p>
        <a:p>
          <a:pPr algn="l" rtl="0">
            <a:defRPr sz="1000"/>
          </a:pPr>
          <a:endParaRPr lang="en-US" sz="1100" b="0" i="0" u="none" strike="noStrike" baseline="0">
            <a:solidFill>
              <a:srgbClr val="000000"/>
            </a:solidFill>
            <a:latin typeface="Arial"/>
            <a:cs typeface="Arial"/>
          </a:endParaRPr>
        </a:p>
        <a:p>
          <a:pPr algn="l" rtl="0">
            <a:defRPr sz="1000"/>
          </a:pPr>
          <a:r>
            <a:rPr lang="en-US" sz="1100" b="0" i="0" u="none" strike="noStrike" baseline="0">
              <a:solidFill>
                <a:srgbClr val="000000"/>
              </a:solidFill>
              <a:latin typeface="Arial"/>
              <a:cs typeface="Arial"/>
            </a:rPr>
            <a:t>Each value represents the relative price change from one month to the next, calculated consistently across all assets using the dates from the Timeline sheet.</a:t>
          </a:r>
        </a:p>
      </xdr:txBody>
    </xdr:sp>
    <xdr:clientData/>
  </xdr:twoCellAnchor>
  <xdr:twoCellAnchor>
    <xdr:from>
      <xdr:col>8</xdr:col>
      <xdr:colOff>0</xdr:colOff>
      <xdr:row>120</xdr:row>
      <xdr:rowOff>0</xdr:rowOff>
    </xdr:from>
    <xdr:to>
      <xdr:col>9</xdr:col>
      <xdr:colOff>76200</xdr:colOff>
      <xdr:row>123</xdr:row>
      <xdr:rowOff>0</xdr:rowOff>
    </xdr:to>
    <xdr:sp macro="" textlink="">
      <xdr:nvSpPr>
        <xdr:cNvPr id="3" name="Text Box 2">
          <a:extLst>
            <a:ext uri="{FF2B5EF4-FFF2-40B4-BE49-F238E27FC236}">
              <a16:creationId xmlns:a16="http://schemas.microsoft.com/office/drawing/2014/main" id="{5DBB7C88-5D96-4366-83FC-4FFBC7403ACC}"/>
            </a:ext>
          </a:extLst>
        </xdr:cNvPr>
        <xdr:cNvSpPr txBox="1">
          <a:spLocks noChangeArrowheads="1"/>
        </xdr:cNvSpPr>
      </xdr:nvSpPr>
      <xdr:spPr bwMode="auto">
        <a:xfrm>
          <a:off x="5553075" y="21917025"/>
          <a:ext cx="762000" cy="5429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Arial"/>
              <a:cs typeface="Arial"/>
            </a:rPr>
            <a:t>The Returns sheet converts monthly price data into monthly percentage returns for each asset.</a:t>
          </a:r>
        </a:p>
        <a:p>
          <a:pPr algn="l" rtl="0">
            <a:defRPr sz="1000"/>
          </a:pPr>
          <a:endParaRPr lang="en-US" sz="1100" b="0" i="0" u="none" strike="noStrike" baseline="0">
            <a:solidFill>
              <a:srgbClr val="000000"/>
            </a:solidFill>
            <a:latin typeface="Arial"/>
            <a:cs typeface="Arial"/>
          </a:endParaRPr>
        </a:p>
        <a:p>
          <a:pPr algn="l" rtl="0">
            <a:defRPr sz="1000"/>
          </a:pPr>
          <a:r>
            <a:rPr lang="en-US" sz="1100" b="0" i="0" u="none" strike="noStrike" baseline="0">
              <a:solidFill>
                <a:srgbClr val="000000"/>
              </a:solidFill>
              <a:latin typeface="Arial"/>
              <a:cs typeface="Arial"/>
            </a:rPr>
            <a:t>Each value represents the relative price change from one month to the next, calculated consistently across all assets using the dates from the Timeline sheet.</a:t>
          </a:r>
        </a:p>
      </xdr:txBody>
    </xdr:sp>
    <xdr:clientData/>
  </xdr:twoCellAnchor>
  <xdr:twoCellAnchor>
    <xdr:from>
      <xdr:col>8</xdr:col>
      <xdr:colOff>0</xdr:colOff>
      <xdr:row>120</xdr:row>
      <xdr:rowOff>0</xdr:rowOff>
    </xdr:from>
    <xdr:to>
      <xdr:col>9</xdr:col>
      <xdr:colOff>76200</xdr:colOff>
      <xdr:row>123</xdr:row>
      <xdr:rowOff>0</xdr:rowOff>
    </xdr:to>
    <xdr:sp macro="" textlink="">
      <xdr:nvSpPr>
        <xdr:cNvPr id="4" name="Text Box 3">
          <a:extLst>
            <a:ext uri="{FF2B5EF4-FFF2-40B4-BE49-F238E27FC236}">
              <a16:creationId xmlns:a16="http://schemas.microsoft.com/office/drawing/2014/main" id="{E6882B96-A1F5-4FA2-8557-214145BA2F2E}"/>
            </a:ext>
          </a:extLst>
        </xdr:cNvPr>
        <xdr:cNvSpPr txBox="1">
          <a:spLocks noChangeArrowheads="1"/>
        </xdr:cNvSpPr>
      </xdr:nvSpPr>
      <xdr:spPr bwMode="auto">
        <a:xfrm>
          <a:off x="5553075" y="21917025"/>
          <a:ext cx="762000" cy="5429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Arial"/>
              <a:cs typeface="Arial"/>
            </a:rPr>
            <a:t>The Returns sheet converts monthly price data into monthly percentage returns for each asset.</a:t>
          </a:r>
        </a:p>
        <a:p>
          <a:pPr algn="l" rtl="0">
            <a:defRPr sz="1000"/>
          </a:pPr>
          <a:endParaRPr lang="en-US" sz="1100" b="0" i="0" u="none" strike="noStrike" baseline="0">
            <a:solidFill>
              <a:srgbClr val="000000"/>
            </a:solidFill>
            <a:latin typeface="Arial"/>
            <a:cs typeface="Arial"/>
          </a:endParaRPr>
        </a:p>
        <a:p>
          <a:pPr algn="l" rtl="0">
            <a:defRPr sz="1000"/>
          </a:pPr>
          <a:r>
            <a:rPr lang="en-US" sz="1100" b="0" i="0" u="none" strike="noStrike" baseline="0">
              <a:solidFill>
                <a:srgbClr val="000000"/>
              </a:solidFill>
              <a:latin typeface="Arial"/>
              <a:cs typeface="Arial"/>
            </a:rPr>
            <a:t>Each value represents the relative price change from one month to the next, calculated consistently across all assets using the dates from the Timeline sheet.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19050</xdr:colOff>
      <xdr:row>1</xdr:row>
      <xdr:rowOff>0</xdr:rowOff>
    </xdr:from>
    <xdr:to>
      <xdr:col>18</xdr:col>
      <xdr:colOff>400050</xdr:colOff>
      <xdr:row>14</xdr:row>
      <xdr:rowOff>161925</xdr:rowOff>
    </xdr:to>
    <xdr:sp macro="" textlink="">
      <xdr:nvSpPr>
        <xdr:cNvPr id="8193" name="Text Box 1">
          <a:extLst>
            <a:ext uri="{FF2B5EF4-FFF2-40B4-BE49-F238E27FC236}">
              <a16:creationId xmlns:a16="http://schemas.microsoft.com/office/drawing/2014/main" id="{F21E2533-D385-D82B-DE00-3036A176A5EC}"/>
            </a:ext>
          </a:extLst>
        </xdr:cNvPr>
        <xdr:cNvSpPr txBox="1">
          <a:spLocks noChangeArrowheads="1"/>
        </xdr:cNvSpPr>
      </xdr:nvSpPr>
      <xdr:spPr bwMode="auto">
        <a:xfrm>
          <a:off x="10563225" y="238125"/>
          <a:ext cx="4495800" cy="3371850"/>
        </a:xfrm>
        <a:prstGeom prst="rect">
          <a:avLst/>
        </a:prstGeom>
        <a:solidFill>
          <a:schemeClr val="bg1">
            <a:lumMod val="95000"/>
          </a:schemeClr>
        </a:solidFill>
        <a:ln w="9525">
          <a:solidFill>
            <a:schemeClr val="tx1">
              <a:lumMod val="95000"/>
              <a:lumOff val="5000"/>
            </a:schemeClr>
          </a:solidFill>
          <a:miter lim="800000"/>
          <a:headEnd/>
          <a:tailEnd/>
        </a:ln>
      </xdr:spPr>
      <xdr:txBody>
        <a:bodyPr vertOverflow="clip" wrap="square" lIns="27432" tIns="22860" rIns="0" bIns="0" anchor="t" upright="1"/>
        <a:lstStyle/>
        <a:p>
          <a:pPr algn="l" rtl="0">
            <a:lnSpc>
              <a:spcPts val="1400"/>
            </a:lnSpc>
            <a:defRPr sz="1000"/>
          </a:pPr>
          <a:endParaRPr lang="he-IL" sz="11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endParaRPr>
        </a:p>
        <a:p>
          <a:pPr algn="l" rtl="0">
            <a:lnSpc>
              <a:spcPts val="1400"/>
            </a:lnSpc>
            <a:defRPr sz="1000"/>
          </a:pPr>
          <a:r>
            <a:rPr lang="en-US" sz="11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rPr>
            <a:t>This sheet summarizes the risk and return characteristics of each asset based on historical monthly returns. It shows the average return and volatility on both a monthly and annualized basis</a:t>
          </a:r>
          <a:r>
            <a:rPr lang="he-IL" sz="11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rPr>
            <a:t>.</a:t>
          </a:r>
        </a:p>
        <a:p>
          <a:pPr algn="l" rtl="0">
            <a:lnSpc>
              <a:spcPts val="1400"/>
            </a:lnSpc>
            <a:defRPr sz="1000"/>
          </a:pPr>
          <a:endParaRPr lang="en-US" sz="11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endParaRPr>
        </a:p>
        <a:p>
          <a:pPr algn="l" rtl="0">
            <a:lnSpc>
              <a:spcPts val="1400"/>
            </a:lnSpc>
            <a:defRPr sz="1000"/>
          </a:pPr>
          <a:r>
            <a:rPr lang="en-US" sz="11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rPr>
            <a:t>The results show clear differences across assets. NVDA exhibits the highest average return but also significantly higher volatility. In contrast, assets such as GLD, SPY, and VXUS display more moderate returns with lower volatility.</a:t>
          </a:r>
        </a:p>
        <a:p>
          <a:pPr algn="l" rtl="0">
            <a:lnSpc>
              <a:spcPts val="1400"/>
            </a:lnSpc>
            <a:defRPr sz="1000"/>
          </a:pPr>
          <a:endParaRPr lang="en-US" sz="11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endParaRPr>
        </a:p>
        <a:p>
          <a:pPr algn="l" rtl="0">
            <a:lnSpc>
              <a:spcPts val="1400"/>
            </a:lnSpc>
            <a:defRPr sz="1000"/>
          </a:pPr>
          <a:r>
            <a:rPr lang="en-US" sz="11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rPr>
            <a:t>The Sharpe Ratio is computed using a 4% annual risk-free rate.</a:t>
          </a:r>
        </a:p>
        <a:p>
          <a:pPr algn="l" rtl="0">
            <a:lnSpc>
              <a:spcPts val="1400"/>
            </a:lnSpc>
            <a:defRPr sz="1000"/>
          </a:pPr>
          <a:r>
            <a:rPr lang="en-US" sz="1100" b="0" i="0" u="none" strike="noStrike" cap="none" spc="0" baseline="0">
              <a:ln w="0"/>
              <a:solidFill>
                <a:schemeClr val="tx1"/>
              </a:solidFill>
              <a:effectLst>
                <a:outerShdw blurRad="38100" dist="19050" dir="2700000" algn="tl" rotWithShape="0">
                  <a:schemeClr val="dk1">
                    <a:alpha val="40000"/>
                  </a:schemeClr>
                </a:outerShdw>
              </a:effectLst>
              <a:latin typeface="Arial"/>
              <a:ea typeface="+mn-ea"/>
              <a:cs typeface="Arial"/>
            </a:rPr>
            <a:t>A higher Sharpe means the asset delivers more return for the level of risk taken.</a:t>
          </a:r>
        </a:p>
        <a:p>
          <a:pPr algn="l" rtl="0">
            <a:lnSpc>
              <a:spcPts val="1400"/>
            </a:lnSpc>
            <a:defRPr sz="1000"/>
          </a:pPr>
          <a:endParaRPr lang="en-US" sz="11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endParaRPr>
        </a:p>
        <a:p>
          <a:pPr marL="0" marR="0" lvl="0" indent="0" algn="l" defTabSz="914400" rtl="0" eaLnBrk="1" fontAlgn="auto" latinLnBrk="0" hangingPunct="1">
            <a:lnSpc>
              <a:spcPts val="1400"/>
            </a:lnSpc>
            <a:spcBef>
              <a:spcPts val="0"/>
            </a:spcBef>
            <a:spcAft>
              <a:spcPts val="0"/>
            </a:spcAft>
            <a:buClrTx/>
            <a:buSzTx/>
            <a:buFontTx/>
            <a:buNone/>
            <a:tabLst/>
            <a:defRPr sz="1000"/>
          </a:pPr>
          <a:r>
            <a:rPr lang="en-US" sz="1100" b="0" i="0" u="none" strike="noStrike" cap="none" spc="0" baseline="0">
              <a:ln w="0"/>
              <a:solidFill>
                <a:schemeClr val="tx1"/>
              </a:solidFill>
              <a:effectLst>
                <a:outerShdw blurRad="38100" dist="19050" dir="2700000" algn="tl" rotWithShape="0">
                  <a:schemeClr val="dk1">
                    <a:alpha val="40000"/>
                  </a:schemeClr>
                </a:outerShdw>
              </a:effectLst>
              <a:latin typeface="Arial"/>
              <a:ea typeface="+mn-ea"/>
              <a:cs typeface="Arial"/>
            </a:rPr>
            <a:t>TLT shows a negative return and Sharpe over the period, mainly due to rising interest rates.</a:t>
          </a:r>
          <a:br>
            <a:rPr lang="en-US" sz="1100" b="0" i="0" u="none" strike="noStrike" cap="none" spc="0" baseline="0">
              <a:ln w="0"/>
              <a:solidFill>
                <a:schemeClr val="tx1"/>
              </a:solidFill>
              <a:effectLst>
                <a:outerShdw blurRad="38100" dist="19050" dir="2700000" algn="tl" rotWithShape="0">
                  <a:schemeClr val="dk1">
                    <a:alpha val="40000"/>
                  </a:schemeClr>
                </a:outerShdw>
              </a:effectLst>
              <a:latin typeface="Arial"/>
              <a:ea typeface="+mn-ea"/>
              <a:cs typeface="Arial"/>
            </a:rPr>
          </a:br>
          <a:r>
            <a:rPr lang="en-US" sz="1100" b="0" i="0" u="none" strike="noStrike" cap="none" spc="0" baseline="0">
              <a:ln w="0"/>
              <a:solidFill>
                <a:schemeClr val="tx1"/>
              </a:solidFill>
              <a:effectLst>
                <a:outerShdw blurRad="38100" dist="19050" dir="2700000" algn="tl" rotWithShape="0">
                  <a:schemeClr val="dk1">
                    <a:alpha val="40000"/>
                  </a:schemeClr>
                </a:outerShdw>
              </a:effectLst>
              <a:latin typeface="Arial"/>
              <a:ea typeface="+mn-ea"/>
              <a:cs typeface="Arial"/>
            </a:rPr>
            <a:t>Assets like TLT can be helpful in a portfolio since they often move differently from stocks.</a:t>
          </a:r>
        </a:p>
        <a:p>
          <a:pPr algn="l" rtl="0">
            <a:lnSpc>
              <a:spcPts val="1400"/>
            </a:lnSpc>
            <a:defRPr sz="1000"/>
          </a:pPr>
          <a:endParaRPr lang="en-US" sz="11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13</xdr:col>
      <xdr:colOff>9526</xdr:colOff>
      <xdr:row>1</xdr:row>
      <xdr:rowOff>9525</xdr:rowOff>
    </xdr:from>
    <xdr:ext cx="3638549" cy="2181225"/>
    <xdr:sp macro="" textlink="">
      <xdr:nvSpPr>
        <xdr:cNvPr id="2" name="TextBox 1">
          <a:extLst>
            <a:ext uri="{FF2B5EF4-FFF2-40B4-BE49-F238E27FC236}">
              <a16:creationId xmlns:a16="http://schemas.microsoft.com/office/drawing/2014/main" id="{662AE4D3-5342-99DB-ACD5-209F72D58F24}"/>
            </a:ext>
          </a:extLst>
        </xdr:cNvPr>
        <xdr:cNvSpPr txBox="1"/>
      </xdr:nvSpPr>
      <xdr:spPr>
        <a:xfrm>
          <a:off x="8982076" y="219075"/>
          <a:ext cx="3638549" cy="2181225"/>
        </a:xfrm>
        <a:prstGeom prst="rect">
          <a:avLst/>
        </a:prstGeom>
        <a:solidFill>
          <a:schemeClr val="bg1">
            <a:lumMod val="8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r>
            <a:rPr lang="en-US" sz="1200" b="0" cap="none" spc="0">
              <a:ln w="0"/>
              <a:solidFill>
                <a:schemeClr val="tx1"/>
              </a:solidFill>
              <a:effectLst>
                <a:outerShdw blurRad="38100" dist="19050" dir="2700000" algn="tl" rotWithShape="0">
                  <a:schemeClr val="dk1">
                    <a:alpha val="40000"/>
                  </a:schemeClr>
                </a:outerShdw>
              </a:effectLst>
            </a:rPr>
            <a:t>This sheet presents the correlation matrix of monthly returns across the portfolio assets.</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A relatively high correlation can be seen between SPY, VGT, and VXUS, indicating that these equity exposures tend to move together.</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In contrast, GLD and TLT show lower correlations with most of the other assets in the portfolio, as they tend to move differently from equities and help stabilize overall portfolio behavior.</a:t>
          </a:r>
          <a:endParaRPr lang="he-IL"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4</xdr:col>
      <xdr:colOff>0</xdr:colOff>
      <xdr:row>4</xdr:row>
      <xdr:rowOff>9525</xdr:rowOff>
    </xdr:from>
    <xdr:ext cx="4448175" cy="2524125"/>
    <xdr:sp macro="" textlink="">
      <xdr:nvSpPr>
        <xdr:cNvPr id="2" name="TextBox 1">
          <a:extLst>
            <a:ext uri="{FF2B5EF4-FFF2-40B4-BE49-F238E27FC236}">
              <a16:creationId xmlns:a16="http://schemas.microsoft.com/office/drawing/2014/main" id="{E4337179-0CC7-8A6C-2686-37CD4316E4B7}"/>
            </a:ext>
          </a:extLst>
        </xdr:cNvPr>
        <xdr:cNvSpPr txBox="1"/>
      </xdr:nvSpPr>
      <xdr:spPr>
        <a:xfrm>
          <a:off x="2743200" y="809625"/>
          <a:ext cx="4448175" cy="2524125"/>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r>
            <a:rPr lang="en-US" sz="1200" b="0" cap="none" spc="0">
              <a:ln w="0"/>
              <a:solidFill>
                <a:schemeClr val="tx1"/>
              </a:solidFill>
              <a:effectLst>
                <a:outerShdw blurRad="38100" dist="19050" dir="2700000" algn="tl" rotWithShape="0">
                  <a:schemeClr val="dk1">
                    <a:alpha val="40000"/>
                  </a:schemeClr>
                </a:outerShdw>
              </a:effectLst>
            </a:rPr>
            <a:t>This sheet shows the beta of each asset relative to the market, using SPY as the benchmark, based on monthly returns.</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The results highlight clear differences in market exposure.</a:t>
          </a:r>
        </a:p>
        <a:p>
          <a:r>
            <a:rPr lang="en-US" sz="1200" b="0" cap="none" spc="0">
              <a:ln w="0"/>
              <a:solidFill>
                <a:schemeClr val="tx1"/>
              </a:solidFill>
              <a:effectLst>
                <a:outerShdw blurRad="38100" dist="19050" dir="2700000" algn="tl" rotWithShape="0">
                  <a:schemeClr val="dk1">
                    <a:alpha val="40000"/>
                  </a:schemeClr>
                </a:outerShdw>
              </a:effectLst>
            </a:rPr>
            <a:t>Assets such as NVDA and VGT have higher beta values, meaning they tend to move more strongly with the market.</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In contrast, assets like GLD and TLT have very low beta values, showing weaker connection to overall market movements.</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Assets such as PG, VNQ, and VXUS fall in the middle, indicating partial sensitivity to market changes.</a:t>
          </a:r>
        </a:p>
        <a:p>
          <a:endParaRPr lang="he-IL"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33618</xdr:colOff>
      <xdr:row>15</xdr:row>
      <xdr:rowOff>22412</xdr:rowOff>
    </xdr:from>
    <xdr:ext cx="4807324" cy="530658"/>
    <xdr:sp macro="" textlink="">
      <xdr:nvSpPr>
        <xdr:cNvPr id="2" name="TextBox 1">
          <a:extLst>
            <a:ext uri="{FF2B5EF4-FFF2-40B4-BE49-F238E27FC236}">
              <a16:creationId xmlns:a16="http://schemas.microsoft.com/office/drawing/2014/main" id="{EBB94540-CC5D-5783-F2A9-3F3A47209361}"/>
            </a:ext>
          </a:extLst>
        </xdr:cNvPr>
        <xdr:cNvSpPr txBox="1"/>
      </xdr:nvSpPr>
      <xdr:spPr>
        <a:xfrm>
          <a:off x="3126442" y="3193677"/>
          <a:ext cx="4807324" cy="530658"/>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r>
            <a:rPr lang="en-US" sz="1400" b="0" cap="none" spc="0">
              <a:ln w="0"/>
              <a:solidFill>
                <a:schemeClr val="tx1"/>
              </a:solidFill>
              <a:effectLst>
                <a:outerShdw blurRad="38100" dist="19050" dir="2700000" algn="tl" rotWithShape="0">
                  <a:schemeClr val="dk1">
                    <a:alpha val="40000"/>
                  </a:schemeClr>
                </a:outerShdw>
              </a:effectLst>
            </a:rPr>
            <a:t>The portfolio is expected to generate around 12% per year on average, given the current asset allocation.</a:t>
          </a:r>
          <a:endParaRPr lang="he-IL"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12</xdr:col>
      <xdr:colOff>0</xdr:colOff>
      <xdr:row>18</xdr:row>
      <xdr:rowOff>168087</xdr:rowOff>
    </xdr:from>
    <xdr:to>
      <xdr:col>20</xdr:col>
      <xdr:colOff>168088</xdr:colOff>
      <xdr:row>27</xdr:row>
      <xdr:rowOff>134470</xdr:rowOff>
    </xdr:to>
    <xdr:sp macro="" textlink="">
      <xdr:nvSpPr>
        <xdr:cNvPr id="12289" name="Text Box 1">
          <a:extLst>
            <a:ext uri="{FF2B5EF4-FFF2-40B4-BE49-F238E27FC236}">
              <a16:creationId xmlns:a16="http://schemas.microsoft.com/office/drawing/2014/main" id="{D820EB56-719B-B2E4-DAFF-7A4F4C90C878}"/>
            </a:ext>
          </a:extLst>
        </xdr:cNvPr>
        <xdr:cNvSpPr txBox="1">
          <a:spLocks noChangeArrowheads="1"/>
        </xdr:cNvSpPr>
      </xdr:nvSpPr>
      <xdr:spPr bwMode="auto">
        <a:xfrm>
          <a:off x="9771529" y="4303058"/>
          <a:ext cx="5636559" cy="1781736"/>
        </a:xfrm>
        <a:prstGeom prst="rect">
          <a:avLst/>
        </a:prstGeom>
        <a:solidFill>
          <a:schemeClr val="bg1">
            <a:lumMod val="95000"/>
          </a:schemeClr>
        </a:solidFill>
        <a:ln w="9525">
          <a:solidFill>
            <a:srgbClr val="000000"/>
          </a:solidFill>
          <a:miter lim="800000"/>
          <a:headEnd/>
          <a:tailEnd/>
        </a:ln>
      </xdr:spPr>
      <xdr:txBody>
        <a:bodyPr vertOverflow="clip" wrap="square" lIns="27432" tIns="22860" rIns="0" bIns="0" anchor="t" upright="1"/>
        <a:lstStyle/>
        <a:p>
          <a:pPr algn="l" rtl="0">
            <a:defRPr sz="1000"/>
          </a:pPr>
          <a:endParaRPr lang="en-US" sz="12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endParaRPr>
        </a:p>
        <a:p>
          <a:pPr algn="l" rtl="0">
            <a:defRPr sz="1000"/>
          </a:pPr>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rPr>
            <a:t>The covariance matrix was generated using Excel’s Data Analysis ToolPak.</a:t>
          </a:r>
        </a:p>
        <a:p>
          <a:pPr algn="l" rtl="0">
            <a:defRPr sz="1000"/>
          </a:pPr>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rPr>
            <a:t>The matrix measures how each pair of assets moves together over time.</a:t>
          </a:r>
        </a:p>
        <a:p>
          <a:pPr algn="l" rtl="0">
            <a:defRPr sz="1000"/>
          </a:pPr>
          <a:endParaRPr lang="en-US" sz="12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endParaRPr>
        </a:p>
        <a:p>
          <a:pPr algn="l" rtl="0">
            <a:defRPr sz="1000"/>
          </a:pPr>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rPr>
            <a:t> Positive values indicate that assets tend to move in the same direction, while negative values suggest opposite movements.</a:t>
          </a:r>
        </a:p>
        <a:p>
          <a:pPr algn="l" rtl="0">
            <a:defRPr sz="1000"/>
          </a:pPr>
          <a:endParaRPr lang="en-US" sz="12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endParaRPr>
        </a:p>
        <a:p>
          <a:pPr algn="l" rtl="0">
            <a:defRPr sz="1000"/>
          </a:pPr>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rPr>
            <a:t>Since Excel outputs only part of the matrix, INDEX and MATCH formulas were used to reconstruct the full symmetric covariance matrix.</a:t>
          </a:r>
        </a:p>
      </xdr:txBody>
    </xdr:sp>
    <xdr:clientData/>
  </xdr:twoCellAnchor>
  <xdr:oneCellAnchor>
    <xdr:from>
      <xdr:col>3</xdr:col>
      <xdr:colOff>22412</xdr:colOff>
      <xdr:row>36</xdr:row>
      <xdr:rowOff>11205</xdr:rowOff>
    </xdr:from>
    <xdr:ext cx="7429500" cy="2980766"/>
    <xdr:sp macro="" textlink="">
      <xdr:nvSpPr>
        <xdr:cNvPr id="4" name="TextBox 3">
          <a:extLst>
            <a:ext uri="{FF2B5EF4-FFF2-40B4-BE49-F238E27FC236}">
              <a16:creationId xmlns:a16="http://schemas.microsoft.com/office/drawing/2014/main" id="{3C9063DC-FDEF-15E9-0305-E5A87D543B80}"/>
            </a:ext>
          </a:extLst>
        </xdr:cNvPr>
        <xdr:cNvSpPr txBox="1"/>
      </xdr:nvSpPr>
      <xdr:spPr>
        <a:xfrm>
          <a:off x="3115236" y="7888940"/>
          <a:ext cx="7429500" cy="2980766"/>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r>
            <a:rPr lang="en-US" sz="1200" b="0" cap="none" spc="0">
              <a:ln w="0"/>
              <a:solidFill>
                <a:schemeClr val="tx1"/>
              </a:solidFill>
              <a:effectLst>
                <a:outerShdw blurRad="38100" dist="19050" dir="2700000" algn="tl" rotWithShape="0">
                  <a:schemeClr val="dk1">
                    <a:alpha val="40000"/>
                  </a:schemeClr>
                </a:outerShdw>
              </a:effectLst>
              <a:cs typeface="+mn-cs"/>
            </a:rPr>
            <a:t>• The portfolio’s monthly variance measures the overall level of risk.</a:t>
          </a:r>
        </a:p>
        <a:p>
          <a:r>
            <a:rPr lang="en-US" sz="1200" b="0" cap="none" spc="0">
              <a:ln w="0"/>
              <a:solidFill>
                <a:schemeClr val="tx1"/>
              </a:solidFill>
              <a:effectLst>
                <a:outerShdw blurRad="38100" dist="19050" dir="2700000" algn="tl" rotWithShape="0">
                  <a:schemeClr val="dk1">
                    <a:alpha val="40000"/>
                  </a:schemeClr>
                </a:outerShdw>
              </a:effectLst>
              <a:cs typeface="+mn-cs"/>
            </a:rPr>
            <a:t>It represents the</a:t>
          </a:r>
          <a:r>
            <a:rPr lang="he-IL" sz="1200" b="0" cap="none" spc="0" baseline="0">
              <a:ln w="0"/>
              <a:solidFill>
                <a:schemeClr val="tx1"/>
              </a:solidFill>
              <a:effectLst>
                <a:outerShdw blurRad="38100" dist="19050" dir="2700000" algn="tl" rotWithShape="0">
                  <a:schemeClr val="dk1">
                    <a:alpha val="40000"/>
                  </a:schemeClr>
                </a:outerShdw>
              </a:effectLst>
              <a:cs typeface="+mn-cs"/>
            </a:rPr>
            <a:t> </a:t>
          </a:r>
          <a:r>
            <a:rPr lang="en-US" sz="1200" b="0" cap="none" spc="0">
              <a:ln w="0"/>
              <a:solidFill>
                <a:schemeClr val="tx1"/>
              </a:solidFill>
              <a:effectLst>
                <a:outerShdw blurRad="38100" dist="19050" dir="2700000" algn="tl" rotWithShape="0">
                  <a:schemeClr val="dk1">
                    <a:alpha val="40000"/>
                  </a:schemeClr>
                </a:outerShdw>
              </a:effectLst>
              <a:cs typeface="+mn-cs"/>
            </a:rPr>
            <a:t>variance of monthly portfolio returns based on the current asset allocation.</a:t>
          </a:r>
        </a:p>
        <a:p>
          <a:endParaRPr lang="en-US" sz="1200" b="0" cap="none" spc="0">
            <a:ln w="0"/>
            <a:solidFill>
              <a:schemeClr val="tx1"/>
            </a:solidFill>
            <a:effectLst>
              <a:outerShdw blurRad="38100" dist="19050" dir="2700000" algn="tl" rotWithShape="0">
                <a:schemeClr val="dk1">
                  <a:alpha val="40000"/>
                </a:schemeClr>
              </a:outerShdw>
            </a:effectLst>
            <a:cs typeface="+mn-cs"/>
          </a:endParaRPr>
        </a:p>
        <a:p>
          <a:r>
            <a:rPr lang="en-US" sz="1200" b="0" cap="none" spc="0">
              <a:ln w="0"/>
              <a:solidFill>
                <a:schemeClr val="tx1"/>
              </a:solidFill>
              <a:effectLst>
                <a:outerShdw blurRad="38100" dist="19050" dir="2700000" algn="tl" rotWithShape="0">
                  <a:schemeClr val="dk1">
                    <a:alpha val="40000"/>
                  </a:schemeClr>
                </a:outerShdw>
              </a:effectLst>
              <a:cs typeface="+mn-cs"/>
            </a:rPr>
            <a:t>• Monthly volatility is the square root of the portfolio variance and represents the size of monthly return fluctuations.</a:t>
          </a:r>
        </a:p>
        <a:p>
          <a:r>
            <a:rPr lang="en-US" sz="1200" b="0" cap="none" spc="0">
              <a:ln w="0"/>
              <a:solidFill>
                <a:schemeClr val="tx1"/>
              </a:solidFill>
              <a:effectLst>
                <a:outerShdw blurRad="38100" dist="19050" dir="2700000" algn="tl" rotWithShape="0">
                  <a:schemeClr val="dk1">
                    <a:alpha val="40000"/>
                  </a:schemeClr>
                </a:outerShdw>
              </a:effectLst>
              <a:cs typeface="+mn-cs"/>
            </a:rPr>
            <a:t>A monthly volatility of approximately 3.6% indicates a moderate level of short-term risk.</a:t>
          </a:r>
        </a:p>
        <a:p>
          <a:endParaRPr lang="en-US" sz="1200" b="0" cap="none" spc="0">
            <a:ln w="0"/>
            <a:solidFill>
              <a:schemeClr val="tx1"/>
            </a:solidFill>
            <a:effectLst>
              <a:outerShdw blurRad="38100" dist="19050" dir="2700000" algn="tl" rotWithShape="0">
                <a:schemeClr val="dk1">
                  <a:alpha val="40000"/>
                </a:schemeClr>
              </a:outerShdw>
            </a:effectLst>
            <a:cs typeface="+mn-cs"/>
          </a:endParaRPr>
        </a:p>
        <a:p>
          <a:r>
            <a:rPr lang="en-US" sz="1200" b="0" cap="none" spc="0">
              <a:ln w="0"/>
              <a:solidFill>
                <a:schemeClr val="tx1"/>
              </a:solidFill>
              <a:effectLst>
                <a:outerShdw blurRad="38100" dist="19050" dir="2700000" algn="tl" rotWithShape="0">
                  <a:schemeClr val="dk1">
                    <a:alpha val="40000"/>
                  </a:schemeClr>
                </a:outerShdw>
              </a:effectLst>
              <a:cs typeface="+mn-cs"/>
            </a:rPr>
            <a:t>• Annualized volatility scales the monthly volatility to a yearly level and represents the portfolio’s overall risk on an annual basis.</a:t>
          </a:r>
        </a:p>
        <a:p>
          <a:r>
            <a:rPr lang="en-US" sz="1200" b="0" cap="none" spc="0">
              <a:ln w="0"/>
              <a:solidFill>
                <a:schemeClr val="tx1"/>
              </a:solidFill>
              <a:effectLst>
                <a:outerShdw blurRad="38100" dist="19050" dir="2700000" algn="tl" rotWithShape="0">
                  <a:schemeClr val="dk1">
                    <a:alpha val="40000"/>
                  </a:schemeClr>
                </a:outerShdw>
              </a:effectLst>
              <a:cs typeface="+mn-cs"/>
            </a:rPr>
            <a:t>An annualized volatility of approximately 12.6% suggests that the portfolio carries a medium level of risk</a:t>
          </a:r>
          <a:r>
            <a:rPr lang="he-IL" sz="1200" b="0" cap="none" spc="0">
              <a:ln w="0"/>
              <a:solidFill>
                <a:schemeClr val="tx1"/>
              </a:solidFill>
              <a:effectLst>
                <a:outerShdw blurRad="38100" dist="19050" dir="2700000" algn="tl" rotWithShape="0">
                  <a:schemeClr val="dk1">
                    <a:alpha val="40000"/>
                  </a:schemeClr>
                </a:outerShdw>
              </a:effectLst>
              <a:cs typeface="+mn-cs"/>
            </a:rPr>
            <a:t>.</a:t>
          </a:r>
          <a:endParaRPr lang="en-US" sz="1200" b="0" cap="none" spc="0">
            <a:ln w="0"/>
            <a:solidFill>
              <a:schemeClr val="tx1"/>
            </a:solidFill>
            <a:effectLst>
              <a:outerShdw blurRad="38100" dist="19050" dir="2700000" algn="tl" rotWithShape="0">
                <a:schemeClr val="dk1">
                  <a:alpha val="40000"/>
                </a:schemeClr>
              </a:outerShdw>
            </a:effectLst>
            <a:cs typeface="+mn-cs"/>
          </a:endParaRPr>
        </a:p>
        <a:p>
          <a:endParaRPr lang="en-US" sz="1200" b="0" cap="none" spc="0">
            <a:ln w="0"/>
            <a:solidFill>
              <a:schemeClr val="tx1"/>
            </a:solidFill>
            <a:effectLst>
              <a:outerShdw blurRad="38100" dist="19050" dir="2700000" algn="tl" rotWithShape="0">
                <a:schemeClr val="dk1">
                  <a:alpha val="40000"/>
                </a:schemeClr>
              </a:outerShdw>
            </a:effectLst>
            <a:cs typeface="+mn-cs"/>
          </a:endParaRPr>
        </a:p>
        <a:p>
          <a:r>
            <a:rPr lang="en-US" sz="1200" b="0" cap="none" spc="0">
              <a:ln w="0"/>
              <a:solidFill>
                <a:schemeClr val="tx1"/>
              </a:solidFill>
              <a:effectLst>
                <a:outerShdw blurRad="38100" dist="19050" dir="2700000" algn="tl" rotWithShape="0">
                  <a:schemeClr val="dk1">
                    <a:alpha val="40000"/>
                  </a:schemeClr>
                </a:outerShdw>
              </a:effectLst>
              <a:cs typeface="+mn-cs"/>
            </a:rPr>
            <a:t>• The Sharpe Ratio shows how much return the portfolio generates relative to the level of risk taken</a:t>
          </a:r>
          <a:r>
            <a:rPr lang="he-IL" sz="1200" b="0" cap="none" spc="0">
              <a:ln w="0"/>
              <a:solidFill>
                <a:schemeClr val="tx1"/>
              </a:solidFill>
              <a:effectLst>
                <a:outerShdw blurRad="38100" dist="19050" dir="2700000" algn="tl" rotWithShape="0">
                  <a:schemeClr val="dk1">
                    <a:alpha val="40000"/>
                  </a:schemeClr>
                </a:outerShdw>
              </a:effectLst>
              <a:cs typeface="+mn-cs"/>
            </a:rPr>
            <a:t>.</a:t>
          </a:r>
          <a:endParaRPr lang="en-US" sz="1200" b="0" cap="none" spc="0">
            <a:ln w="0"/>
            <a:solidFill>
              <a:schemeClr val="tx1"/>
            </a:solidFill>
            <a:effectLst>
              <a:outerShdw blurRad="38100" dist="19050" dir="2700000" algn="tl" rotWithShape="0">
                <a:schemeClr val="dk1">
                  <a:alpha val="40000"/>
                </a:schemeClr>
              </a:outerShdw>
            </a:effectLst>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cap="none" spc="0">
              <a:ln w="0"/>
              <a:solidFill>
                <a:schemeClr val="tx1"/>
              </a:solidFill>
              <a:effectLst>
                <a:outerShdw blurRad="38100" dist="19050" dir="2700000" algn="tl" rotWithShape="0">
                  <a:schemeClr val="dk1">
                    <a:alpha val="40000"/>
                  </a:schemeClr>
                </a:outerShdw>
              </a:effectLst>
              <a:latin typeface="+mn-lt"/>
              <a:ea typeface="+mn-ea"/>
              <a:cs typeface="+mn-cs"/>
            </a:rPr>
            <a:t>A Sharpe ratio of  0.63 indicates relatively low return efficiency given the level of risk.</a:t>
          </a:r>
          <a:br>
            <a:rPr lang="en-US" sz="1200" b="0">
              <a:solidFill>
                <a:schemeClr val="tx1"/>
              </a:solidFill>
            </a:rPr>
          </a:br>
          <a:r>
            <a:rPr lang="en-US" sz="1200" b="0" cap="none" spc="0">
              <a:ln w="0"/>
              <a:solidFill>
                <a:schemeClr val="tx1"/>
              </a:solidFill>
              <a:effectLst>
                <a:outerShdw blurRad="38100" dist="19050" dir="2700000" algn="tl" rotWithShape="0">
                  <a:schemeClr val="dk1">
                    <a:alpha val="40000"/>
                  </a:schemeClr>
                </a:outerShdw>
              </a:effectLst>
              <a:latin typeface="+mn-lt"/>
              <a:ea typeface="+mn-ea"/>
              <a:cs typeface="+mn-cs"/>
            </a:rPr>
            <a:t>This suggests that while the portfolio is diversified, the current asset allocation is not optimal and could be improved through better weighting.</a:t>
          </a:r>
        </a:p>
        <a:p>
          <a:endParaRPr lang="he-IL" sz="1200" b="0" cap="none" spc="0">
            <a:ln w="0"/>
            <a:solidFill>
              <a:schemeClr val="tx1"/>
            </a:solidFill>
            <a:effectLst>
              <a:outerShdw blurRad="38100" dist="19050" dir="2700000" algn="tl" rotWithShape="0">
                <a:schemeClr val="dk1">
                  <a:alpha val="40000"/>
                </a:schemeClr>
              </a:outerShdw>
            </a:effectLst>
            <a:cs typeface="+mn-cs"/>
          </a:endParaRPr>
        </a:p>
      </xdr:txBody>
    </xdr:sp>
    <xdr:clientData/>
  </xdr:oneCellAnchor>
  <xdr:twoCellAnchor>
    <xdr:from>
      <xdr:col>4</xdr:col>
      <xdr:colOff>11207</xdr:colOff>
      <xdr:row>1</xdr:row>
      <xdr:rowOff>11206</xdr:rowOff>
    </xdr:from>
    <xdr:to>
      <xdr:col>10</xdr:col>
      <xdr:colOff>582706</xdr:colOff>
      <xdr:row>5</xdr:row>
      <xdr:rowOff>89646</xdr:rowOff>
    </xdr:to>
    <xdr:sp macro="" textlink="">
      <xdr:nvSpPr>
        <xdr:cNvPr id="3" name="TextBox 2">
          <a:extLst>
            <a:ext uri="{FF2B5EF4-FFF2-40B4-BE49-F238E27FC236}">
              <a16:creationId xmlns:a16="http://schemas.microsoft.com/office/drawing/2014/main" id="{AA6CB48A-5634-5457-0D69-FFBE322891F5}"/>
            </a:ext>
          </a:extLst>
        </xdr:cNvPr>
        <xdr:cNvSpPr txBox="1"/>
      </xdr:nvSpPr>
      <xdr:spPr>
        <a:xfrm>
          <a:off x="3944472" y="235324"/>
          <a:ext cx="5042646" cy="1064557"/>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nSpc>
              <a:spcPts val="1500"/>
            </a:lnSpc>
          </a:pPr>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Arial"/>
              <a:ea typeface="+mn-ea"/>
              <a:cs typeface="Arial"/>
            </a:rPr>
            <a:t>The initial weights were chosen to create a balanced and diversified portfolio. SPY provides core market exposure, while stocks and sector ETFs (NVDA, VGT, VNQ, JPM, XOM) add targeted exposure across industries. VXUS introduces global diversification, and GLD together with TLT help stabilize the portfolio as lower-volatility assets.</a:t>
          </a:r>
          <a:endParaRPr lang="he-IL" sz="1200" b="0" i="0" u="none" strike="noStrike" cap="none" spc="0" baseline="0">
            <a:ln w="0"/>
            <a:solidFill>
              <a:schemeClr val="tx1"/>
            </a:solidFill>
            <a:effectLst>
              <a:outerShdw blurRad="38100" dist="19050" dir="2700000" algn="tl" rotWithShape="0">
                <a:schemeClr val="dk1">
                  <a:alpha val="40000"/>
                </a:schemeClr>
              </a:outerShdw>
            </a:effectLst>
            <a:latin typeface="Arial"/>
            <a:ea typeface="+mn-ea"/>
            <a:cs typeface="Aria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676275</xdr:colOff>
      <xdr:row>26</xdr:row>
      <xdr:rowOff>14287</xdr:rowOff>
    </xdr:from>
    <xdr:to>
      <xdr:col>17</xdr:col>
      <xdr:colOff>647700</xdr:colOff>
      <xdr:row>39</xdr:row>
      <xdr:rowOff>33337</xdr:rowOff>
    </xdr:to>
    <xdr:graphicFrame macro="">
      <xdr:nvGraphicFramePr>
        <xdr:cNvPr id="2" name="Chart 1">
          <a:extLst>
            <a:ext uri="{FF2B5EF4-FFF2-40B4-BE49-F238E27FC236}">
              <a16:creationId xmlns:a16="http://schemas.microsoft.com/office/drawing/2014/main" id="{5D6522B9-6C72-EBA3-9E3F-503113962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4</xdr:col>
      <xdr:colOff>504825</xdr:colOff>
      <xdr:row>2</xdr:row>
      <xdr:rowOff>123825</xdr:rowOff>
    </xdr:from>
    <xdr:ext cx="6667500" cy="1104900"/>
    <xdr:sp macro="" textlink="">
      <xdr:nvSpPr>
        <xdr:cNvPr id="2" name="TextBox 1">
          <a:extLst>
            <a:ext uri="{FF2B5EF4-FFF2-40B4-BE49-F238E27FC236}">
              <a16:creationId xmlns:a16="http://schemas.microsoft.com/office/drawing/2014/main" id="{A57A8071-E5E0-E352-1F35-2A5E537D8F27}"/>
            </a:ext>
          </a:extLst>
        </xdr:cNvPr>
        <xdr:cNvSpPr txBox="1"/>
      </xdr:nvSpPr>
      <xdr:spPr>
        <a:xfrm>
          <a:off x="3248025" y="666750"/>
          <a:ext cx="6667500" cy="1104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endParaRPr lang="he-IL" sz="1100"/>
        </a:p>
      </xdr:txBody>
    </xdr:sp>
    <xdr:clientData/>
  </xdr:oneCellAnchor>
  <xdr:twoCellAnchor>
    <xdr:from>
      <xdr:col>6</xdr:col>
      <xdr:colOff>190499</xdr:colOff>
      <xdr:row>1</xdr:row>
      <xdr:rowOff>161926</xdr:rowOff>
    </xdr:from>
    <xdr:to>
      <xdr:col>16</xdr:col>
      <xdr:colOff>200025</xdr:colOff>
      <xdr:row>8</xdr:row>
      <xdr:rowOff>171450</xdr:rowOff>
    </xdr:to>
    <xdr:sp macro="" textlink="">
      <xdr:nvSpPr>
        <xdr:cNvPr id="12289" name="Text Box 1">
          <a:extLst>
            <a:ext uri="{FF2B5EF4-FFF2-40B4-BE49-F238E27FC236}">
              <a16:creationId xmlns:a16="http://schemas.microsoft.com/office/drawing/2014/main" id="{ED684730-2926-1B71-EDA2-F0E97E3B70AB}"/>
            </a:ext>
          </a:extLst>
        </xdr:cNvPr>
        <xdr:cNvSpPr txBox="1">
          <a:spLocks noChangeArrowheads="1"/>
        </xdr:cNvSpPr>
      </xdr:nvSpPr>
      <xdr:spPr bwMode="auto">
        <a:xfrm>
          <a:off x="4305299" y="523876"/>
          <a:ext cx="7553326" cy="1276349"/>
        </a:xfrm>
        <a:prstGeom prst="rect">
          <a:avLst/>
        </a:prstGeom>
        <a:solidFill>
          <a:schemeClr val="bg1">
            <a:lumMod val="95000"/>
          </a:schemeClr>
        </a:solidFill>
        <a:ln w="9525">
          <a:solidFill>
            <a:srgbClr val="000000"/>
          </a:solidFill>
          <a:miter lim="800000"/>
          <a:headEnd/>
          <a:tailEnd/>
        </a:ln>
      </xdr:spPr>
      <xdr:txBody>
        <a:bodyPr vertOverflow="clip" wrap="square" lIns="27432" tIns="22860" rIns="0" bIns="0" anchor="t" upright="1"/>
        <a:lstStyle/>
        <a:p>
          <a:pPr algn="l" rtl="0">
            <a:defRPr sz="1000"/>
          </a:pPr>
          <a:r>
            <a:rPr lang="en-US" sz="1400" b="0" i="0" u="sng" strike="noStrike" cap="none" spc="0" baseline="0">
              <a:ln w="0"/>
              <a:solidFill>
                <a:schemeClr val="tx1"/>
              </a:solidFill>
              <a:effectLst>
                <a:outerShdw blurRad="38100" dist="19050" dir="2700000" algn="tl" rotWithShape="0">
                  <a:schemeClr val="dk1">
                    <a:alpha val="40000"/>
                  </a:schemeClr>
                </a:outerShdw>
              </a:effectLst>
              <a:latin typeface="Arial"/>
              <a:cs typeface="Arial"/>
            </a:rPr>
            <a:t>Objective &amp; Methodology:</a:t>
          </a:r>
        </a:p>
        <a:p>
          <a:pPr algn="l" rtl="0">
            <a:lnSpc>
              <a:spcPts val="1500"/>
            </a:lnSpc>
            <a:defRPr sz="1000"/>
          </a:pPr>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rPr>
            <a:t>The goal of this analysis is to identify the optimal asset allocation that maximizes the portfolio’s Sharpe ratio.</a:t>
          </a:r>
        </a:p>
        <a:p>
          <a:pPr algn="l" rtl="0">
            <a:lnSpc>
              <a:spcPts val="1500"/>
            </a:lnSpc>
            <a:defRPr sz="1000"/>
          </a:pPr>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rPr>
            <a:t>The optimization is performed using Excel’s Solver tool, based on historical returns and the asset covariance structure.</a:t>
          </a:r>
        </a:p>
        <a:p>
          <a:pPr algn="l" rtl="0">
            <a:lnSpc>
              <a:spcPts val="1500"/>
            </a:lnSpc>
            <a:defRPr sz="1000"/>
          </a:pPr>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Arial"/>
              <a:cs typeface="Arial"/>
            </a:rPr>
            <a:t>Two scenarios are analyzed: an unconstrained optimization and a constrained optimization reflecting realistic investment limits.</a:t>
          </a:r>
        </a:p>
      </xdr:txBody>
    </xdr:sp>
    <xdr:clientData/>
  </xdr:twoCellAnchor>
  <xdr:oneCellAnchor>
    <xdr:from>
      <xdr:col>11</xdr:col>
      <xdr:colOff>619123</xdr:colOff>
      <xdr:row>31</xdr:row>
      <xdr:rowOff>85724</xdr:rowOff>
    </xdr:from>
    <xdr:ext cx="8375197" cy="4295776"/>
    <xdr:sp macro="" textlink="">
      <xdr:nvSpPr>
        <xdr:cNvPr id="5" name="TextBox 4">
          <a:extLst>
            <a:ext uri="{FF2B5EF4-FFF2-40B4-BE49-F238E27FC236}">
              <a16:creationId xmlns:a16="http://schemas.microsoft.com/office/drawing/2014/main" id="{D5FA5196-1C83-3149-24DD-35EB89003BD8}"/>
            </a:ext>
          </a:extLst>
        </xdr:cNvPr>
        <xdr:cNvSpPr txBox="1"/>
      </xdr:nvSpPr>
      <xdr:spPr>
        <a:xfrm>
          <a:off x="9214035" y="6854077"/>
          <a:ext cx="8375197" cy="4295776"/>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r>
            <a:rPr lang="en-US" sz="1200" b="1" u="sng">
              <a:solidFill>
                <a:schemeClr val="accent4">
                  <a:lumMod val="75000"/>
                </a:schemeClr>
              </a:solidFill>
            </a:rPr>
            <a:t>Why constraints were added:</a:t>
          </a:r>
          <a:endParaRPr lang="he-IL" sz="1200" b="1" u="sng">
            <a:solidFill>
              <a:schemeClr val="accent4">
                <a:lumMod val="75000"/>
              </a:schemeClr>
            </a:solidFill>
          </a:endParaRPr>
        </a:p>
        <a:p>
          <a:endParaRPr lang="en-US" sz="1200" b="1" u="sng">
            <a:solidFill>
              <a:schemeClr val="accent4">
                <a:lumMod val="75000"/>
              </a:schemeClr>
            </a:solidFill>
          </a:endParaRPr>
        </a:p>
        <a:p>
          <a:pPr marL="0" indent="0"/>
          <a:r>
            <a:rPr lang="en-US" sz="1200">
              <a:solidFill>
                <a:schemeClr val="tx1"/>
              </a:solidFill>
              <a:latin typeface="+mn-lt"/>
              <a:ea typeface="+mn-ea"/>
              <a:cs typeface="+mn-cs"/>
            </a:rPr>
            <a:t>In most cases, investors do not allocate 100% of capital to a single asset.</a:t>
          </a:r>
        </a:p>
        <a:p>
          <a:pPr marL="0" indent="0"/>
          <a:r>
            <a:rPr lang="en-US" sz="1200">
              <a:solidFill>
                <a:schemeClr val="tx1"/>
              </a:solidFill>
              <a:latin typeface="+mn-lt"/>
              <a:ea typeface="+mn-ea"/>
              <a:cs typeface="+mn-cs"/>
            </a:rPr>
            <a:t>They usually set minimum and maximum weight limits based on the level of risk they are willing to take and the level of diversification they want to keep.</a:t>
          </a:r>
          <a:endParaRPr lang="he-IL" sz="1200">
            <a:solidFill>
              <a:schemeClr val="tx1"/>
            </a:solidFill>
            <a:latin typeface="+mn-lt"/>
            <a:ea typeface="+mn-ea"/>
            <a:cs typeface="+mn-cs"/>
          </a:endParaRPr>
        </a:p>
        <a:p>
          <a:pPr marL="0" indent="0"/>
          <a:r>
            <a:rPr lang="en-US" sz="1200">
              <a:solidFill>
                <a:schemeClr val="tx1"/>
              </a:solidFill>
              <a:latin typeface="+mn-lt"/>
              <a:ea typeface="+mn-ea"/>
              <a:cs typeface="+mn-cs"/>
            </a:rPr>
            <a:t>In this model, the weight limits were defined first, and then the Solver was used to find the highest Sharpe ratio within those boundaries.</a:t>
          </a:r>
          <a:endParaRPr lang="he-IL" sz="1200">
            <a:solidFill>
              <a:schemeClr val="tx1"/>
            </a:solidFill>
            <a:latin typeface="+mn-lt"/>
            <a:ea typeface="+mn-ea"/>
            <a:cs typeface="+mn-cs"/>
          </a:endParaRPr>
        </a:p>
        <a:p>
          <a:pPr marL="0" indent="0"/>
          <a:r>
            <a:rPr lang="en-US" sz="1200">
              <a:solidFill>
                <a:schemeClr val="tx1"/>
              </a:solidFill>
              <a:latin typeface="+mn-lt"/>
              <a:ea typeface="+mn-ea"/>
              <a:cs typeface="+mn-cs"/>
            </a:rPr>
            <a:t>This way, the portfolio remains spread across different assets instead of being overly concentrated.</a:t>
          </a:r>
          <a:endParaRPr lang="he-IL" sz="1200">
            <a:solidFill>
              <a:schemeClr val="tx1"/>
            </a:solidFill>
            <a:latin typeface="+mn-lt"/>
            <a:ea typeface="+mn-ea"/>
            <a:cs typeface="+mn-cs"/>
          </a:endParaRPr>
        </a:p>
        <a:p>
          <a:endParaRPr lang="en-US" sz="1200">
            <a:solidFill>
              <a:schemeClr val="tx1"/>
            </a:solidFill>
          </a:endParaRPr>
        </a:p>
        <a:p>
          <a:r>
            <a:rPr lang="en-US" sz="1200" b="1" u="sng">
              <a:solidFill>
                <a:schemeClr val="accent4">
                  <a:lumMod val="75000"/>
                </a:schemeClr>
              </a:solidFill>
            </a:rPr>
            <a:t>Constraints and their purpose</a:t>
          </a:r>
        </a:p>
        <a:p>
          <a:endParaRPr lang="he-IL" sz="1200">
            <a:solidFill>
              <a:schemeClr val="tx1"/>
            </a:solidFill>
          </a:endParaRPr>
        </a:p>
        <a:p>
          <a:r>
            <a:rPr lang="en-US" sz="1200">
              <a:solidFill>
                <a:schemeClr val="tx1"/>
              </a:solidFill>
            </a:rPr>
            <a:t>• Core market exposure — SPY: 25%–40%</a:t>
          </a:r>
        </a:p>
        <a:p>
          <a:r>
            <a:rPr lang="en-US" sz="1200">
              <a:solidFill>
                <a:schemeClr val="tx1"/>
              </a:solidFill>
            </a:rPr>
            <a:t>SPY was given a minimum weight to ensure consistent exposure to the broad market, while the max weight prevents the portfolio from becoming overly dependent on a single index.</a:t>
          </a:r>
        </a:p>
        <a:p>
          <a:r>
            <a:rPr lang="en-US" sz="1200">
              <a:solidFill>
                <a:schemeClr val="tx1"/>
              </a:solidFill>
            </a:rPr>
            <a:t>• Diversification hedge — GLD: 5%–20%</a:t>
          </a:r>
        </a:p>
        <a:p>
          <a:r>
            <a:rPr lang="en-US" sz="1200">
              <a:solidFill>
                <a:schemeClr val="tx1"/>
              </a:solidFill>
            </a:rPr>
            <a:t>GLD was assigned as stabilizing component in the portfolio, without allowing it to dominate the allocation.</a:t>
          </a:r>
        </a:p>
        <a:p>
          <a:r>
            <a:rPr lang="en-US" sz="1200">
              <a:solidFill>
                <a:schemeClr val="tx1"/>
              </a:solidFill>
            </a:rPr>
            <a:t>• Individual stocks — JPM, NVDA, XOM, PG (0%–15%)</a:t>
          </a:r>
        </a:p>
        <a:p>
          <a:r>
            <a:rPr lang="en-US" sz="1200">
              <a:solidFill>
                <a:schemeClr val="tx1"/>
              </a:solidFill>
            </a:rPr>
            <a:t>Limits were set on individual stocks to prevent the portfolio from putting too much weight on one company.</a:t>
          </a:r>
          <a:endParaRPr lang="he-IL" sz="1200">
            <a:solidFill>
              <a:schemeClr val="tx1"/>
            </a:solidFill>
          </a:endParaRPr>
        </a:p>
        <a:p>
          <a:r>
            <a:rPr lang="en-US" sz="1200">
              <a:solidFill>
                <a:schemeClr val="tx1"/>
              </a:solidFill>
            </a:rPr>
            <a:t>• Defensive fixed income — TLT: 0%–20%</a:t>
          </a:r>
        </a:p>
        <a:p>
          <a:r>
            <a:rPr lang="en-US" sz="1200"/>
            <a:t>TLT (long-term U.S. Treasuries) was given flexibility, as it may improve stability but is not always essential.</a:t>
          </a:r>
          <a:endParaRPr lang="he-IL" sz="1200"/>
        </a:p>
        <a:p>
          <a:r>
            <a:rPr lang="en-US" sz="1200">
              <a:solidFill>
                <a:schemeClr val="tx1"/>
              </a:solidFill>
            </a:rPr>
            <a:t>• Sector diversification — VGT, VNQ, VXUS (0%–15%)</a:t>
          </a:r>
        </a:p>
        <a:p>
          <a:r>
            <a:rPr lang="en-US" sz="1200">
              <a:solidFill>
                <a:schemeClr val="tx1"/>
              </a:solidFill>
            </a:rPr>
            <a:t>These assets were included to provide exposure to different sectors and regions, while limiting their weight to avoid overexposure.</a:t>
          </a:r>
        </a:p>
      </xdr:txBody>
    </xdr:sp>
    <xdr:clientData/>
  </xdr:oneCellAnchor>
  <xdr:oneCellAnchor>
    <xdr:from>
      <xdr:col>1</xdr:col>
      <xdr:colOff>0</xdr:colOff>
      <xdr:row>33</xdr:row>
      <xdr:rowOff>171450</xdr:rowOff>
    </xdr:from>
    <xdr:ext cx="5946322" cy="2158924"/>
    <xdr:sp macro="" textlink="">
      <xdr:nvSpPr>
        <xdr:cNvPr id="6" name="TextBox 5">
          <a:extLst>
            <a:ext uri="{FF2B5EF4-FFF2-40B4-BE49-F238E27FC236}">
              <a16:creationId xmlns:a16="http://schemas.microsoft.com/office/drawing/2014/main" id="{A63AB1C8-0968-80BF-D52C-9780771C403A}"/>
            </a:ext>
          </a:extLst>
        </xdr:cNvPr>
        <xdr:cNvSpPr txBox="1"/>
      </xdr:nvSpPr>
      <xdr:spPr>
        <a:xfrm>
          <a:off x="683559" y="7298391"/>
          <a:ext cx="5946322" cy="2158924"/>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r>
            <a:rPr lang="en-US" sz="1200" b="0" cap="none" spc="0">
              <a:ln w="0"/>
              <a:solidFill>
                <a:schemeClr val="tx1"/>
              </a:solidFill>
              <a:effectLst>
                <a:outerShdw blurRad="38100" dist="19050" dir="2700000" algn="tl" rotWithShape="0">
                  <a:schemeClr val="dk1">
                    <a:alpha val="40000"/>
                  </a:schemeClr>
                </a:outerShdw>
              </a:effectLst>
            </a:rPr>
            <a:t>In this model, the portfolio is optimized without limitations.</a:t>
          </a:r>
        </a:p>
        <a:p>
          <a:r>
            <a:rPr lang="en-US" sz="1200" b="0" cap="none" spc="0">
              <a:ln w="0"/>
              <a:solidFill>
                <a:schemeClr val="tx1"/>
              </a:solidFill>
              <a:effectLst>
                <a:outerShdw blurRad="38100" dist="19050" dir="2700000" algn="tl" rotWithShape="0">
                  <a:schemeClr val="dk1">
                    <a:alpha val="40000"/>
                  </a:schemeClr>
                </a:outerShdw>
              </a:effectLst>
            </a:rPr>
            <a:t>The Solver is free to choose any combination of assets in order to maximize the Sharpe ratio.</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u="sng" cap="none" spc="0">
              <a:ln w="0"/>
              <a:solidFill>
                <a:schemeClr val="accent4">
                  <a:lumMod val="75000"/>
                </a:schemeClr>
              </a:solidFill>
              <a:effectLst>
                <a:outerShdw blurRad="38100" dist="19050" dir="2700000" algn="tl" rotWithShape="0">
                  <a:schemeClr val="dk1">
                    <a:alpha val="40000"/>
                  </a:schemeClr>
                </a:outerShdw>
              </a:effectLst>
            </a:rPr>
            <a:t>How to interpret the result</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The final allocation shows what the model chooses when it is not restricted by allocation limits.</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In this case, most of the weight goes to NVDA and GLD, with a smaller position in JPM.</a:t>
          </a:r>
        </a:p>
        <a:p>
          <a:r>
            <a:rPr lang="en-US" sz="1200" b="0" cap="none" spc="0">
              <a:ln w="0"/>
              <a:solidFill>
                <a:schemeClr val="tx1"/>
              </a:solidFill>
              <a:effectLst>
                <a:outerShdw blurRad="38100" dist="19050" dir="2700000" algn="tl" rotWithShape="0">
                  <a:schemeClr val="dk1">
                    <a:alpha val="40000"/>
                  </a:schemeClr>
                </a:outerShdw>
              </a:effectLst>
            </a:rPr>
            <a:t>This means the model prefers combining high-growth exposure (NVDA) with a more stable asset (GLD), while keeping some exposure to the financial sector through (JPM).</a:t>
          </a:r>
          <a:endParaRPr lang="he-IL"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4</xdr:col>
      <xdr:colOff>11207</xdr:colOff>
      <xdr:row>16</xdr:row>
      <xdr:rowOff>180414</xdr:rowOff>
    </xdr:from>
    <xdr:to>
      <xdr:col>9</xdr:col>
      <xdr:colOff>201707</xdr:colOff>
      <xdr:row>28</xdr:row>
      <xdr:rowOff>200584</xdr:rowOff>
    </xdr:to>
    <xdr:graphicFrame macro="">
      <xdr:nvGraphicFramePr>
        <xdr:cNvPr id="7" name="Chart 6">
          <a:extLst>
            <a:ext uri="{FF2B5EF4-FFF2-40B4-BE49-F238E27FC236}">
              <a16:creationId xmlns:a16="http://schemas.microsoft.com/office/drawing/2014/main" id="{B8355F4C-266B-6964-FD10-BB58FBD80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13608</xdr:colOff>
      <xdr:row>16</xdr:row>
      <xdr:rowOff>211630</xdr:rowOff>
    </xdr:from>
    <xdr:to>
      <xdr:col>26</xdr:col>
      <xdr:colOff>481054</xdr:colOff>
      <xdr:row>29</xdr:row>
      <xdr:rowOff>30094</xdr:rowOff>
    </xdr:to>
    <xdr:graphicFrame macro="">
      <xdr:nvGraphicFramePr>
        <xdr:cNvPr id="8" name="Chart 7">
          <a:extLst>
            <a:ext uri="{FF2B5EF4-FFF2-40B4-BE49-F238E27FC236}">
              <a16:creationId xmlns:a16="http://schemas.microsoft.com/office/drawing/2014/main" id="{D520E732-67EB-5BB3-CE2E-A22A41E32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685799</xdr:colOff>
      <xdr:row>1</xdr:row>
      <xdr:rowOff>9525</xdr:rowOff>
    </xdr:from>
    <xdr:to>
      <xdr:col>15</xdr:col>
      <xdr:colOff>66674</xdr:colOff>
      <xdr:row>43</xdr:row>
      <xdr:rowOff>0</xdr:rowOff>
    </xdr:to>
    <xdr:sp macro="" textlink="">
      <xdr:nvSpPr>
        <xdr:cNvPr id="2" name="TextBox 1">
          <a:extLst>
            <a:ext uri="{FF2B5EF4-FFF2-40B4-BE49-F238E27FC236}">
              <a16:creationId xmlns:a16="http://schemas.microsoft.com/office/drawing/2014/main" id="{B3E47EA3-C8A9-A9DD-1013-278945CAEBFC}"/>
            </a:ext>
          </a:extLst>
        </xdr:cNvPr>
        <xdr:cNvSpPr txBox="1"/>
      </xdr:nvSpPr>
      <xdr:spPr>
        <a:xfrm>
          <a:off x="6172199" y="190500"/>
          <a:ext cx="5553075" cy="7629525"/>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u="sng" cap="none" spc="0">
              <a:ln w="0"/>
              <a:solidFill>
                <a:schemeClr val="tx1"/>
              </a:solidFill>
              <a:effectLst>
                <a:outerShdw blurRad="38100" dist="19050" dir="2700000" algn="tl" rotWithShape="0">
                  <a:schemeClr val="dk1">
                    <a:alpha val="40000"/>
                  </a:schemeClr>
                </a:outerShdw>
              </a:effectLst>
            </a:rPr>
            <a:t>Interest Rate Sensitivity – Summary</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This section tests how the optimal portfolio changes under different interest rate environments.</a:t>
          </a:r>
        </a:p>
        <a:p>
          <a:r>
            <a:rPr lang="en-US" sz="1100" b="0" cap="none" spc="0">
              <a:ln w="0"/>
              <a:solidFill>
                <a:schemeClr val="tx1"/>
              </a:solidFill>
              <a:effectLst>
                <a:outerShdw blurRad="38100" dist="19050" dir="2700000" algn="tl" rotWithShape="0">
                  <a:schemeClr val="dk1">
                    <a:alpha val="40000"/>
                  </a:schemeClr>
                </a:outerShdw>
              </a:effectLst>
            </a:rPr>
            <a:t>For each scenario, the risk-free rate is updated, and the Solver is run again to maximize the portfolio’s Sharpe ratio under the same constraints.</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200" b="1" u="sng" cap="none" spc="0">
              <a:ln w="0"/>
              <a:solidFill>
                <a:schemeClr val="tx1"/>
              </a:solidFill>
              <a:effectLst>
                <a:outerShdw blurRad="38100" dist="19050" dir="2700000" algn="tl" rotWithShape="0">
                  <a:schemeClr val="dk1">
                    <a:alpha val="40000"/>
                  </a:schemeClr>
                </a:outerShdw>
              </a:effectLst>
            </a:rPr>
            <a:t>Results</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Under a low interest rate scenario (2%), the portfolio achieves the highest Sharpe ratio (1.31).</a:t>
          </a:r>
        </a:p>
        <a:p>
          <a:r>
            <a:rPr lang="en-US" sz="1100" b="0" cap="none" spc="0">
              <a:ln w="0"/>
              <a:solidFill>
                <a:schemeClr val="tx1"/>
              </a:solidFill>
              <a:effectLst>
                <a:outerShdw blurRad="38100" dist="19050" dir="2700000" algn="tl" rotWithShape="0">
                  <a:schemeClr val="dk1">
                    <a:alpha val="40000"/>
                  </a:schemeClr>
                </a:outerShdw>
              </a:effectLst>
            </a:rPr>
            <a:t>The expected return and volatility remain identical to the base case, meaning the improvement comes solely from the lower risk-free rate used in the Sharpe calculation.</a:t>
          </a:r>
        </a:p>
        <a:p>
          <a:r>
            <a:rPr lang="en-US" sz="1100" b="0" cap="none" spc="0">
              <a:ln w="0"/>
              <a:solidFill>
                <a:schemeClr val="tx1"/>
              </a:solidFill>
              <a:effectLst>
                <a:outerShdw blurRad="38100" dist="19050" dir="2700000" algn="tl" rotWithShape="0">
                  <a:schemeClr val="dk1">
                    <a:alpha val="40000"/>
                  </a:schemeClr>
                </a:outerShdw>
              </a:effectLst>
            </a:rPr>
            <a:t> </a:t>
          </a:r>
        </a:p>
        <a:p>
          <a:r>
            <a:rPr lang="en-US" sz="1100" b="0" cap="none" spc="0">
              <a:ln w="0"/>
              <a:solidFill>
                <a:schemeClr val="tx1"/>
              </a:solidFill>
              <a:effectLst>
                <a:outerShdw blurRad="38100" dist="19050" dir="2700000" algn="tl" rotWithShape="0">
                  <a:schemeClr val="dk1">
                    <a:alpha val="40000"/>
                  </a:schemeClr>
                </a:outerShdw>
              </a:effectLst>
            </a:rPr>
            <a:t>Under a high rate scenario (6%), the Sharpe falls to 1.04.</a:t>
          </a:r>
        </a:p>
        <a:p>
          <a:r>
            <a:rPr lang="en-US" sz="1100" b="0" cap="none" spc="0">
              <a:ln w="0"/>
              <a:solidFill>
                <a:schemeClr val="tx1"/>
              </a:solidFill>
              <a:effectLst>
                <a:outerShdw blurRad="38100" dist="19050" dir="2700000" algn="tl" rotWithShape="0">
                  <a:schemeClr val="dk1">
                    <a:alpha val="40000"/>
                  </a:schemeClr>
                </a:outerShdw>
              </a:effectLst>
            </a:rPr>
            <a:t>In addition, the optimizer slightly adjusts the portfolio composition, leading to a modest increase in volatility (from 14.68% to 15.29%) and a small rise in expected return (from 21.18% to 21.83%).</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200" b="1" u="sng" cap="none" spc="0">
              <a:ln w="0"/>
              <a:solidFill>
                <a:schemeClr val="tx1"/>
              </a:solidFill>
              <a:effectLst>
                <a:outerShdw blurRad="38100" dist="19050" dir="2700000" algn="tl" rotWithShape="0">
                  <a:schemeClr val="dk1">
                    <a:alpha val="40000"/>
                  </a:schemeClr>
                </a:outerShdw>
              </a:effectLst>
            </a:rPr>
            <a:t>Allocation Changes</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Most asset weights remain stable across interest rate scenarios.</a:t>
          </a:r>
        </a:p>
        <a:p>
          <a:r>
            <a:rPr lang="en-US" sz="1100" b="0" cap="none" spc="0">
              <a:ln w="0"/>
              <a:solidFill>
                <a:schemeClr val="tx1"/>
              </a:solidFill>
              <a:effectLst>
                <a:outerShdw blurRad="38100" dist="19050" dir="2700000" algn="tl" rotWithShape="0">
                  <a:schemeClr val="dk1">
                    <a:alpha val="40000"/>
                  </a:schemeClr>
                </a:outerShdw>
              </a:effectLst>
            </a:rPr>
            <a:t>This stability is mainly driven by the allocation constraints built into the model, which were designed to maintain diversification and prevent the portfolio from becoming overly concentrated.</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However, under the high-rate scenario (6%), the optimizer makes a targeted adjustment:</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 PG decreases (from 10% to ~5.3%)</a:t>
          </a:r>
        </a:p>
        <a:p>
          <a:r>
            <a:rPr lang="en-US" sz="1100" b="0" cap="none" spc="0">
              <a:ln w="0"/>
              <a:solidFill>
                <a:schemeClr val="tx1"/>
              </a:solidFill>
              <a:effectLst>
                <a:outerShdw blurRad="38100" dist="19050" dir="2700000" algn="tl" rotWithShape="0">
                  <a:schemeClr val="dk1">
                    <a:alpha val="40000"/>
                  </a:schemeClr>
                </a:outerShdw>
              </a:effectLst>
            </a:rPr>
            <a:t>• VGT increases (from 10% to ~14.7%)</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Under the high-rate scenario, the optimizer  reduces exposure to PG and increases exposure to VGT.</a:t>
          </a:r>
          <a:br>
            <a:rPr lang="en-US" sz="1100" b="0" cap="none" spc="0">
              <a:ln w="0"/>
              <a:solidFill>
                <a:schemeClr val="tx1"/>
              </a:solidFill>
              <a:effectLst>
                <a:outerShdw blurRad="38100" dist="19050" dir="2700000" algn="tl" rotWithShape="0">
                  <a:schemeClr val="dk1">
                    <a:alpha val="40000"/>
                  </a:schemeClr>
                </a:outerShdw>
              </a:effectLst>
            </a:rPr>
          </a:br>
          <a:r>
            <a:rPr lang="en-US" sz="1100" b="0" cap="none" spc="0">
              <a:ln w="0"/>
              <a:solidFill>
                <a:schemeClr val="tx1"/>
              </a:solidFill>
              <a:effectLst>
                <a:outerShdw blurRad="38100" dist="19050" dir="2700000" algn="tl" rotWithShape="0">
                  <a:schemeClr val="dk1">
                    <a:alpha val="40000"/>
                  </a:schemeClr>
                </a:outerShdw>
              </a:effectLst>
            </a:rPr>
            <a:t>This shift fits the assets’ historical behavior: PG has shown lower return and lower sensitivity to market movements, while VGT tends to deliver higher returns but with more volatility.</a:t>
          </a:r>
        </a:p>
        <a:p>
          <a:r>
            <a:rPr lang="en-US" sz="1100" b="0" cap="none" spc="0">
              <a:ln w="0"/>
              <a:solidFill>
                <a:schemeClr val="tx1"/>
              </a:solidFill>
              <a:effectLst>
                <a:outerShdw blurRad="38100" dist="19050" dir="2700000" algn="tl" rotWithShape="0">
                  <a:schemeClr val="dk1">
                    <a:alpha val="40000"/>
                  </a:schemeClr>
                </a:outerShdw>
              </a:effectLst>
            </a:rPr>
            <a:t>In a higher interest rate environment, the model slightly increases exposure to assets with stronger return potential in order to keep the overall Sharpe ratio competitive, even if this means taking on a bit more risk.</a:t>
          </a:r>
          <a:endParaRPr lang="he-IL" sz="1100" b="0" cap="none" spc="0">
            <a:ln w="0"/>
            <a:solidFill>
              <a:schemeClr val="tx1"/>
            </a:solidFill>
            <a:effectLst>
              <a:outerShdw blurRad="38100" dist="19050" dir="2700000" algn="tl" rotWithShape="0">
                <a:schemeClr val="dk1">
                  <a:alpha val="40000"/>
                </a:schemeClr>
              </a:outerShdw>
            </a:effectLst>
          </a:endParaRP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200" b="1" u="sng" cap="none" spc="0">
              <a:ln w="0"/>
              <a:solidFill>
                <a:schemeClr val="tx1"/>
              </a:solidFill>
              <a:effectLst>
                <a:outerShdw blurRad="38100" dist="19050" dir="2700000" algn="tl" rotWithShape="0">
                  <a:schemeClr val="dk1">
                    <a:alpha val="40000"/>
                  </a:schemeClr>
                </a:outerShdw>
              </a:effectLst>
              <a:latin typeface="+mn-lt"/>
              <a:ea typeface="+mn-ea"/>
              <a:cs typeface="+mn-cs"/>
            </a:rPr>
            <a:t>Economic Interpretation</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While the optimizer increases exposure to VGT under the high interest rate scenario, technology sectors are typically more sensitive to rising interest rates. In practice, higher rates often create pressure on technology stocks, which may make such an allocation riskier.</a:t>
          </a:r>
        </a:p>
      </xdr:txBody>
    </xdr:sp>
    <xdr:clientData/>
  </xdr:twoCellAnchor>
  <xdr:twoCellAnchor>
    <xdr:from>
      <xdr:col>16</xdr:col>
      <xdr:colOff>19050</xdr:colOff>
      <xdr:row>0</xdr:row>
      <xdr:rowOff>166687</xdr:rowOff>
    </xdr:from>
    <xdr:to>
      <xdr:col>22</xdr:col>
      <xdr:colOff>476250</xdr:colOff>
      <xdr:row>15</xdr:row>
      <xdr:rowOff>157162</xdr:rowOff>
    </xdr:to>
    <xdr:graphicFrame macro="">
      <xdr:nvGraphicFramePr>
        <xdr:cNvPr id="3" name="Chart 2">
          <a:extLst>
            <a:ext uri="{FF2B5EF4-FFF2-40B4-BE49-F238E27FC236}">
              <a16:creationId xmlns:a16="http://schemas.microsoft.com/office/drawing/2014/main" id="{2F4E5CDE-55A0-35F4-05EA-0AEA51EA5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19</xdr:col>
      <xdr:colOff>896473</xdr:colOff>
      <xdr:row>15</xdr:row>
      <xdr:rowOff>156883</xdr:rowOff>
    </xdr:from>
    <xdr:to>
      <xdr:col>26</xdr:col>
      <xdr:colOff>762002</xdr:colOff>
      <xdr:row>31</xdr:row>
      <xdr:rowOff>13448</xdr:rowOff>
    </xdr:to>
    <xdr:graphicFrame macro="">
      <xdr:nvGraphicFramePr>
        <xdr:cNvPr id="2" name="Chart 1">
          <a:extLst>
            <a:ext uri="{FF2B5EF4-FFF2-40B4-BE49-F238E27FC236}">
              <a16:creationId xmlns:a16="http://schemas.microsoft.com/office/drawing/2014/main" id="{F32084A9-4BF5-A43F-3957-42907766A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16249</xdr:colOff>
      <xdr:row>16</xdr:row>
      <xdr:rowOff>33617</xdr:rowOff>
    </xdr:from>
    <xdr:to>
      <xdr:col>19</xdr:col>
      <xdr:colOff>235323</xdr:colOff>
      <xdr:row>31</xdr:row>
      <xdr:rowOff>34177</xdr:rowOff>
    </xdr:to>
    <xdr:graphicFrame macro="">
      <xdr:nvGraphicFramePr>
        <xdr:cNvPr id="3" name="Chart 2">
          <a:extLst>
            <a:ext uri="{FF2B5EF4-FFF2-40B4-BE49-F238E27FC236}">
              <a16:creationId xmlns:a16="http://schemas.microsoft.com/office/drawing/2014/main" id="{B3D43E92-4D8C-FE2E-8750-FF9CC7E42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33617</xdr:colOff>
      <xdr:row>33</xdr:row>
      <xdr:rowOff>0</xdr:rowOff>
    </xdr:from>
    <xdr:to>
      <xdr:col>22</xdr:col>
      <xdr:colOff>649942</xdr:colOff>
      <xdr:row>105</xdr:row>
      <xdr:rowOff>172091</xdr:rowOff>
    </xdr:to>
    <xdr:sp macro="" textlink="">
      <xdr:nvSpPr>
        <xdr:cNvPr id="4" name="TextBox 3">
          <a:extLst>
            <a:ext uri="{FF2B5EF4-FFF2-40B4-BE49-F238E27FC236}">
              <a16:creationId xmlns:a16="http://schemas.microsoft.com/office/drawing/2014/main" id="{A63AA4E1-B0F6-FE8B-F525-A8743D8D364B}"/>
            </a:ext>
          </a:extLst>
        </xdr:cNvPr>
        <xdr:cNvSpPr txBox="1"/>
      </xdr:nvSpPr>
      <xdr:spPr>
        <a:xfrm>
          <a:off x="10130117" y="6308912"/>
          <a:ext cx="9065560" cy="1308126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800" b="1"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Purpose of the Sheet</a:t>
          </a:r>
        </a:p>
        <a:p>
          <a:endParaRPr lang="en-US" sz="1200" b="0" cap="none" spc="0">
            <a:ln w="0"/>
            <a:solidFill>
              <a:schemeClr val="tx1"/>
            </a:solidFill>
            <a:effectLst>
              <a:outerShdw blurRad="38100" dist="19050" dir="2700000" algn="tl" rotWithShape="0">
                <a:schemeClr val="dk1">
                  <a:alpha val="40000"/>
                </a:schemeClr>
              </a:outerShdw>
            </a:effectLst>
          </a:endParaRPr>
        </a:p>
        <a:p>
          <a:pPr>
            <a:lnSpc>
              <a:spcPts val="13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This section evaluates the portfolio’s performance in the Test period, after being constructed using the Train period.</a:t>
          </a:r>
        </a:p>
        <a:p>
          <a:pPr>
            <a:lnSpc>
              <a:spcPts val="13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3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The purpose of this analysis is to assess whether the allocation derived from the Train data remains effective when applied to subsequent market conditions in the Test period.</a:t>
          </a:r>
        </a:p>
        <a:p>
          <a:pPr>
            <a:lnSpc>
              <a:spcPts val="13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3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This helps determine whether the portfolio’s performance reflects a structure that continues to hold outside the Train period, and not only within the data on which it was calibrated.</a:t>
          </a:r>
        </a:p>
        <a:p>
          <a:endParaRPr lang="en-US" sz="12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a:p>
          <a:r>
            <a:rPr lang="en-US" sz="1600" b="0" cap="none" spc="0">
              <a:ln w="0"/>
              <a:solidFill>
                <a:schemeClr val="accent1">
                  <a:lumMod val="75000"/>
                </a:schemeClr>
              </a:solidFill>
              <a:effectLst>
                <a:outerShdw blurRad="38100" dist="19050" dir="2700000" algn="tl" rotWithShape="0">
                  <a:schemeClr val="dk1">
                    <a:alpha val="40000"/>
                  </a:schemeClr>
                </a:outerShdw>
              </a:effectLst>
              <a:latin typeface="Arial Black" panose="020B0A04020102020204" pitchFamily="34" charset="0"/>
              <a:cs typeface="+mn-cs"/>
            </a:rPr>
            <a:t>Methodology</a:t>
          </a:r>
        </a:p>
        <a:p>
          <a:pPr>
            <a:lnSpc>
              <a:spcPts val="1500"/>
            </a:lnSpc>
          </a:pPr>
          <a:endParaRPr lang="en-US" sz="1400" b="1" cap="none" spc="0">
            <a:ln w="0"/>
            <a:solidFill>
              <a:schemeClr val="accent1">
                <a:lumMod val="75000"/>
              </a:schemeClr>
            </a:solidFill>
            <a:effectLst>
              <a:outerShdw blurRad="38100" dist="19050" dir="2700000" algn="tl" rotWithShape="0">
                <a:schemeClr val="dk1">
                  <a:alpha val="40000"/>
                </a:schemeClr>
              </a:outerShdw>
            </a:effectLst>
          </a:endParaRPr>
        </a:p>
        <a:p>
          <a:pPr>
            <a:lnSpc>
              <a:spcPts val="14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The full dataset (February 2015 – January 2026) was divided chronologically into:</a:t>
          </a:r>
        </a:p>
        <a:p>
          <a:pPr>
            <a:lnSpc>
              <a:spcPts val="14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4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Training Period: 01/02/2015 – 01/09/2022</a:t>
          </a:r>
        </a:p>
        <a:p>
          <a:pPr>
            <a:lnSpc>
              <a:spcPts val="14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4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Testing Period: 01/10/2022 – 01/01/2026</a:t>
          </a:r>
        </a:p>
        <a:p>
          <a:pPr>
            <a:lnSpc>
              <a:spcPts val="14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4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The portfolio allocation was determined using only the Training period.</a:t>
          </a:r>
        </a:p>
        <a:p>
          <a:pPr>
            <a:lnSpc>
              <a:spcPts val="14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4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Under the defined constraints, the optimization resulted in the following structure:</a:t>
          </a:r>
        </a:p>
        <a:p>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20% GLD</a:t>
          </a: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25% SPY</a:t>
          </a: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10% JPM</a:t>
          </a: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15% NVDA</a:t>
          </a: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10% PG</a:t>
          </a: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15% VGT</a:t>
          </a:r>
        </a:p>
        <a:p>
          <a:pPr>
            <a:lnSpc>
              <a:spcPts val="12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5% VXUS</a:t>
          </a:r>
        </a:p>
        <a:p>
          <a:pPr>
            <a:lnSpc>
              <a:spcPts val="12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2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with no allocation to XOM, TLT and VNQ.</a:t>
          </a:r>
        </a:p>
        <a:p>
          <a:pPr>
            <a:lnSpc>
              <a:spcPts val="12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2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These weights were not re-optimized after September 2022 and were applied unchanged during the Testing period.</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600" b="1" cap="none" spc="0">
              <a:ln w="0"/>
              <a:solidFill>
                <a:schemeClr val="accent1">
                  <a:lumMod val="75000"/>
                </a:schemeClr>
              </a:solidFill>
              <a:effectLst>
                <a:outerShdw blurRad="38100" dist="19050" dir="2700000" algn="tl" rotWithShape="0">
                  <a:schemeClr val="dk1">
                    <a:alpha val="40000"/>
                  </a:schemeClr>
                </a:outerShdw>
              </a:effectLst>
              <a:latin typeface="Arial Black" panose="020B0A04020102020204" pitchFamily="34" charset="0"/>
            </a:rPr>
            <a:t>Results</a:t>
          </a:r>
        </a:p>
        <a:p>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r>
            <a:rPr lang="en-US" sz="1400" b="0" cap="none" spc="0">
              <a:ln w="0"/>
              <a:solidFill>
                <a:srgbClr val="F27900"/>
              </a:solidFill>
              <a:effectLst>
                <a:outerShdw blurRad="38100" dist="19050" dir="2700000" algn="tl" rotWithShape="0">
                  <a:schemeClr val="dk1">
                    <a:alpha val="40000"/>
                  </a:schemeClr>
                </a:outerShdw>
              </a:effectLst>
              <a:latin typeface="Arial Rounded MT Bold" panose="020F0704030504030204" pitchFamily="34" charset="0"/>
            </a:rPr>
            <a:t>Monthly Performance</a:t>
          </a: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Average return increased from 1.27% (Train) to 2.92% (Test).</a:t>
          </a: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Volatility declined slightly from 4.36% to 3.93%.</a:t>
          </a: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The Sharpe ratio improved from 0.21 to 0.65, indicating stronger risk-adjusted performance in the Test period..</a:t>
          </a:r>
        </a:p>
        <a:p>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marL="0" indent="0"/>
          <a:r>
            <a:rPr lang="en-US" sz="1400" b="0" cap="none" spc="0">
              <a:ln w="0"/>
              <a:solidFill>
                <a:srgbClr val="F27900"/>
              </a:solidFill>
              <a:effectLst>
                <a:outerShdw blurRad="38100" dist="19050" dir="2700000" algn="tl" rotWithShape="0">
                  <a:schemeClr val="dk1">
                    <a:alpha val="40000"/>
                  </a:schemeClr>
                </a:outerShdw>
              </a:effectLst>
              <a:latin typeface="Arial Rounded MT Bold" panose="020F0704030504030204" pitchFamily="34" charset="0"/>
              <a:ea typeface="+mn-ea"/>
              <a:cs typeface="+mn-cs"/>
            </a:rPr>
            <a:t>Annualized Performance</a:t>
          </a: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Expected return increased from 16.4% in the train period to 41.2% in the test period, while volatility declined from 15.1% to 13.6%. </a:t>
          </a: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The Sharpe ratio rose from 0.75 to 2.27.</a:t>
          </a:r>
        </a:p>
        <a:p>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marL="0" indent="0"/>
          <a:r>
            <a:rPr lang="en-US" sz="1400" b="0" cap="none" spc="0">
              <a:ln w="0"/>
              <a:solidFill>
                <a:srgbClr val="F27900"/>
              </a:solidFill>
              <a:effectLst>
                <a:outerShdw blurRad="38100" dist="19050" dir="2700000" algn="tl" rotWithShape="0">
                  <a:schemeClr val="dk1">
                    <a:alpha val="40000"/>
                  </a:schemeClr>
                </a:outerShdw>
              </a:effectLst>
              <a:latin typeface="Arial Rounded MT Bold" panose="020F0704030504030204" pitchFamily="34" charset="0"/>
              <a:ea typeface="+mn-ea"/>
              <a:cs typeface="+mn-cs"/>
            </a:rPr>
            <a:t>Excess Performance - Portfolio vs. SPY</a:t>
          </a:r>
        </a:p>
        <a:p>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3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During the Test period, the portfolio returned 41.2% annually, compared to 22.9% for SPY.</a:t>
          </a:r>
        </a:p>
        <a:p>
          <a:pPr>
            <a:lnSpc>
              <a:spcPts val="13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3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This represents an excess return of 18.3%.</a:t>
          </a:r>
        </a:p>
        <a:p>
          <a:pPr>
            <a:lnSpc>
              <a:spcPts val="13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3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Portfolio volatility (13.6%) was only slightly higher than SPY’s (12.8%), indicating that the excess return was not driven by increased risk.</a:t>
          </a:r>
        </a:p>
        <a:p>
          <a:pPr>
            <a:lnSpc>
              <a:spcPts val="13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3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The portfolio also delivered a higher Sharpe ratio than SPY (2.27 vs 1.47).</a:t>
          </a:r>
        </a:p>
        <a:p>
          <a:pPr>
            <a:lnSpc>
              <a:spcPts val="1300"/>
            </a:lnSpc>
          </a:pPr>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pPr>
            <a:lnSpc>
              <a:spcPts val="1300"/>
            </a:lnSpc>
          </a:pPr>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This indicates that the excess performance reflects improved allocation efficiency rather than disproportionate risk-taking.</a:t>
          </a:r>
        </a:p>
        <a:p>
          <a:endParaRPr lang="en-US" sz="1200" b="0" cap="none" spc="0">
            <a:ln w="0"/>
            <a:solidFill>
              <a:schemeClr val="tx1"/>
            </a:solidFill>
            <a:effectLst>
              <a:outerShdw blurRad="38100" dist="19050" dir="2700000" algn="tl" rotWithShape="0">
                <a:schemeClr val="dk1">
                  <a:alpha val="40000"/>
                </a:schemeClr>
              </a:outerShdw>
            </a:effectLst>
          </a:endParaRPr>
        </a:p>
        <a:p>
          <a:pPr marL="0" indent="0"/>
          <a:r>
            <a:rPr lang="en-US" sz="1600" b="1" cap="none" spc="0">
              <a:ln w="0"/>
              <a:solidFill>
                <a:schemeClr val="accent1">
                  <a:lumMod val="75000"/>
                </a:schemeClr>
              </a:solidFill>
              <a:effectLst>
                <a:outerShdw blurRad="38100" dist="19050" dir="2700000" algn="tl" rotWithShape="0">
                  <a:schemeClr val="dk1">
                    <a:alpha val="40000"/>
                  </a:schemeClr>
                </a:outerShdw>
              </a:effectLst>
              <a:latin typeface="Arial Black" panose="020B0A04020102020204" pitchFamily="34" charset="0"/>
              <a:ea typeface="+mn-ea"/>
              <a:cs typeface="+mn-cs"/>
            </a:rPr>
            <a:t>Final Interpretation and Conclusion</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The out-of-sample results show that the portfolio maintained its risk-adjusted performance when applied to the Test period.</a:t>
          </a:r>
        </a:p>
        <a:p>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Returns increased while volatility declined, leading to a materially higher Sharpe ratio in the Test period. In addition, the portfolio outperformed SPY by a significant margin, generating excess return without a meaningful increase in risk.</a:t>
          </a:r>
        </a:p>
        <a:p>
          <a:endPar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a:p>
          <a:r>
            <a:rPr lang="en-US" sz="12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rPr>
            <a:t>Overall, the results indicate that the allocation determined in the train period remained effective when applied to new market conditions in the test period, and was not limited to the historical data used to construct it.</a:t>
          </a:r>
        </a:p>
        <a:p>
          <a:endParaRPr lang="en-US" sz="1200" b="0" cap="none" spc="0">
            <a:ln w="0"/>
            <a:solidFill>
              <a:schemeClr val="tx1"/>
            </a:solidFill>
            <a:effectLst>
              <a:outerShdw blurRad="38100" dist="19050" dir="2700000" algn="tl" rotWithShape="0">
                <a:schemeClr val="dk1">
                  <a:alpha val="40000"/>
                </a:schemeClr>
              </a:outerShdw>
            </a:effectLst>
          </a:endParaRPr>
        </a:p>
        <a:p>
          <a:endParaRPr lang="he-IL"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19</xdr:col>
      <xdr:colOff>369795</xdr:colOff>
      <xdr:row>1</xdr:row>
      <xdr:rowOff>168088</xdr:rowOff>
    </xdr:from>
    <xdr:to>
      <xdr:col>28</xdr:col>
      <xdr:colOff>560294</xdr:colOff>
      <xdr:row>22</xdr:row>
      <xdr:rowOff>66113</xdr:rowOff>
    </xdr:to>
    <xdr:graphicFrame macro="">
      <xdr:nvGraphicFramePr>
        <xdr:cNvPr id="2" name="Chart 1">
          <a:extLst>
            <a:ext uri="{FF2B5EF4-FFF2-40B4-BE49-F238E27FC236}">
              <a16:creationId xmlns:a16="http://schemas.microsoft.com/office/drawing/2014/main" id="{D83345E4-742E-C2C4-492C-005A3AD9E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336174</xdr:colOff>
      <xdr:row>23</xdr:row>
      <xdr:rowOff>124384</xdr:rowOff>
    </xdr:from>
    <xdr:to>
      <xdr:col>28</xdr:col>
      <xdr:colOff>571498</xdr:colOff>
      <xdr:row>46</xdr:row>
      <xdr:rowOff>78440</xdr:rowOff>
    </xdr:to>
    <xdr:graphicFrame macro="">
      <xdr:nvGraphicFramePr>
        <xdr:cNvPr id="4" name="Chart 3">
          <a:extLst>
            <a:ext uri="{FF2B5EF4-FFF2-40B4-BE49-F238E27FC236}">
              <a16:creationId xmlns:a16="http://schemas.microsoft.com/office/drawing/2014/main" id="{7ED59A5D-89B4-B3E1-0FE4-A284414FA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11207</xdr:colOff>
      <xdr:row>21</xdr:row>
      <xdr:rowOff>11206</xdr:rowOff>
    </xdr:from>
    <xdr:to>
      <xdr:col>18</xdr:col>
      <xdr:colOff>649941</xdr:colOff>
      <xdr:row>106</xdr:row>
      <xdr:rowOff>89647</xdr:rowOff>
    </xdr:to>
    <xdr:sp macro="" textlink="">
      <xdr:nvSpPr>
        <xdr:cNvPr id="3" name="TextBox 2">
          <a:extLst>
            <a:ext uri="{FF2B5EF4-FFF2-40B4-BE49-F238E27FC236}">
              <a16:creationId xmlns:a16="http://schemas.microsoft.com/office/drawing/2014/main" id="{8954245A-572A-EDF6-ED48-5602D2CD9833}"/>
            </a:ext>
          </a:extLst>
        </xdr:cNvPr>
        <xdr:cNvSpPr txBox="1"/>
      </xdr:nvSpPr>
      <xdr:spPr>
        <a:xfrm>
          <a:off x="6219266" y="4224618"/>
          <a:ext cx="8068234" cy="15318441"/>
        </a:xfrm>
        <a:prstGeom prst="rect">
          <a:avLst/>
        </a:prstGeom>
        <a:solidFill>
          <a:srgbClr val="EEEEE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u="none">
              <a:latin typeface="Arial Black" panose="020B0A04020102020204" pitchFamily="34" charset="0"/>
            </a:rPr>
            <a:t>Purpose of the Sheet</a:t>
          </a:r>
        </a:p>
        <a:p>
          <a:endParaRPr lang="en-US" sz="1200"/>
        </a:p>
        <a:p>
          <a:r>
            <a:rPr lang="en-US" sz="1200"/>
            <a:t>The primary objective of this sheet is to evaluate the portfolio using the Capital Asset Pricing Model (CAPM) during the Test period (October 2022 – January 2026).</a:t>
          </a:r>
        </a:p>
        <a:p>
          <a:endParaRPr lang="en-US" sz="1200"/>
        </a:p>
        <a:p>
          <a:r>
            <a:rPr lang="en-US" sz="1200"/>
            <a:t>The goal of this analysis is to determine whether the portfolio’s performance can be explained primarily by its exposure to the market, or whether it generated returns beyond what would normally be expected given its level of market risk.</a:t>
          </a:r>
        </a:p>
        <a:p>
          <a:endParaRPr lang="en-US" sz="1200"/>
        </a:p>
        <a:p>
          <a:r>
            <a:rPr lang="en-US" sz="1200"/>
            <a:t>The analysis focuses on three key questions:</a:t>
          </a:r>
        </a:p>
        <a:p>
          <a:endParaRPr lang="en-US" sz="1200"/>
        </a:p>
        <a:p>
          <a:r>
            <a:rPr lang="en-US" sz="1100" b="0">
              <a:solidFill>
                <a:schemeClr val="dk1"/>
              </a:solidFill>
              <a:effectLst>
                <a:outerShdw blurRad="38100" dist="19050" dir="2700000" algn="tl" rotWithShape="0">
                  <a:schemeClr val="dk1">
                    <a:alpha val="40000"/>
                  </a:schemeClr>
                </a:outerShdw>
              </a:effectLst>
              <a:latin typeface="+mn-lt"/>
              <a:ea typeface="+mn-ea"/>
              <a:cs typeface="+mn-cs"/>
            </a:rPr>
            <a:t>•</a:t>
          </a:r>
          <a:r>
            <a:rPr lang="he-IL" sz="1100" b="0">
              <a:solidFill>
                <a:schemeClr val="dk1"/>
              </a:solidFill>
              <a:effectLst>
                <a:outerShdw blurRad="38100" dist="19050" dir="2700000" algn="tl" rotWithShape="0">
                  <a:schemeClr val="dk1">
                    <a:alpha val="40000"/>
                  </a:schemeClr>
                </a:outerShdw>
              </a:effectLst>
              <a:latin typeface="+mn-lt"/>
              <a:ea typeface="+mn-ea"/>
              <a:cs typeface="+mn-cs"/>
            </a:rPr>
            <a:t> </a:t>
          </a:r>
          <a:r>
            <a:rPr lang="en-US" sz="1200"/>
            <a:t>How sensitive the portfolio is to market movements.</a:t>
          </a:r>
        </a:p>
        <a:p>
          <a:endParaRPr lang="en-US" sz="1200"/>
        </a:p>
        <a:p>
          <a:r>
            <a:rPr lang="en-US" sz="1100" b="0">
              <a:solidFill>
                <a:schemeClr val="dk1"/>
              </a:solidFill>
              <a:effectLst>
                <a:outerShdw blurRad="38100" dist="19050" dir="2700000" algn="tl" rotWithShape="0">
                  <a:schemeClr val="dk1">
                    <a:alpha val="40000"/>
                  </a:schemeClr>
                </a:outerShdw>
              </a:effectLst>
              <a:latin typeface="+mn-lt"/>
              <a:ea typeface="+mn-ea"/>
              <a:cs typeface="+mn-cs"/>
            </a:rPr>
            <a:t>•</a:t>
          </a:r>
          <a:r>
            <a:rPr lang="he-IL" sz="1100" b="0">
              <a:solidFill>
                <a:schemeClr val="dk1"/>
              </a:solidFill>
              <a:effectLst>
                <a:outerShdw blurRad="38100" dist="19050" dir="2700000" algn="tl" rotWithShape="0">
                  <a:schemeClr val="dk1">
                    <a:alpha val="40000"/>
                  </a:schemeClr>
                </a:outerShdw>
              </a:effectLst>
              <a:latin typeface="+mn-lt"/>
              <a:ea typeface="+mn-ea"/>
              <a:cs typeface="+mn-cs"/>
            </a:rPr>
            <a:t> </a:t>
          </a:r>
          <a:r>
            <a:rPr lang="en-US" sz="1200"/>
            <a:t>Whether the portfolio generated excess return beyond market exposure.</a:t>
          </a:r>
        </a:p>
        <a:p>
          <a:endParaRPr lang="en-US" sz="1200"/>
        </a:p>
        <a:p>
          <a:r>
            <a:rPr lang="en-US" sz="1100" b="0">
              <a:solidFill>
                <a:schemeClr val="dk1"/>
              </a:solidFill>
              <a:effectLst>
                <a:outerShdw blurRad="38100" dist="19050" dir="2700000" algn="tl" rotWithShape="0">
                  <a:schemeClr val="dk1">
                    <a:alpha val="40000"/>
                  </a:schemeClr>
                </a:outerShdw>
              </a:effectLst>
              <a:latin typeface="+mn-lt"/>
              <a:ea typeface="+mn-ea"/>
              <a:cs typeface="+mn-cs"/>
            </a:rPr>
            <a:t>•</a:t>
          </a:r>
          <a:r>
            <a:rPr lang="he-IL" sz="1100" b="0">
              <a:solidFill>
                <a:schemeClr val="dk1"/>
              </a:solidFill>
              <a:effectLst>
                <a:outerShdw blurRad="38100" dist="19050" dir="2700000" algn="tl" rotWithShape="0">
                  <a:schemeClr val="dk1">
                    <a:alpha val="40000"/>
                  </a:schemeClr>
                </a:outerShdw>
              </a:effectLst>
              <a:latin typeface="+mn-lt"/>
              <a:ea typeface="+mn-ea"/>
              <a:cs typeface="+mn-cs"/>
            </a:rPr>
            <a:t> </a:t>
          </a:r>
          <a:r>
            <a:rPr lang="en-US" sz="1200"/>
            <a:t>How well the CAPM model explains the portfolio’s returns.</a:t>
          </a:r>
        </a:p>
        <a:p>
          <a:endParaRPr lang="en-US" sz="1200"/>
        </a:p>
        <a:p>
          <a:pPr marL="0" indent="0"/>
          <a:r>
            <a:rPr lang="en-US" sz="1400" b="1" u="sng">
              <a:solidFill>
                <a:schemeClr val="tx1"/>
              </a:solidFill>
              <a:latin typeface="+mn-lt"/>
              <a:ea typeface="+mn-ea"/>
              <a:cs typeface="+mn-cs"/>
            </a:rPr>
            <a:t>Methodology</a:t>
          </a:r>
        </a:p>
        <a:p>
          <a:endParaRPr lang="en-US" sz="1200"/>
        </a:p>
        <a:p>
          <a:r>
            <a:rPr lang="en-US" sz="1200"/>
            <a:t>The analysis is based on the Capital Asset Pricing Model (CAPM) regression.</a:t>
          </a:r>
        </a:p>
        <a:p>
          <a:endParaRPr lang="en-US" sz="1200"/>
        </a:p>
        <a:p>
          <a:r>
            <a:rPr lang="en-US" sz="1200"/>
            <a:t>Rp − Rf = </a:t>
          </a:r>
          <a:r>
            <a:rPr lang="el-GR" sz="1200"/>
            <a:t>α + β (</a:t>
          </a:r>
          <a:r>
            <a:rPr lang="en-US" sz="1200"/>
            <a:t>Rm − Rf) + </a:t>
          </a:r>
          <a:r>
            <a:rPr lang="el-GR" sz="1200"/>
            <a:t>ε</a:t>
          </a:r>
        </a:p>
        <a:p>
          <a:endParaRPr lang="el-GR" sz="1200"/>
        </a:p>
        <a:p>
          <a:r>
            <a:rPr lang="en-US" sz="1200"/>
            <a:t>Where:</a:t>
          </a:r>
        </a:p>
        <a:p>
          <a:endParaRPr lang="en-US" sz="1200"/>
        </a:p>
        <a:p>
          <a:r>
            <a:rPr lang="en-US" sz="1200"/>
            <a:t>Rp = Portfolio Return  </a:t>
          </a:r>
        </a:p>
        <a:p>
          <a:r>
            <a:rPr lang="en-US" sz="1200"/>
            <a:t>Rf = Risk-Free Rate (0.33% monthly, derived from a 4% annual rate) </a:t>
          </a:r>
        </a:p>
        <a:p>
          <a:r>
            <a:rPr lang="en-US" sz="1200"/>
            <a:t>Rm = Market Return (SPY)</a:t>
          </a:r>
        </a:p>
        <a:p>
          <a:r>
            <a:rPr lang="en-US" sz="1200"/>
            <a:t>Rp − Rf  = Portfolio Excess Return, Dependent Variable (Y)</a:t>
          </a:r>
        </a:p>
        <a:p>
          <a:r>
            <a:rPr lang="en-US" sz="1200"/>
            <a:t>Rm − Rf  = Market Excess Return (SPY − RF), Independent Variable (X)  </a:t>
          </a:r>
        </a:p>
        <a:p>
          <a:r>
            <a:rPr lang="el-GR" sz="1200"/>
            <a:t>α        = </a:t>
          </a:r>
          <a:r>
            <a:rPr lang="en-US" sz="1200"/>
            <a:t>Portfolio Alpha  </a:t>
          </a:r>
        </a:p>
        <a:p>
          <a:r>
            <a:rPr lang="el-GR" sz="1200"/>
            <a:t>β        = </a:t>
          </a:r>
          <a:r>
            <a:rPr lang="en-US" sz="1200"/>
            <a:t>Portfolio sensitivity to the market (Beta)  </a:t>
          </a:r>
        </a:p>
        <a:p>
          <a:r>
            <a:rPr lang="el-GR" sz="1200"/>
            <a:t>ε        = </a:t>
          </a:r>
          <a:r>
            <a:rPr lang="en-US" sz="1200"/>
            <a:t>Residual component of the model</a:t>
          </a:r>
        </a:p>
        <a:p>
          <a:endParaRPr lang="en-US" sz="1200"/>
        </a:p>
        <a:p>
          <a:r>
            <a:rPr lang="en-US" sz="1200"/>
            <a:t>Monthly data from the Test period (October 2022 – January 2026) was used to estimate the model.</a:t>
          </a:r>
        </a:p>
        <a:p>
          <a:endParaRPr lang="en-US" sz="1200"/>
        </a:p>
        <a:p>
          <a:r>
            <a:rPr lang="en-US" sz="1200"/>
            <a:t>Based on the estimated coefficients, the CAPM expected return is also calculated for each month:</a:t>
          </a:r>
        </a:p>
        <a:p>
          <a:endParaRPr lang="en-US" sz="1200"/>
        </a:p>
        <a:p>
          <a:r>
            <a:rPr lang="en-US" sz="1200"/>
            <a:t>Expected Return = </a:t>
          </a:r>
          <a:r>
            <a:rPr lang="el-GR" sz="1200"/>
            <a:t>α + β × </a:t>
          </a:r>
          <a:r>
            <a:rPr lang="en-US" sz="1200"/>
            <a:t>Market Excess Return</a:t>
          </a:r>
          <a:endParaRPr lang="he-IL" sz="1200"/>
        </a:p>
        <a:p>
          <a:pPr marL="0" marR="0" lvl="0" indent="0" defTabSz="914400" eaLnBrk="1" fontAlgn="auto" latinLnBrk="0" hangingPunct="1">
            <a:lnSpc>
              <a:spcPct val="100000"/>
            </a:lnSpc>
            <a:spcBef>
              <a:spcPts val="0"/>
            </a:spcBef>
            <a:spcAft>
              <a:spcPts val="0"/>
            </a:spcAft>
            <a:buClrTx/>
            <a:buSzTx/>
            <a:buFontTx/>
            <a:buNone/>
            <a:tabLst/>
            <a:defRPr/>
          </a:pPr>
          <a:endParaRPr lang="en-US" sz="12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he-IL" sz="1100" b="0">
              <a:solidFill>
                <a:schemeClr val="dk1"/>
              </a:solidFill>
              <a:effectLst>
                <a:outerShdw blurRad="38100" dist="19050" dir="2700000" algn="tl" rotWithShape="0">
                  <a:schemeClr val="dk1">
                    <a:alpha val="40000"/>
                  </a:schemeClr>
                </a:outerShdw>
              </a:effectLst>
              <a:latin typeface="+mn-lt"/>
              <a:ea typeface="+mn-ea"/>
              <a:cs typeface="+mn-cs"/>
            </a:rPr>
            <a:t> </a:t>
          </a:r>
          <a:r>
            <a:rPr lang="en-US" sz="1200">
              <a:solidFill>
                <a:schemeClr val="dk1"/>
              </a:solidFill>
              <a:latin typeface="+mn-lt"/>
              <a:ea typeface="+mn-ea"/>
              <a:cs typeface="+mn-cs"/>
            </a:rPr>
            <a:t>Observations: 40 months</a:t>
          </a:r>
          <a:endParaRPr lang="he-IL" sz="1200">
            <a:solidFill>
              <a:schemeClr val="dk1"/>
            </a:solidFill>
            <a:latin typeface="+mn-lt"/>
            <a:ea typeface="+mn-ea"/>
            <a:cs typeface="+mn-cs"/>
          </a:endParaRPr>
        </a:p>
        <a:p>
          <a:endParaRPr lang="en-US" sz="1200"/>
        </a:p>
        <a:p>
          <a:pPr marL="0" indent="0"/>
          <a:r>
            <a:rPr lang="en-US" sz="1400" b="1" u="sng">
              <a:solidFill>
                <a:schemeClr val="tx1"/>
              </a:solidFill>
              <a:latin typeface="+mn-lt"/>
              <a:ea typeface="+mn-ea"/>
              <a:cs typeface="+mn-cs"/>
            </a:rPr>
            <a:t>Regression Results</a:t>
          </a:r>
        </a:p>
        <a:p>
          <a:endParaRPr lang="en-US" sz="1200"/>
        </a:p>
        <a:p>
          <a:r>
            <a:rPr lang="en-US" sz="1100" b="0">
              <a:solidFill>
                <a:schemeClr val="dk1"/>
              </a:solidFill>
              <a:effectLst>
                <a:outerShdw blurRad="38100" dist="19050" dir="2700000" algn="tl" rotWithShape="0">
                  <a:schemeClr val="dk1">
                    <a:alpha val="40000"/>
                  </a:schemeClr>
                </a:outerShdw>
              </a:effectLst>
              <a:latin typeface="+mn-lt"/>
              <a:ea typeface="+mn-ea"/>
              <a:cs typeface="+mn-cs"/>
            </a:rPr>
            <a:t>•</a:t>
          </a:r>
          <a:r>
            <a:rPr lang="he-IL" sz="1100" b="0">
              <a:solidFill>
                <a:schemeClr val="dk1"/>
              </a:solidFill>
              <a:effectLst>
                <a:outerShdw blurRad="38100" dist="19050" dir="2700000" algn="tl" rotWithShape="0">
                  <a:schemeClr val="dk1">
                    <a:alpha val="40000"/>
                  </a:schemeClr>
                </a:outerShdw>
              </a:effectLst>
              <a:latin typeface="+mn-lt"/>
              <a:ea typeface="+mn-ea"/>
              <a:cs typeface="+mn-cs"/>
            </a:rPr>
            <a:t> </a:t>
          </a:r>
          <a:r>
            <a:rPr lang="en-US" sz="1200"/>
            <a:t>Alpha (Intercept): 1.24% per month</a:t>
          </a:r>
        </a:p>
        <a:p>
          <a:endParaRPr lang="en-US" sz="1200"/>
        </a:p>
        <a:p>
          <a:r>
            <a:rPr lang="en-US" sz="1100" b="0">
              <a:solidFill>
                <a:schemeClr val="dk1"/>
              </a:solidFill>
              <a:effectLst>
                <a:outerShdw blurRad="38100" dist="19050" dir="2700000" algn="tl" rotWithShape="0">
                  <a:schemeClr val="dk1">
                    <a:alpha val="40000"/>
                  </a:schemeClr>
                </a:outerShdw>
              </a:effectLst>
              <a:latin typeface="+mn-lt"/>
              <a:ea typeface="+mn-ea"/>
              <a:cs typeface="+mn-cs"/>
            </a:rPr>
            <a:t>•</a:t>
          </a:r>
          <a:r>
            <a:rPr lang="he-IL" sz="1100" b="0">
              <a:solidFill>
                <a:schemeClr val="dk1"/>
              </a:solidFill>
              <a:effectLst>
                <a:outerShdw blurRad="38100" dist="19050" dir="2700000" algn="tl" rotWithShape="0">
                  <a:schemeClr val="dk1">
                    <a:alpha val="40000"/>
                  </a:schemeClr>
                </a:outerShdw>
              </a:effectLst>
              <a:latin typeface="+mn-lt"/>
              <a:ea typeface="+mn-ea"/>
              <a:cs typeface="+mn-cs"/>
            </a:rPr>
            <a:t> </a:t>
          </a:r>
          <a:r>
            <a:rPr lang="en-US" sz="1200"/>
            <a:t>Beta: 0.96</a:t>
          </a:r>
        </a:p>
        <a:p>
          <a:endParaRPr lang="en-US" sz="1200"/>
        </a:p>
        <a:p>
          <a:r>
            <a:rPr lang="en-US" sz="1100" b="0">
              <a:solidFill>
                <a:schemeClr val="dk1"/>
              </a:solidFill>
              <a:effectLst>
                <a:outerShdw blurRad="38100" dist="19050" dir="2700000" algn="tl" rotWithShape="0">
                  <a:schemeClr val="dk1">
                    <a:alpha val="40000"/>
                  </a:schemeClr>
                </a:outerShdw>
              </a:effectLst>
              <a:latin typeface="+mn-lt"/>
              <a:ea typeface="+mn-ea"/>
              <a:cs typeface="+mn-cs"/>
            </a:rPr>
            <a:t>•</a:t>
          </a:r>
          <a:r>
            <a:rPr lang="he-IL" sz="1100" b="0">
              <a:solidFill>
                <a:schemeClr val="dk1"/>
              </a:solidFill>
              <a:effectLst>
                <a:outerShdw blurRad="38100" dist="19050" dir="2700000" algn="tl" rotWithShape="0">
                  <a:schemeClr val="dk1">
                    <a:alpha val="40000"/>
                  </a:schemeClr>
                </a:outerShdw>
              </a:effectLst>
              <a:latin typeface="+mn-lt"/>
              <a:ea typeface="+mn-ea"/>
              <a:cs typeface="+mn-cs"/>
            </a:rPr>
            <a:t> </a:t>
          </a:r>
          <a:r>
            <a:rPr lang="en-US" sz="1200"/>
            <a:t>R²: 0.824</a:t>
          </a:r>
        </a:p>
        <a:p>
          <a:endParaRPr lang="en-US" sz="1200"/>
        </a:p>
        <a:p>
          <a:r>
            <a:rPr lang="en-US" sz="1400" b="1">
              <a:solidFill>
                <a:srgbClr val="3B94FF"/>
              </a:solidFill>
            </a:rPr>
            <a:t>Alpha</a:t>
          </a:r>
        </a:p>
        <a:p>
          <a:pPr>
            <a:lnSpc>
              <a:spcPts val="1300"/>
            </a:lnSpc>
          </a:pPr>
          <a:endParaRPr lang="en-US" sz="1200"/>
        </a:p>
        <a:p>
          <a:pPr>
            <a:lnSpc>
              <a:spcPts val="1300"/>
            </a:lnSpc>
          </a:pPr>
          <a:r>
            <a:rPr lang="en-US" sz="1200"/>
            <a:t>The Intercept resulted in a monthly alpha of 1.24%, which corresponds to approximately 15.9% annually.</a:t>
          </a:r>
        </a:p>
        <a:p>
          <a:pPr>
            <a:lnSpc>
              <a:spcPts val="1300"/>
            </a:lnSpc>
          </a:pPr>
          <a:endParaRPr lang="en-US" sz="1200"/>
        </a:p>
        <a:p>
          <a:pPr>
            <a:lnSpc>
              <a:spcPts val="1300"/>
            </a:lnSpc>
          </a:pPr>
          <a:r>
            <a:rPr lang="en-US" sz="1200"/>
            <a:t>The alpha is statistically significant (p-value &lt; 0.001), indicating that the excess return is unlikely to be the result of random variation.</a:t>
          </a:r>
        </a:p>
        <a:p>
          <a:endParaRPr lang="en-US" sz="1200"/>
        </a:p>
        <a:p>
          <a:pPr marL="0" indent="0"/>
          <a:r>
            <a:rPr lang="en-US" sz="1400" b="1">
              <a:solidFill>
                <a:srgbClr val="3B94FF"/>
              </a:solidFill>
              <a:latin typeface="+mn-lt"/>
              <a:ea typeface="+mn-ea"/>
              <a:cs typeface="+mn-cs"/>
            </a:rPr>
            <a:t>Beta</a:t>
          </a:r>
        </a:p>
        <a:p>
          <a:endParaRPr lang="en-US" sz="1200"/>
        </a:p>
        <a:p>
          <a:pPr>
            <a:lnSpc>
              <a:spcPts val="1300"/>
            </a:lnSpc>
          </a:pPr>
          <a:r>
            <a:rPr lang="en-US" sz="1200"/>
            <a:t>The estimated beta of 0.96 indicates that the portfolio moves very closely with the market.</a:t>
          </a:r>
        </a:p>
        <a:p>
          <a:pPr>
            <a:lnSpc>
              <a:spcPts val="1300"/>
            </a:lnSpc>
          </a:pPr>
          <a:endParaRPr lang="en-US" sz="1200"/>
        </a:p>
        <a:p>
          <a:pPr>
            <a:lnSpc>
              <a:spcPts val="1300"/>
            </a:lnSpc>
          </a:pPr>
          <a:r>
            <a:rPr lang="en-US" sz="1200"/>
            <a:t>On average:</a:t>
          </a:r>
        </a:p>
        <a:p>
          <a:pPr>
            <a:lnSpc>
              <a:spcPts val="1300"/>
            </a:lnSpc>
          </a:pPr>
          <a:r>
            <a:rPr lang="en-US" sz="1200"/>
            <a:t>if the market excess return increases by 1%,</a:t>
          </a:r>
        </a:p>
        <a:p>
          <a:pPr>
            <a:lnSpc>
              <a:spcPts val="1300"/>
            </a:lnSpc>
          </a:pPr>
          <a:r>
            <a:rPr lang="en-US" sz="1200"/>
            <a:t>the portfolio excess return increases by about 0.96%.</a:t>
          </a:r>
        </a:p>
        <a:p>
          <a:endParaRPr lang="en-US" sz="1200"/>
        </a:p>
        <a:p>
          <a:pPr marL="0" indent="0"/>
          <a:r>
            <a:rPr lang="en-US" sz="1400" b="1">
              <a:solidFill>
                <a:srgbClr val="3B94FF"/>
              </a:solidFill>
              <a:latin typeface="+mn-lt"/>
              <a:ea typeface="+mn-ea"/>
              <a:cs typeface="+mn-cs"/>
            </a:rPr>
            <a:t>Model Fit</a:t>
          </a:r>
        </a:p>
        <a:p>
          <a:endParaRPr lang="en-US" sz="1200"/>
        </a:p>
        <a:p>
          <a:r>
            <a:rPr lang="en-US" sz="1200"/>
            <a:t>The regression produced an R² of 0.824, meaning that approximately 82% of the variation in portfolio excess returns is explained by market (SPY) movements.</a:t>
          </a:r>
        </a:p>
        <a:p>
          <a:endParaRPr lang="en-US" sz="1200"/>
        </a:p>
        <a:p>
          <a:endParaRPr lang="en-US" sz="1200"/>
        </a:p>
        <a:p>
          <a:pPr marL="0" indent="0"/>
          <a:r>
            <a:rPr lang="en-US" sz="1400" b="1" u="sng">
              <a:solidFill>
                <a:schemeClr val="tx1"/>
              </a:solidFill>
              <a:latin typeface="+mn-lt"/>
              <a:ea typeface="+mn-ea"/>
              <a:cs typeface="+mn-cs"/>
            </a:rPr>
            <a:t>Final Interpretation and Conclusion</a:t>
          </a:r>
        </a:p>
        <a:p>
          <a:endParaRPr lang="en-US" sz="1200"/>
        </a:p>
        <a:p>
          <a:r>
            <a:rPr lang="en-US" sz="1200"/>
            <a:t>The CAPM results indicate that the portfolio’s performance during the Test period was largely driven by its exposure to the market.</a:t>
          </a:r>
        </a:p>
        <a:p>
          <a:endParaRPr lang="en-US" sz="1200"/>
        </a:p>
        <a:p>
          <a:r>
            <a:rPr lang="en-US" sz="1200"/>
            <a:t>The beta of 0.96 shows that the portfolio behaves very similarly to the market, while the R² of 0.824 indicates that about 82% of the variation in portfolio excess returns can be explained by movements in SPY.</a:t>
          </a:r>
        </a:p>
        <a:p>
          <a:endParaRPr lang="en-US" sz="1200"/>
        </a:p>
        <a:p>
          <a:r>
            <a:rPr lang="en-US" sz="1200"/>
            <a:t>At the same time, the regression identifies a positive and statistically significant alpha of 1.24% per month (approximately 15.9% annually). This suggests that the portfolio generated returns beyond what can be explained by its exposure to the market.</a:t>
          </a:r>
        </a:p>
        <a:p>
          <a:endParaRPr lang="en-US" sz="12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9525</xdr:colOff>
      <xdr:row>2</xdr:row>
      <xdr:rowOff>19050</xdr:rowOff>
    </xdr:from>
    <xdr:to>
      <xdr:col>15</xdr:col>
      <xdr:colOff>466725</xdr:colOff>
      <xdr:row>17</xdr:row>
      <xdr:rowOff>9525</xdr:rowOff>
    </xdr:to>
    <xdr:graphicFrame macro="">
      <xdr:nvGraphicFramePr>
        <xdr:cNvPr id="3" name="Chart 2">
          <a:extLst>
            <a:ext uri="{FF2B5EF4-FFF2-40B4-BE49-F238E27FC236}">
              <a16:creationId xmlns:a16="http://schemas.microsoft.com/office/drawing/2014/main" id="{7CC08B4C-0DA2-B3D6-31BB-91B3689DE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923926</xdr:colOff>
      <xdr:row>18</xdr:row>
      <xdr:rowOff>1</xdr:rowOff>
    </xdr:from>
    <xdr:to>
      <xdr:col>9</xdr:col>
      <xdr:colOff>9526</xdr:colOff>
      <xdr:row>32</xdr:row>
      <xdr:rowOff>95250</xdr:rowOff>
    </xdr:to>
    <xdr:sp macro="" textlink="">
      <xdr:nvSpPr>
        <xdr:cNvPr id="2" name="TextBox 1">
          <a:extLst>
            <a:ext uri="{FF2B5EF4-FFF2-40B4-BE49-F238E27FC236}">
              <a16:creationId xmlns:a16="http://schemas.microsoft.com/office/drawing/2014/main" id="{B45CFA75-FBB7-0046-3CCB-12F711EB581F}"/>
            </a:ext>
          </a:extLst>
        </xdr:cNvPr>
        <xdr:cNvSpPr txBox="1"/>
      </xdr:nvSpPr>
      <xdr:spPr>
        <a:xfrm>
          <a:off x="2981326" y="3295651"/>
          <a:ext cx="4324350" cy="2628899"/>
        </a:xfrm>
        <a:prstGeom prst="rect">
          <a:avLst/>
        </a:prstGeom>
        <a:solidFill>
          <a:srgbClr val="EEEEEE"/>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0" cap="none" spc="0">
              <a:ln w="0"/>
              <a:solidFill>
                <a:schemeClr val="tx1"/>
              </a:solidFill>
              <a:effectLst>
                <a:outerShdw blurRad="38100" dist="19050" dir="2700000" algn="tl" rotWithShape="0">
                  <a:schemeClr val="dk1">
                    <a:alpha val="40000"/>
                  </a:schemeClr>
                </a:outerShdw>
              </a:effectLst>
            </a:rPr>
            <a:t>This sheet analyzes how each asset contributed to the portfolio’s return during the out-of-sample test period.</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The analysis multiplies each asset’s portfolio weight by its average return during the test period to estimate its contribution to the portfolio’s overall performance.</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The Contribution column shows the return contribution in percentage terms, while Contribution (%) indicates each asset’s share of the total portfolio return.</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This analysis helps identify which assets were the main drivers of portfolio performance during the test period.</a:t>
          </a:r>
          <a:endParaRPr lang="he-IL"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1</xdr:col>
      <xdr:colOff>285751</xdr:colOff>
      <xdr:row>14</xdr:row>
      <xdr:rowOff>0</xdr:rowOff>
    </xdr:from>
    <xdr:ext cx="4762500" cy="3533776"/>
    <xdr:sp macro="" textlink="">
      <xdr:nvSpPr>
        <xdr:cNvPr id="2" name="TextBox 1">
          <a:extLst>
            <a:ext uri="{FF2B5EF4-FFF2-40B4-BE49-F238E27FC236}">
              <a16:creationId xmlns:a16="http://schemas.microsoft.com/office/drawing/2014/main" id="{A79BC68E-E37D-5C7B-9D76-D6314DEB543D}"/>
            </a:ext>
          </a:extLst>
        </xdr:cNvPr>
        <xdr:cNvSpPr txBox="1"/>
      </xdr:nvSpPr>
      <xdr:spPr>
        <a:xfrm>
          <a:off x="971551" y="3152775"/>
          <a:ext cx="4762500" cy="3533776"/>
        </a:xfrm>
        <a:prstGeom prst="rect">
          <a:avLst/>
        </a:prstGeom>
        <a:solidFill>
          <a:schemeClr val="bg1">
            <a:lumMod val="9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r>
            <a:rPr lang="en-US" sz="1200" b="0" cap="none" spc="0">
              <a:ln w="0"/>
              <a:solidFill>
                <a:schemeClr val="tx1"/>
              </a:solidFill>
              <a:effectLst>
                <a:outerShdw blurRad="38100" dist="19050" dir="2700000" algn="tl" rotWithShape="0">
                  <a:schemeClr val="dk1">
                    <a:alpha val="40000"/>
                  </a:schemeClr>
                </a:outerShdw>
              </a:effectLst>
            </a:rPr>
            <a:t>This sheet shows how each asset contributes to the overall risk of the final portfolio selected in the Out_of_Sample analysis.</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Monthly Risk Contribution measures how much each asset adds to the portfolio’s total monthly volatility.</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The results show that NVDA  is the largest source of portfolio risk, contributing a larger share of total risk relative to its weight. This is mainly due to its high volatility and the fact that it tends to move together with the broader equity market. Assets such as SPY and VGT also account for a meaningful share of the portfolio’s risk.</a:t>
          </a:r>
        </a:p>
        <a:p>
          <a:endParaRPr lang="en-US"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In contrast, GLD contributes a much smaller share of total portfolio risk despite having a relatively high portfolio weight, reflecting its diversification benefits.</a:t>
          </a:r>
          <a:endParaRPr lang="he-IL" sz="1200" b="0" cap="none" spc="0">
            <a:ln w="0"/>
            <a:solidFill>
              <a:schemeClr val="tx1"/>
            </a:solidFill>
            <a:effectLst>
              <a:outerShdw blurRad="38100" dist="19050" dir="2700000" algn="tl" rotWithShape="0">
                <a:schemeClr val="dk1">
                  <a:alpha val="40000"/>
                </a:schemeClr>
              </a:outerShdw>
            </a:effectLst>
          </a:endParaRPr>
        </a:p>
        <a:p>
          <a:endParaRPr lang="he-IL" sz="1200" b="0" cap="none" spc="0">
            <a:ln w="0"/>
            <a:solidFill>
              <a:schemeClr val="tx1"/>
            </a:solidFill>
            <a:effectLst>
              <a:outerShdw blurRad="38100" dist="19050" dir="2700000" algn="tl" rotWithShape="0">
                <a:schemeClr val="dk1">
                  <a:alpha val="40000"/>
                </a:schemeClr>
              </a:outerShdw>
            </a:effectLst>
          </a:endParaRPr>
        </a:p>
        <a:p>
          <a:r>
            <a:rPr lang="en-US" sz="1200" b="0" cap="none" spc="0">
              <a:ln w="0"/>
              <a:solidFill>
                <a:schemeClr val="tx1"/>
              </a:solidFill>
              <a:effectLst>
                <a:outerShdw blurRad="38100" dist="19050" dir="2700000" algn="tl" rotWithShape="0">
                  <a:schemeClr val="dk1">
                    <a:alpha val="40000"/>
                  </a:schemeClr>
                </a:outerShdw>
              </a:effectLst>
            </a:rPr>
            <a:t>The Risk Contribution (% from Total) column shows each asset’s share of the portfolio’s total risk.</a:t>
          </a:r>
          <a:endParaRPr lang="he-IL"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7</xdr:col>
      <xdr:colOff>19049</xdr:colOff>
      <xdr:row>0</xdr:row>
      <xdr:rowOff>142875</xdr:rowOff>
    </xdr:from>
    <xdr:to>
      <xdr:col>13</xdr:col>
      <xdr:colOff>676274</xdr:colOff>
      <xdr:row>13</xdr:row>
      <xdr:rowOff>28575</xdr:rowOff>
    </xdr:to>
    <xdr:graphicFrame macro="">
      <xdr:nvGraphicFramePr>
        <xdr:cNvPr id="4" name="Chart 3">
          <a:extLst>
            <a:ext uri="{FF2B5EF4-FFF2-40B4-BE49-F238E27FC236}">
              <a16:creationId xmlns:a16="http://schemas.microsoft.com/office/drawing/2014/main" id="{87DE8B60-E54A-C71A-0647-98778DE46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13</xdr:col>
      <xdr:colOff>19050</xdr:colOff>
      <xdr:row>5</xdr:row>
      <xdr:rowOff>171450</xdr:rowOff>
    </xdr:from>
    <xdr:to>
      <xdr:col>19</xdr:col>
      <xdr:colOff>371475</xdr:colOff>
      <xdr:row>34</xdr:row>
      <xdr:rowOff>28575</xdr:rowOff>
    </xdr:to>
    <xdr:sp macro="" textlink="">
      <xdr:nvSpPr>
        <xdr:cNvPr id="2" name="TextBox 1">
          <a:extLst>
            <a:ext uri="{FF2B5EF4-FFF2-40B4-BE49-F238E27FC236}">
              <a16:creationId xmlns:a16="http://schemas.microsoft.com/office/drawing/2014/main" id="{3D068682-8A22-ABFB-C25A-81C974F613FE}"/>
            </a:ext>
          </a:extLst>
        </xdr:cNvPr>
        <xdr:cNvSpPr txBox="1"/>
      </xdr:nvSpPr>
      <xdr:spPr>
        <a:xfrm>
          <a:off x="9610725" y="1095375"/>
          <a:ext cx="4467225" cy="5124450"/>
        </a:xfrm>
        <a:prstGeom prst="rect">
          <a:avLst/>
        </a:prstGeom>
        <a:solidFill>
          <a:schemeClr val="bg2"/>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u="sng" cap="none" spc="0">
              <a:ln w="0"/>
              <a:solidFill>
                <a:schemeClr val="tx1"/>
              </a:solidFill>
              <a:effectLst>
                <a:outerShdw blurRad="38100" dist="19050" dir="2700000" algn="tl" rotWithShape="0">
                  <a:schemeClr val="dk1">
                    <a:alpha val="40000"/>
                  </a:schemeClr>
                </a:outerShdw>
              </a:effectLst>
              <a:latin typeface="+mn-lt"/>
            </a:rPr>
            <a:t>Portfolio VaR &amp; CVaR</a:t>
          </a:r>
        </a:p>
        <a:p>
          <a:endParaRPr lang="en-US" sz="1100" b="0" u="none" cap="none" spc="0">
            <a:ln w="0"/>
            <a:solidFill>
              <a:schemeClr val="tx1"/>
            </a:solidFill>
            <a:effectLst>
              <a:outerShdw blurRad="38100" dist="19050" dir="2700000" algn="tl" rotWithShape="0">
                <a:schemeClr val="dk1">
                  <a:alpha val="40000"/>
                </a:schemeClr>
              </a:outerShdw>
            </a:effectLst>
            <a:latin typeface="+mn-lt"/>
          </a:endParaRPr>
        </a:p>
        <a:p>
          <a:r>
            <a:rPr lang="en-US" sz="1100" b="0" u="none" cap="none" spc="0">
              <a:ln w="0"/>
              <a:solidFill>
                <a:schemeClr val="tx1"/>
              </a:solidFill>
              <a:effectLst>
                <a:outerShdw blurRad="38100" dist="19050" dir="2700000" algn="tl" rotWithShape="0">
                  <a:schemeClr val="dk1">
                    <a:alpha val="40000"/>
                  </a:schemeClr>
                </a:outerShdw>
              </a:effectLst>
              <a:latin typeface="+mn-lt"/>
            </a:rPr>
            <a:t>Value at Risk (VaR) estimates the loss threshold that is unlikely to be exceeded within a given percentage of months.</a:t>
          </a:r>
        </a:p>
        <a:p>
          <a:endParaRPr lang="en-US" sz="1100" b="0" u="none" cap="none" spc="0">
            <a:ln w="0"/>
            <a:solidFill>
              <a:schemeClr val="tx1"/>
            </a:solidFill>
            <a:effectLst>
              <a:outerShdw blurRad="38100" dist="19050" dir="2700000" algn="tl" rotWithShape="0">
                <a:schemeClr val="dk1">
                  <a:alpha val="40000"/>
                </a:schemeClr>
              </a:outerShdw>
            </a:effectLst>
            <a:latin typeface="+mn-lt"/>
          </a:endParaRPr>
        </a:p>
        <a:p>
          <a:r>
            <a:rPr lang="en-US" sz="1100" b="0" u="none" cap="none" spc="0">
              <a:ln w="0"/>
              <a:solidFill>
                <a:schemeClr val="tx1"/>
              </a:solidFill>
              <a:effectLst>
                <a:outerShdw blurRad="38100" dist="19050" dir="2700000" algn="tl" rotWithShape="0">
                  <a:schemeClr val="dk1">
                    <a:alpha val="40000"/>
                  </a:schemeClr>
                </a:outerShdw>
              </a:effectLst>
              <a:latin typeface="+mn-lt"/>
            </a:rPr>
            <a:t>Conditional Value at Risk (CVaR) measures the average loss in months where portfolio losses were worse than the VaR level.</a:t>
          </a:r>
        </a:p>
        <a:p>
          <a:endParaRPr lang="en-US" sz="1100" b="0" u="none" cap="none" spc="0">
            <a:ln w="0"/>
            <a:solidFill>
              <a:schemeClr val="tx1"/>
            </a:solidFill>
            <a:effectLst>
              <a:outerShdw blurRad="38100" dist="19050" dir="2700000" algn="tl" rotWithShape="0">
                <a:schemeClr val="dk1">
                  <a:alpha val="40000"/>
                </a:schemeClr>
              </a:outerShdw>
            </a:effectLst>
            <a:latin typeface="+mn-lt"/>
          </a:endParaRPr>
        </a:p>
        <a:p>
          <a:r>
            <a:rPr lang="en-US" sz="1100" b="0" u="none" cap="none" spc="0">
              <a:ln w="0"/>
              <a:solidFill>
                <a:schemeClr val="tx1"/>
              </a:solidFill>
              <a:effectLst>
                <a:outerShdw blurRad="38100" dist="19050" dir="2700000" algn="tl" rotWithShape="0">
                  <a:schemeClr val="dk1">
                    <a:alpha val="40000"/>
                  </a:schemeClr>
                </a:outerShdw>
              </a:effectLst>
              <a:latin typeface="+mn-lt"/>
            </a:rPr>
            <a:t>The results below present both the loss thresholds (VaR) and the expected severity of losses in extreme months (CVaR)</a:t>
          </a:r>
          <a:r>
            <a:rPr lang="he-IL" sz="1100" b="0" u="none" cap="none" spc="0" baseline="0">
              <a:ln w="0"/>
              <a:solidFill>
                <a:schemeClr val="tx1"/>
              </a:solidFill>
              <a:effectLst>
                <a:outerShdw blurRad="38100" dist="19050" dir="2700000" algn="tl" rotWithShape="0">
                  <a:schemeClr val="dk1">
                    <a:alpha val="40000"/>
                  </a:schemeClr>
                </a:outerShdw>
              </a:effectLst>
              <a:latin typeface="+mn-lt"/>
            </a:rPr>
            <a:t> </a:t>
          </a:r>
          <a:r>
            <a:rPr lang="en-US" sz="1100" b="0" u="none" cap="none" spc="0" baseline="0">
              <a:ln w="0"/>
              <a:solidFill>
                <a:schemeClr val="tx1"/>
              </a:solidFill>
              <a:effectLst>
                <a:outerShdw blurRad="38100" dist="19050" dir="2700000" algn="tl" rotWithShape="0">
                  <a:schemeClr val="dk1">
                    <a:alpha val="40000"/>
                  </a:schemeClr>
                </a:outerShdw>
              </a:effectLst>
              <a:latin typeface="+mn-lt"/>
            </a:rPr>
            <a:t>for the final optimized portfolio, determined after the out-of-sample validation process.</a:t>
          </a:r>
          <a:endParaRPr lang="en-US" sz="1100" b="0" u="none" cap="none" spc="0">
            <a:ln w="0"/>
            <a:solidFill>
              <a:schemeClr val="tx1"/>
            </a:solidFill>
            <a:effectLst>
              <a:outerShdw blurRad="38100" dist="19050" dir="2700000" algn="tl" rotWithShape="0">
                <a:schemeClr val="dk1">
                  <a:alpha val="40000"/>
                </a:schemeClr>
              </a:outerShdw>
            </a:effectLst>
            <a:latin typeface="+mn-lt"/>
          </a:endParaRPr>
        </a:p>
        <a:p>
          <a:endParaRPr lang="en-US" sz="1100" b="0" u="none" cap="none" spc="0">
            <a:ln w="0"/>
            <a:solidFill>
              <a:schemeClr val="tx1"/>
            </a:solidFill>
            <a:effectLst>
              <a:outerShdw blurRad="38100" dist="19050" dir="2700000" algn="tl" rotWithShape="0">
                <a:schemeClr val="dk1">
                  <a:alpha val="40000"/>
                </a:schemeClr>
              </a:outerShdw>
            </a:effectLst>
            <a:latin typeface="+mn-lt"/>
          </a:endParaRPr>
        </a:p>
        <a:p>
          <a:r>
            <a:rPr lang="en-US" sz="1100" b="0" u="none" cap="none" spc="0">
              <a:ln w="0"/>
              <a:solidFill>
                <a:schemeClr val="tx1"/>
              </a:solidFill>
              <a:effectLst>
                <a:outerShdw blurRad="38100" dist="19050" dir="2700000" algn="tl" rotWithShape="0">
                  <a:schemeClr val="dk1">
                    <a:alpha val="40000"/>
                  </a:schemeClr>
                </a:outerShdw>
              </a:effectLst>
              <a:latin typeface="+mn-lt"/>
            </a:rPr>
            <a:t>• VaR 90%:</a:t>
          </a:r>
        </a:p>
        <a:p>
          <a:r>
            <a:rPr lang="en-US" sz="1100" b="0" u="none" cap="none" spc="0">
              <a:ln w="0"/>
              <a:solidFill>
                <a:schemeClr val="tx1"/>
              </a:solidFill>
              <a:effectLst>
                <a:outerShdw blurRad="38100" dist="19050" dir="2700000" algn="tl" rotWithShape="0">
                  <a:schemeClr val="dk1">
                    <a:alpha val="40000"/>
                  </a:schemeClr>
                </a:outerShdw>
              </a:effectLst>
              <a:latin typeface="+mn-lt"/>
            </a:rPr>
            <a:t>The portfolio is not expected to lose more than approximately </a:t>
          </a:r>
          <a:r>
            <a:rPr lang="he-IL" sz="1000" b="0" u="none" cap="none" spc="0">
              <a:ln w="0"/>
              <a:solidFill>
                <a:schemeClr val="tx1"/>
              </a:solidFill>
              <a:effectLst>
                <a:outerShdw blurRad="38100" dist="19050" dir="2700000" algn="tl" rotWithShape="0">
                  <a:schemeClr val="dk1">
                    <a:alpha val="40000"/>
                  </a:schemeClr>
                </a:outerShdw>
              </a:effectLst>
              <a:latin typeface="+mn-lt"/>
            </a:rPr>
            <a:t>3</a:t>
          </a:r>
          <a:r>
            <a:rPr lang="en-US" sz="1000" b="0" u="none" cap="none" spc="0">
              <a:ln w="0"/>
              <a:solidFill>
                <a:schemeClr val="tx1"/>
              </a:solidFill>
              <a:effectLst>
                <a:outerShdw blurRad="38100" dist="19050" dir="2700000" algn="tl" rotWithShape="0">
                  <a:schemeClr val="dk1">
                    <a:alpha val="40000"/>
                  </a:schemeClr>
                </a:outerShdw>
              </a:effectLst>
              <a:latin typeface="+mn-lt"/>
            </a:rPr>
            <a:t>.</a:t>
          </a:r>
          <a:r>
            <a:rPr lang="he-IL" sz="1000" b="0" u="none" cap="none" spc="0">
              <a:ln w="0"/>
              <a:solidFill>
                <a:schemeClr val="tx1"/>
              </a:solidFill>
              <a:effectLst>
                <a:outerShdw blurRad="38100" dist="19050" dir="2700000" algn="tl" rotWithShape="0">
                  <a:schemeClr val="dk1">
                    <a:alpha val="40000"/>
                  </a:schemeClr>
                </a:outerShdw>
              </a:effectLst>
              <a:latin typeface="+mn-lt"/>
            </a:rPr>
            <a:t>65</a:t>
          </a:r>
          <a:r>
            <a:rPr lang="en-US" sz="1000" b="0" u="none" cap="none" spc="0">
              <a:ln w="0"/>
              <a:solidFill>
                <a:schemeClr val="tx1"/>
              </a:solidFill>
              <a:effectLst>
                <a:outerShdw blurRad="38100" dist="19050" dir="2700000" algn="tl" rotWithShape="0">
                  <a:schemeClr val="dk1">
                    <a:alpha val="40000"/>
                  </a:schemeClr>
                </a:outerShdw>
              </a:effectLst>
              <a:latin typeface="+mn-lt"/>
            </a:rPr>
            <a:t>% </a:t>
          </a:r>
          <a:r>
            <a:rPr lang="en-US" sz="1100" b="0" u="none" cap="none" spc="0">
              <a:ln w="0"/>
              <a:solidFill>
                <a:schemeClr val="tx1"/>
              </a:solidFill>
              <a:effectLst>
                <a:outerShdw blurRad="38100" dist="19050" dir="2700000" algn="tl" rotWithShape="0">
                  <a:schemeClr val="dk1">
                    <a:alpha val="40000"/>
                  </a:schemeClr>
                </a:outerShdw>
              </a:effectLst>
              <a:latin typeface="+mn-lt"/>
            </a:rPr>
            <a:t>in 90% of months.</a:t>
          </a:r>
        </a:p>
        <a:p>
          <a:r>
            <a:rPr lang="en-US" sz="1100" b="0" u="none" cap="none" spc="0">
              <a:ln w="0"/>
              <a:solidFill>
                <a:schemeClr val="tx1"/>
              </a:solidFill>
              <a:effectLst>
                <a:outerShdw blurRad="38100" dist="19050" dir="2700000" algn="tl" rotWithShape="0">
                  <a:schemeClr val="dk1">
                    <a:alpha val="40000"/>
                  </a:schemeClr>
                </a:outerShdw>
              </a:effectLst>
              <a:latin typeface="+mn-lt"/>
            </a:rPr>
            <a:t>However, in the worst 10% of months, the average loss was approximately 6.6% (CVaR 90%).</a:t>
          </a:r>
        </a:p>
        <a:p>
          <a:endParaRPr lang="en-US" sz="1100" b="0" u="none" cap="none" spc="0">
            <a:ln w="0"/>
            <a:solidFill>
              <a:schemeClr val="tx1"/>
            </a:solidFill>
            <a:effectLst>
              <a:outerShdw blurRad="38100" dist="19050" dir="2700000" algn="tl" rotWithShape="0">
                <a:schemeClr val="dk1">
                  <a:alpha val="40000"/>
                </a:schemeClr>
              </a:outerShdw>
            </a:effectLst>
            <a:latin typeface="+mn-lt"/>
          </a:endParaRPr>
        </a:p>
        <a:p>
          <a:r>
            <a:rPr lang="en-US" sz="1100" b="0" u="none" cap="none" spc="0">
              <a:ln w="0"/>
              <a:solidFill>
                <a:schemeClr val="tx1"/>
              </a:solidFill>
              <a:effectLst>
                <a:outerShdw blurRad="38100" dist="19050" dir="2700000" algn="tl" rotWithShape="0">
                  <a:schemeClr val="dk1">
                    <a:alpha val="40000"/>
                  </a:schemeClr>
                </a:outerShdw>
              </a:effectLst>
              <a:latin typeface="+mn-lt"/>
            </a:rPr>
            <a:t>• VaR 95%:</a:t>
          </a:r>
        </a:p>
        <a:p>
          <a:r>
            <a:rPr lang="en-US" sz="1100" b="0" u="none" cap="none" spc="0">
              <a:ln w="0"/>
              <a:solidFill>
                <a:schemeClr val="tx1"/>
              </a:solidFill>
              <a:effectLst>
                <a:outerShdw blurRad="38100" dist="19050" dir="2700000" algn="tl" rotWithShape="0">
                  <a:schemeClr val="dk1">
                    <a:alpha val="40000"/>
                  </a:schemeClr>
                </a:outerShdw>
              </a:effectLst>
              <a:latin typeface="+mn-lt"/>
            </a:rPr>
            <a:t>The portfolio is not expected to lose more than approximately </a:t>
          </a:r>
          <a:r>
            <a:rPr lang="he-IL" sz="1000" b="0" u="none" cap="none" spc="0">
              <a:ln w="0"/>
              <a:solidFill>
                <a:schemeClr val="tx1"/>
              </a:solidFill>
              <a:effectLst>
                <a:outerShdw blurRad="38100" dist="19050" dir="2700000" algn="tl" rotWithShape="0">
                  <a:schemeClr val="dk1">
                    <a:alpha val="40000"/>
                  </a:schemeClr>
                </a:outerShdw>
              </a:effectLst>
              <a:latin typeface="+mn-lt"/>
              <a:ea typeface="+mn-ea"/>
              <a:cs typeface="+mn-cs"/>
            </a:rPr>
            <a:t>6</a:t>
          </a:r>
          <a:r>
            <a:rPr lang="en-US" sz="1000" b="0" u="none" cap="none" spc="0">
              <a:ln w="0"/>
              <a:solidFill>
                <a:schemeClr val="tx1"/>
              </a:solidFill>
              <a:effectLst>
                <a:outerShdw blurRad="38100" dist="19050" dir="2700000" algn="tl" rotWithShape="0">
                  <a:schemeClr val="dk1">
                    <a:alpha val="40000"/>
                  </a:schemeClr>
                </a:outerShdw>
              </a:effectLst>
              <a:latin typeface="+mn-lt"/>
              <a:ea typeface="+mn-ea"/>
              <a:cs typeface="+mn-cs"/>
            </a:rPr>
            <a:t>.</a:t>
          </a:r>
          <a:r>
            <a:rPr lang="he-IL" sz="1000" b="0" u="none" cap="none" spc="0">
              <a:ln w="0"/>
              <a:solidFill>
                <a:schemeClr val="tx1"/>
              </a:solidFill>
              <a:effectLst>
                <a:outerShdw blurRad="38100" dist="19050" dir="2700000" algn="tl" rotWithShape="0">
                  <a:schemeClr val="dk1">
                    <a:alpha val="40000"/>
                  </a:schemeClr>
                </a:outerShdw>
              </a:effectLst>
              <a:latin typeface="+mn-lt"/>
              <a:ea typeface="+mn-ea"/>
              <a:cs typeface="+mn-cs"/>
            </a:rPr>
            <a:t>36</a:t>
          </a:r>
          <a:r>
            <a:rPr lang="en-US" sz="1000" b="0" u="none" cap="none" spc="0">
              <a:ln w="0"/>
              <a:solidFill>
                <a:schemeClr val="tx1"/>
              </a:solidFill>
              <a:effectLst>
                <a:outerShdw blurRad="38100" dist="19050" dir="2700000" algn="tl" rotWithShape="0">
                  <a:schemeClr val="dk1">
                    <a:alpha val="40000"/>
                  </a:schemeClr>
                </a:outerShdw>
              </a:effectLst>
              <a:latin typeface="+mn-lt"/>
              <a:ea typeface="+mn-ea"/>
              <a:cs typeface="+mn-cs"/>
            </a:rPr>
            <a:t>% </a:t>
          </a:r>
          <a:r>
            <a:rPr lang="en-US" sz="1100" b="0" u="none" cap="none" spc="0">
              <a:ln w="0"/>
              <a:solidFill>
                <a:schemeClr val="tx1"/>
              </a:solidFill>
              <a:effectLst>
                <a:outerShdw blurRad="38100" dist="19050" dir="2700000" algn="tl" rotWithShape="0">
                  <a:schemeClr val="dk1">
                    <a:alpha val="40000"/>
                  </a:schemeClr>
                </a:outerShdw>
              </a:effectLst>
              <a:latin typeface="+mn-lt"/>
            </a:rPr>
            <a:t>in 95% of months.</a:t>
          </a:r>
        </a:p>
        <a:p>
          <a:r>
            <a:rPr lang="en-US" sz="1100" b="0" u="none" cap="none" spc="0">
              <a:ln w="0"/>
              <a:solidFill>
                <a:schemeClr val="tx1"/>
              </a:solidFill>
              <a:effectLst>
                <a:outerShdw blurRad="38100" dist="19050" dir="2700000" algn="tl" rotWithShape="0">
                  <a:schemeClr val="dk1">
                    <a:alpha val="40000"/>
                  </a:schemeClr>
                </a:outerShdw>
              </a:effectLst>
              <a:latin typeface="+mn-lt"/>
            </a:rPr>
            <a:t>However, in the worst 5% of months, the average loss was approximately 8.5% (CVaR 95%).</a:t>
          </a:r>
        </a:p>
        <a:p>
          <a:endParaRPr lang="en-US" sz="1100" b="0" u="none" cap="none" spc="0">
            <a:ln w="0"/>
            <a:solidFill>
              <a:schemeClr val="tx1"/>
            </a:solidFill>
            <a:effectLst>
              <a:outerShdw blurRad="38100" dist="19050" dir="2700000" algn="tl" rotWithShape="0">
                <a:schemeClr val="dk1">
                  <a:alpha val="40000"/>
                </a:schemeClr>
              </a:outerShdw>
            </a:effectLst>
            <a:latin typeface="+mn-lt"/>
          </a:endParaRPr>
        </a:p>
        <a:p>
          <a:r>
            <a:rPr lang="en-US" sz="1100" b="0" u="none" cap="none" spc="0">
              <a:ln w="0"/>
              <a:solidFill>
                <a:schemeClr val="tx1"/>
              </a:solidFill>
              <a:effectLst>
                <a:outerShdw blurRad="38100" dist="19050" dir="2700000" algn="tl" rotWithShape="0">
                  <a:schemeClr val="dk1">
                    <a:alpha val="40000"/>
                  </a:schemeClr>
                </a:outerShdw>
              </a:effectLst>
              <a:latin typeface="+mn-lt"/>
            </a:rPr>
            <a:t>• VaR 99%:</a:t>
          </a:r>
        </a:p>
        <a:p>
          <a:r>
            <a:rPr lang="en-US" sz="1100" b="0" u="none" cap="none" spc="0">
              <a:ln w="0"/>
              <a:solidFill>
                <a:schemeClr val="tx1"/>
              </a:solidFill>
              <a:effectLst>
                <a:outerShdw blurRad="38100" dist="19050" dir="2700000" algn="tl" rotWithShape="0">
                  <a:schemeClr val="dk1">
                    <a:alpha val="40000"/>
                  </a:schemeClr>
                </a:outerShdw>
              </a:effectLst>
              <a:latin typeface="+mn-lt"/>
            </a:rPr>
            <a:t>The portfolio is not expected to lose more than approximately 9.6% in 99% of months.</a:t>
          </a:r>
        </a:p>
        <a:p>
          <a:r>
            <a:rPr lang="en-US" sz="1100" b="0" u="none" cap="none" spc="0">
              <a:ln w="0"/>
              <a:solidFill>
                <a:schemeClr val="tx1"/>
              </a:solidFill>
              <a:effectLst>
                <a:outerShdw blurRad="38100" dist="19050" dir="2700000" algn="tl" rotWithShape="0">
                  <a:schemeClr val="dk1">
                    <a:alpha val="40000"/>
                  </a:schemeClr>
                </a:outerShdw>
              </a:effectLst>
              <a:latin typeface="+mn-lt"/>
            </a:rPr>
            <a:t>However, in the worst 1% of months, the average loss was approximately 10.0% (CVaR 99%).</a:t>
          </a:r>
          <a:endParaRPr lang="he-IL" sz="1100" b="0" u="none" cap="none" spc="0">
            <a:ln w="0"/>
            <a:solidFill>
              <a:schemeClr val="tx1"/>
            </a:solidFill>
            <a:effectLst>
              <a:outerShdw blurRad="38100" dist="19050" dir="2700000" algn="tl" rotWithShape="0">
                <a:schemeClr val="dk1">
                  <a:alpha val="40000"/>
                </a:schemeClr>
              </a:outerShdw>
            </a:effectLst>
            <a:latin typeface="+mn-lt"/>
          </a:endParaRPr>
        </a:p>
      </xdr:txBody>
    </xdr:sp>
    <xdr:clientData/>
  </xdr:twoCellAnchor>
  <xdr:twoCellAnchor>
    <xdr:from>
      <xdr:col>5</xdr:col>
      <xdr:colOff>652462</xdr:colOff>
      <xdr:row>15</xdr:row>
      <xdr:rowOff>0</xdr:rowOff>
    </xdr:from>
    <xdr:to>
      <xdr:col>12</xdr:col>
      <xdr:colOff>290512</xdr:colOff>
      <xdr:row>30</xdr:row>
      <xdr:rowOff>28575</xdr:rowOff>
    </xdr:to>
    <xdr:graphicFrame macro="">
      <xdr:nvGraphicFramePr>
        <xdr:cNvPr id="3" name="Chart 2">
          <a:extLst>
            <a:ext uri="{FF2B5EF4-FFF2-40B4-BE49-F238E27FC236}">
              <a16:creationId xmlns:a16="http://schemas.microsoft.com/office/drawing/2014/main" id="{978CDC60-FAFF-EA1A-5630-596CE1153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9</xdr:col>
      <xdr:colOff>2380</xdr:colOff>
      <xdr:row>8</xdr:row>
      <xdr:rowOff>23812</xdr:rowOff>
    </xdr:from>
    <xdr:to>
      <xdr:col>12</xdr:col>
      <xdr:colOff>1047749</xdr:colOff>
      <xdr:row>26</xdr:row>
      <xdr:rowOff>154781</xdr:rowOff>
    </xdr:to>
    <xdr:graphicFrame macro="">
      <xdr:nvGraphicFramePr>
        <xdr:cNvPr id="3" name="Chart 2">
          <a:extLst>
            <a:ext uri="{FF2B5EF4-FFF2-40B4-BE49-F238E27FC236}">
              <a16:creationId xmlns:a16="http://schemas.microsoft.com/office/drawing/2014/main" id="{FDCEB88D-34F8-A278-BDC9-4AF32AD7B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71436</xdr:colOff>
      <xdr:row>19</xdr:row>
      <xdr:rowOff>83342</xdr:rowOff>
    </xdr:from>
    <xdr:to>
      <xdr:col>11</xdr:col>
      <xdr:colOff>758918</xdr:colOff>
      <xdr:row>21</xdr:row>
      <xdr:rowOff>166686</xdr:rowOff>
    </xdr:to>
    <xdr:sp macro="" textlink="">
      <xdr:nvSpPr>
        <xdr:cNvPr id="4" name="TextBox 3">
          <a:extLst>
            <a:ext uri="{FF2B5EF4-FFF2-40B4-BE49-F238E27FC236}">
              <a16:creationId xmlns:a16="http://schemas.microsoft.com/office/drawing/2014/main" id="{9395568E-98B1-9668-8164-8DDF08320D23}"/>
            </a:ext>
          </a:extLst>
        </xdr:cNvPr>
        <xdr:cNvSpPr txBox="1"/>
      </xdr:nvSpPr>
      <xdr:spPr>
        <a:xfrm>
          <a:off x="12191999" y="3500436"/>
          <a:ext cx="1592357" cy="440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000">
              <a:solidFill>
                <a:schemeClr val="dk1"/>
              </a:solidFill>
              <a:effectLst/>
              <a:latin typeface="+mn-lt"/>
              <a:ea typeface="+mn-ea"/>
              <a:cs typeface="+mn-cs"/>
            </a:rPr>
            <a:t>Max Drawdown: -29.4%</a:t>
          </a:r>
          <a:endParaRPr lang="he-IL" sz="600">
            <a:effectLst/>
          </a:endParaRPr>
        </a:p>
        <a:p>
          <a:r>
            <a:rPr lang="en-US" sz="1000">
              <a:solidFill>
                <a:schemeClr val="dk1"/>
              </a:solidFill>
              <a:effectLst/>
              <a:latin typeface="+mn-lt"/>
              <a:ea typeface="+mn-ea"/>
              <a:cs typeface="+mn-cs"/>
            </a:rPr>
            <a:t>Sep 2022</a:t>
          </a:r>
          <a:endParaRPr lang="he-IL" sz="600">
            <a:effectLst/>
          </a:endParaRPr>
        </a:p>
        <a:p>
          <a:endParaRPr lang="he-IL" sz="500"/>
        </a:p>
      </xdr:txBody>
    </xdr:sp>
    <xdr:clientData/>
  </xdr:twoCellAnchor>
  <xdr:twoCellAnchor>
    <xdr:from>
      <xdr:col>9</xdr:col>
      <xdr:colOff>180975</xdr:colOff>
      <xdr:row>29</xdr:row>
      <xdr:rowOff>152399</xdr:rowOff>
    </xdr:from>
    <xdr:to>
      <xdr:col>12</xdr:col>
      <xdr:colOff>476250</xdr:colOff>
      <xdr:row>62</xdr:row>
      <xdr:rowOff>85725</xdr:rowOff>
    </xdr:to>
    <xdr:sp macro="" textlink="">
      <xdr:nvSpPr>
        <xdr:cNvPr id="2" name="TextBox 1">
          <a:extLst>
            <a:ext uri="{FF2B5EF4-FFF2-40B4-BE49-F238E27FC236}">
              <a16:creationId xmlns:a16="http://schemas.microsoft.com/office/drawing/2014/main" id="{9A9D9D03-85FE-C74C-3380-94FAF7B575BE}"/>
            </a:ext>
          </a:extLst>
        </xdr:cNvPr>
        <xdr:cNvSpPr txBox="1"/>
      </xdr:nvSpPr>
      <xdr:spPr>
        <a:xfrm>
          <a:off x="9163050" y="5419724"/>
          <a:ext cx="5686425" cy="59055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400" b="1" u="sng" cap="none" spc="0">
              <a:ln w="0"/>
              <a:solidFill>
                <a:schemeClr val="tx1"/>
              </a:solidFill>
              <a:effectLst>
                <a:outerShdw blurRad="38100" dist="19050" dir="2700000" algn="tl" rotWithShape="0">
                  <a:schemeClr val="dk1">
                    <a:alpha val="40000"/>
                  </a:schemeClr>
                </a:outerShdw>
              </a:effectLst>
            </a:rPr>
            <a:t>Purpose of the Sheet</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This sheet examines the historical downside behavior of the final optimized portfolio (obtained after out-of-sample validation) during periods of decline.</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It measures:</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a:solidFill>
                <a:schemeClr val="dk1"/>
              </a:solidFill>
              <a:effectLst/>
              <a:latin typeface="+mn-lt"/>
              <a:ea typeface="+mn-ea"/>
              <a:cs typeface="+mn-cs"/>
            </a:rPr>
            <a:t>•</a:t>
          </a:r>
          <a:r>
            <a:rPr lang="he-IL" sz="1100">
              <a:solidFill>
                <a:schemeClr val="dk1"/>
              </a:solidFill>
              <a:effectLst/>
              <a:latin typeface="+mn-lt"/>
              <a:ea typeface="+mn-ea"/>
              <a:cs typeface="+mn-cs"/>
            </a:rPr>
            <a:t> </a:t>
          </a:r>
          <a:r>
            <a:rPr lang="en-US" sz="1100" b="0" cap="none" spc="0">
              <a:ln w="0"/>
              <a:solidFill>
                <a:schemeClr val="tx1"/>
              </a:solidFill>
              <a:effectLst>
                <a:outerShdw blurRad="38100" dist="19050" dir="2700000" algn="tl" rotWithShape="0">
                  <a:schemeClr val="dk1">
                    <a:alpha val="40000"/>
                  </a:schemeClr>
                </a:outerShdw>
              </a:effectLst>
            </a:rPr>
            <a:t>How much the portfolio falls from its previous highs</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a:solidFill>
                <a:schemeClr val="dk1"/>
              </a:solidFill>
              <a:effectLst/>
              <a:latin typeface="+mn-lt"/>
              <a:ea typeface="+mn-ea"/>
              <a:cs typeface="+mn-cs"/>
            </a:rPr>
            <a:t>• </a:t>
          </a:r>
          <a:r>
            <a:rPr lang="en-US" sz="1100" b="0" cap="none" spc="0">
              <a:ln w="0"/>
              <a:solidFill>
                <a:schemeClr val="tx1"/>
              </a:solidFill>
              <a:effectLst>
                <a:outerShdw blurRad="38100" dist="19050" dir="2700000" algn="tl" rotWithShape="0">
                  <a:schemeClr val="dk1">
                    <a:alpha val="40000"/>
                  </a:schemeClr>
                </a:outerShdw>
              </a:effectLst>
            </a:rPr>
            <a:t>How long it stays below those highs</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a:solidFill>
                <a:schemeClr val="dk1"/>
              </a:solidFill>
              <a:effectLst/>
              <a:latin typeface="+mn-lt"/>
              <a:ea typeface="+mn-ea"/>
              <a:cs typeface="+mn-cs"/>
            </a:rPr>
            <a:t>• </a:t>
          </a:r>
          <a:r>
            <a:rPr lang="en-US" sz="1100" b="0" cap="none" spc="0">
              <a:ln w="0"/>
              <a:solidFill>
                <a:schemeClr val="tx1"/>
              </a:solidFill>
              <a:effectLst>
                <a:outerShdw blurRad="38100" dist="19050" dir="2700000" algn="tl" rotWithShape="0">
                  <a:schemeClr val="dk1">
                    <a:alpha val="40000"/>
                  </a:schemeClr>
                </a:outerShdw>
              </a:effectLst>
            </a:rPr>
            <a:t>How long it takes to recover after a major drop</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200" b="1" cap="none" spc="0">
              <a:ln w="0"/>
              <a:solidFill>
                <a:schemeClr val="tx1"/>
              </a:solidFill>
              <a:effectLst>
                <a:outerShdw blurRad="38100" dist="19050" dir="2700000" algn="tl" rotWithShape="0">
                  <a:schemeClr val="dk1">
                    <a:alpha val="40000"/>
                  </a:schemeClr>
                </a:outerShdw>
              </a:effectLst>
            </a:rPr>
            <a:t>Methodology</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The analysis is based on the portfolio’s cumulative returns.</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For each month:</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a:solidFill>
                <a:schemeClr val="dk1"/>
              </a:solidFill>
              <a:effectLst/>
              <a:latin typeface="+mn-lt"/>
              <a:ea typeface="+mn-ea"/>
              <a:cs typeface="+mn-cs"/>
            </a:rPr>
            <a:t>• </a:t>
          </a:r>
          <a:r>
            <a:rPr lang="en-US" sz="1100" b="0" cap="none" spc="0">
              <a:ln w="0"/>
              <a:solidFill>
                <a:schemeClr val="tx1"/>
              </a:solidFill>
              <a:effectLst>
                <a:outerShdw blurRad="38100" dist="19050" dir="2700000" algn="tl" rotWithShape="0">
                  <a:schemeClr val="dk1">
                    <a:alpha val="40000"/>
                  </a:schemeClr>
                </a:outerShdw>
              </a:effectLst>
            </a:rPr>
            <a:t>Tracking the highest portfolio level reached so far (Running Peak)</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a:solidFill>
                <a:schemeClr val="dk1"/>
              </a:solidFill>
              <a:effectLst/>
              <a:latin typeface="+mn-lt"/>
              <a:ea typeface="+mn-ea"/>
              <a:cs typeface="+mn-cs"/>
            </a:rPr>
            <a:t>• </a:t>
          </a:r>
          <a:r>
            <a:rPr lang="en-US" sz="1100" b="0" cap="none" spc="0">
              <a:ln w="0"/>
              <a:solidFill>
                <a:schemeClr val="tx1"/>
              </a:solidFill>
              <a:effectLst>
                <a:outerShdw blurRad="38100" dist="19050" dir="2700000" algn="tl" rotWithShape="0">
                  <a:schemeClr val="dk1">
                    <a:alpha val="40000"/>
                  </a:schemeClr>
                </a:outerShdw>
              </a:effectLst>
            </a:rPr>
            <a:t>Calculating the decline from that level (Drawdown)</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a:solidFill>
                <a:schemeClr val="dk1"/>
              </a:solidFill>
              <a:effectLst/>
              <a:latin typeface="+mn-lt"/>
              <a:ea typeface="+mn-ea"/>
              <a:cs typeface="+mn-cs"/>
            </a:rPr>
            <a:t>• </a:t>
          </a:r>
          <a:r>
            <a:rPr lang="en-US" sz="1100" b="0" cap="none" spc="0">
              <a:ln w="0"/>
              <a:solidFill>
                <a:schemeClr val="tx1"/>
              </a:solidFill>
              <a:effectLst>
                <a:outerShdw blurRad="38100" dist="19050" dir="2700000" algn="tl" rotWithShape="0">
                  <a:schemeClr val="dk1">
                    <a:alpha val="40000"/>
                  </a:schemeClr>
                </a:outerShdw>
              </a:effectLst>
            </a:rPr>
            <a:t>Counting the number of months the portfolio remains below its previous peak</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200" b="1" cap="none" spc="0">
              <a:ln w="0"/>
              <a:solidFill>
                <a:schemeClr val="tx1"/>
              </a:solidFill>
              <a:effectLst>
                <a:outerShdw blurRad="38100" dist="19050" dir="2700000" algn="tl" rotWithShape="0">
                  <a:schemeClr val="dk1">
                    <a:alpha val="40000"/>
                  </a:schemeClr>
                </a:outerShdw>
              </a:effectLst>
            </a:rPr>
            <a:t>Interpretation</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The portfolio experienced a maximum decline of 29.4</a:t>
          </a:r>
          <a:r>
            <a:rPr lang="he-IL" sz="1100" b="0" cap="none" spc="0">
              <a:ln w="0"/>
              <a:solidFill>
                <a:schemeClr val="tx1"/>
              </a:solidFill>
              <a:effectLst>
                <a:outerShdw blurRad="38100" dist="19050" dir="2700000" algn="tl" rotWithShape="0">
                  <a:schemeClr val="dk1">
                    <a:alpha val="40000"/>
                  </a:schemeClr>
                </a:outerShdw>
              </a:effectLst>
            </a:rPr>
            <a:t>1</a:t>
          </a:r>
          <a:r>
            <a:rPr lang="en-US" sz="1100" b="0" cap="none" spc="0">
              <a:ln w="0"/>
              <a:solidFill>
                <a:schemeClr val="tx1"/>
              </a:solidFill>
              <a:effectLst>
                <a:outerShdw blurRad="38100" dist="19050" dir="2700000" algn="tl" rotWithShape="0">
                  <a:schemeClr val="dk1">
                    <a:alpha val="40000"/>
                  </a:schemeClr>
                </a:outerShdw>
              </a:effectLst>
            </a:rPr>
            <a:t>% in September 2022.</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From this decline, it took 8 months for the portfolio to recover and reach a new peak by May 2023.</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In addition, the longest continuous period during which the portfolio remained below its previous peak lasted 16 months, from December 2021 to May 2023.</a:t>
          </a:r>
          <a:endParaRPr lang="he-IL"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19050</xdr:colOff>
      <xdr:row>10</xdr:row>
      <xdr:rowOff>9526</xdr:rowOff>
    </xdr:from>
    <xdr:to>
      <xdr:col>8</xdr:col>
      <xdr:colOff>180975</xdr:colOff>
      <xdr:row>20</xdr:row>
      <xdr:rowOff>95250</xdr:rowOff>
    </xdr:to>
    <xdr:sp macro="" textlink="">
      <xdr:nvSpPr>
        <xdr:cNvPr id="2" name="TextBox 1">
          <a:extLst>
            <a:ext uri="{FF2B5EF4-FFF2-40B4-BE49-F238E27FC236}">
              <a16:creationId xmlns:a16="http://schemas.microsoft.com/office/drawing/2014/main" id="{D0552790-3463-8C4D-FEC7-7ED707935DC8}"/>
            </a:ext>
          </a:extLst>
        </xdr:cNvPr>
        <xdr:cNvSpPr txBox="1"/>
      </xdr:nvSpPr>
      <xdr:spPr>
        <a:xfrm>
          <a:off x="704850" y="1819276"/>
          <a:ext cx="5534025" cy="189547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b="0" cap="none" spc="0">
              <a:ln w="0"/>
              <a:solidFill>
                <a:schemeClr val="tx1"/>
              </a:solidFill>
              <a:effectLst>
                <a:outerShdw blurRad="38100" dist="19050" dir="2700000" algn="tl" rotWithShape="0">
                  <a:schemeClr val="dk1">
                    <a:alpha val="40000"/>
                  </a:schemeClr>
                </a:outerShdw>
              </a:effectLst>
            </a:rPr>
            <a:t>Stress Test Analysis</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This table examines how the portfolio performed during major market events.</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The results show that the portfolio was more resilient than the market during the COVID crash and significantly outperformed during the AI-driven rally of 2023, mainly due to exposure to technology stocks.</a:t>
          </a:r>
        </a:p>
        <a:p>
          <a:endParaRPr lang="en-US" sz="1100" b="0" cap="none" spc="0">
            <a:ln w="0"/>
            <a:solidFill>
              <a:schemeClr val="tx1"/>
            </a:solidFill>
            <a:effectLst>
              <a:outerShdw blurRad="38100" dist="19050" dir="2700000" algn="tl" rotWithShape="0">
                <a:schemeClr val="dk1">
                  <a:alpha val="40000"/>
                </a:schemeClr>
              </a:outerShdw>
            </a:effectLst>
          </a:endParaRPr>
        </a:p>
        <a:p>
          <a:r>
            <a:rPr lang="en-US" sz="1100" b="0" cap="none" spc="0">
              <a:ln w="0"/>
              <a:solidFill>
                <a:schemeClr val="tx1"/>
              </a:solidFill>
              <a:effectLst>
                <a:outerShdw blurRad="38100" dist="19050" dir="2700000" algn="tl" rotWithShape="0">
                  <a:schemeClr val="dk1">
                    <a:alpha val="40000"/>
                  </a:schemeClr>
                </a:outerShdw>
              </a:effectLst>
            </a:rPr>
            <a:t>However, during the inflation shock of 2022, the portfolio slightly underperformed the market.</a:t>
          </a:r>
          <a:endParaRPr lang="he-IL"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3</xdr:col>
      <xdr:colOff>134471</xdr:colOff>
      <xdr:row>2</xdr:row>
      <xdr:rowOff>44823</xdr:rowOff>
    </xdr:from>
    <xdr:to>
      <xdr:col>11</xdr:col>
      <xdr:colOff>918882</xdr:colOff>
      <xdr:row>5</xdr:row>
      <xdr:rowOff>56030</xdr:rowOff>
    </xdr:to>
    <xdr:sp macro="" textlink="">
      <xdr:nvSpPr>
        <xdr:cNvPr id="3" name="TextBox 2">
          <a:extLst>
            <a:ext uri="{FF2B5EF4-FFF2-40B4-BE49-F238E27FC236}">
              <a16:creationId xmlns:a16="http://schemas.microsoft.com/office/drawing/2014/main" id="{7D151D9F-20DA-8240-73D4-F1A727536263}"/>
            </a:ext>
          </a:extLst>
        </xdr:cNvPr>
        <xdr:cNvSpPr txBox="1"/>
      </xdr:nvSpPr>
      <xdr:spPr>
        <a:xfrm>
          <a:off x="4403912" y="616323"/>
          <a:ext cx="11934264" cy="5490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46505F"/>
              </a:solidFill>
              <a:latin typeface="Segoe UI" panose="020B0502040204020203" pitchFamily="34" charset="0"/>
              <a:cs typeface="Segoe UI" panose="020B0502040204020203" pitchFamily="34" charset="0"/>
            </a:rPr>
            <a:t>This dashboard presents a multi-asset strategy constructed using constrained mean-variance optimization. Starting from an initial manually constructed portfolio, the portfolio was optimized under constraints and evaluated using out-of-sample testing and CAPM regression to measure alpha, risk-adjusted performance, and market exposure.</a:t>
          </a:r>
        </a:p>
      </xdr:txBody>
    </xdr:sp>
    <xdr:clientData/>
  </xdr:twoCellAnchor>
  <xdr:twoCellAnchor>
    <xdr:from>
      <xdr:col>0</xdr:col>
      <xdr:colOff>257736</xdr:colOff>
      <xdr:row>6</xdr:row>
      <xdr:rowOff>44823</xdr:rowOff>
    </xdr:from>
    <xdr:to>
      <xdr:col>4</xdr:col>
      <xdr:colOff>347383</xdr:colOff>
      <xdr:row>24</xdr:row>
      <xdr:rowOff>89648</xdr:rowOff>
    </xdr:to>
    <xdr:sp macro="" textlink="">
      <xdr:nvSpPr>
        <xdr:cNvPr id="4" name="Rectangle 3">
          <a:extLst>
            <a:ext uri="{FF2B5EF4-FFF2-40B4-BE49-F238E27FC236}">
              <a16:creationId xmlns:a16="http://schemas.microsoft.com/office/drawing/2014/main" id="{51973B1A-8106-1312-54BF-C1AD89C32149}"/>
            </a:ext>
          </a:extLst>
        </xdr:cNvPr>
        <xdr:cNvSpPr/>
      </xdr:nvSpPr>
      <xdr:spPr>
        <a:xfrm>
          <a:off x="257736" y="1333499"/>
          <a:ext cx="5782235" cy="3272120"/>
        </a:xfrm>
        <a:prstGeom prst="rect">
          <a:avLst/>
        </a:prstGeom>
        <a:solidFill>
          <a:srgbClr val="F9F9F9"/>
        </a:solidFill>
        <a:ln>
          <a:noFill/>
        </a:ln>
        <a:effectLst>
          <a:glow rad="88900">
            <a:schemeClr val="bg2">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he-IL" sz="1100">
            <a:solidFill>
              <a:schemeClr val="tx1"/>
            </a:solidFill>
          </a:endParaRPr>
        </a:p>
      </xdr:txBody>
    </xdr:sp>
    <xdr:clientData/>
  </xdr:twoCellAnchor>
  <xdr:twoCellAnchor>
    <xdr:from>
      <xdr:col>0</xdr:col>
      <xdr:colOff>1344707</xdr:colOff>
      <xdr:row>6</xdr:row>
      <xdr:rowOff>78442</xdr:rowOff>
    </xdr:from>
    <xdr:to>
      <xdr:col>3</xdr:col>
      <xdr:colOff>649944</xdr:colOff>
      <xdr:row>8</xdr:row>
      <xdr:rowOff>22413</xdr:rowOff>
    </xdr:to>
    <xdr:sp macro="" textlink="">
      <xdr:nvSpPr>
        <xdr:cNvPr id="5" name="TextBox 4">
          <a:extLst>
            <a:ext uri="{FF2B5EF4-FFF2-40B4-BE49-F238E27FC236}">
              <a16:creationId xmlns:a16="http://schemas.microsoft.com/office/drawing/2014/main" id="{BC698F29-0847-085C-1646-DB32E3683C01}"/>
            </a:ext>
          </a:extLst>
        </xdr:cNvPr>
        <xdr:cNvSpPr txBox="1"/>
      </xdr:nvSpPr>
      <xdr:spPr>
        <a:xfrm>
          <a:off x="1344707" y="1367118"/>
          <a:ext cx="3574678" cy="302560"/>
        </a:xfrm>
        <a:prstGeom prst="rect">
          <a:avLst/>
        </a:prstGeom>
        <a:solidFill>
          <a:srgbClr val="F9F9F9"/>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1"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tx1"/>
              </a:solidFill>
              <a:latin typeface="Segoe UI" panose="020B0502040204020203" pitchFamily="34" charset="0"/>
              <a:ea typeface="+mn-ea"/>
              <a:cs typeface="Segoe UI" panose="020B0502040204020203" pitchFamily="34" charset="0"/>
            </a:rPr>
            <a:t>Portfolio Performance &amp; Risk Summary</a:t>
          </a:r>
          <a:endParaRPr lang="he-IL" sz="1400" b="1">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0</xdr:col>
      <xdr:colOff>537882</xdr:colOff>
      <xdr:row>8</xdr:row>
      <xdr:rowOff>89645</xdr:rowOff>
    </xdr:from>
    <xdr:to>
      <xdr:col>1</xdr:col>
      <xdr:colOff>616324</xdr:colOff>
      <xdr:row>15</xdr:row>
      <xdr:rowOff>-1</xdr:rowOff>
    </xdr:to>
    <xdr:sp macro="" textlink="">
      <xdr:nvSpPr>
        <xdr:cNvPr id="2" name="TextBox 1">
          <a:extLst>
            <a:ext uri="{FF2B5EF4-FFF2-40B4-BE49-F238E27FC236}">
              <a16:creationId xmlns:a16="http://schemas.microsoft.com/office/drawing/2014/main" id="{239CA17B-7684-C185-A059-36E3E3D3DF5E}"/>
            </a:ext>
          </a:extLst>
        </xdr:cNvPr>
        <xdr:cNvSpPr txBox="1"/>
      </xdr:nvSpPr>
      <xdr:spPr>
        <a:xfrm>
          <a:off x="537882" y="1736910"/>
          <a:ext cx="1501589" cy="1165413"/>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endParaRPr lang="he-IL" sz="1100"/>
        </a:p>
      </xdr:txBody>
    </xdr:sp>
    <xdr:clientData/>
  </xdr:twoCellAnchor>
  <xdr:twoCellAnchor>
    <xdr:from>
      <xdr:col>0</xdr:col>
      <xdr:colOff>694765</xdr:colOff>
      <xdr:row>8</xdr:row>
      <xdr:rowOff>89648</xdr:rowOff>
    </xdr:from>
    <xdr:to>
      <xdr:col>1</xdr:col>
      <xdr:colOff>582707</xdr:colOff>
      <xdr:row>23</xdr:row>
      <xdr:rowOff>11206</xdr:rowOff>
    </xdr:to>
    <xdr:grpSp>
      <xdr:nvGrpSpPr>
        <xdr:cNvPr id="11" name="Group 10">
          <a:extLst>
            <a:ext uri="{FF2B5EF4-FFF2-40B4-BE49-F238E27FC236}">
              <a16:creationId xmlns:a16="http://schemas.microsoft.com/office/drawing/2014/main" id="{62C494A6-6E79-AA6C-1489-813D23B63A8F}"/>
            </a:ext>
          </a:extLst>
        </xdr:cNvPr>
        <xdr:cNvGrpSpPr/>
      </xdr:nvGrpSpPr>
      <xdr:grpSpPr>
        <a:xfrm>
          <a:off x="694765" y="1736913"/>
          <a:ext cx="1311089" cy="2610969"/>
          <a:chOff x="694765" y="1736913"/>
          <a:chExt cx="1311089" cy="2610969"/>
        </a:xfrm>
      </xdr:grpSpPr>
      <xdr:sp macro="" textlink="">
        <xdr:nvSpPr>
          <xdr:cNvPr id="7" name="TextBox 6">
            <a:extLst>
              <a:ext uri="{FF2B5EF4-FFF2-40B4-BE49-F238E27FC236}">
                <a16:creationId xmlns:a16="http://schemas.microsoft.com/office/drawing/2014/main" id="{2D228789-F6D4-E277-9F53-FEE14267E58D}"/>
              </a:ext>
            </a:extLst>
          </xdr:cNvPr>
          <xdr:cNvSpPr txBox="1"/>
        </xdr:nvSpPr>
        <xdr:spPr>
          <a:xfrm>
            <a:off x="694765" y="1736913"/>
            <a:ext cx="1299883" cy="493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050" b="0">
                <a:solidFill>
                  <a:schemeClr val="tx1"/>
                </a:solidFill>
                <a:latin typeface="Segoe UI" panose="020B0502040204020203" pitchFamily="34" charset="0"/>
                <a:cs typeface="Segoe UI" panose="020B0502040204020203" pitchFamily="34" charset="0"/>
              </a:rPr>
              <a:t>Annualized Return</a:t>
            </a:r>
          </a:p>
          <a:p>
            <a:r>
              <a:rPr lang="en-US" sz="1050" b="0">
                <a:solidFill>
                  <a:schemeClr val="tx1"/>
                </a:solidFill>
                <a:latin typeface="Segoe UI" panose="020B0502040204020203" pitchFamily="34" charset="0"/>
                <a:cs typeface="Segoe UI" panose="020B0502040204020203" pitchFamily="34" charset="0"/>
              </a:rPr>
              <a:t>(Test Period)</a:t>
            </a:r>
            <a:endParaRPr lang="he-IL" sz="1050" b="0">
              <a:solidFill>
                <a:schemeClr val="tx1"/>
              </a:solidFill>
              <a:latin typeface="Segoe UI" panose="020B0502040204020203" pitchFamily="34" charset="0"/>
              <a:cs typeface="Segoe UI" panose="020B0502040204020203" pitchFamily="34" charset="0"/>
            </a:endParaRPr>
          </a:p>
        </xdr:txBody>
      </xdr:sp>
      <xdr:sp macro="" textlink="Out_of_Sample!P4">
        <xdr:nvSpPr>
          <xdr:cNvPr id="8" name="TextBox 7">
            <a:extLst>
              <a:ext uri="{FF2B5EF4-FFF2-40B4-BE49-F238E27FC236}">
                <a16:creationId xmlns:a16="http://schemas.microsoft.com/office/drawing/2014/main" id="{DBBA0905-5CE7-4C31-0372-046A30168D1E}"/>
              </a:ext>
            </a:extLst>
          </xdr:cNvPr>
          <xdr:cNvSpPr txBox="1"/>
        </xdr:nvSpPr>
        <xdr:spPr>
          <a:xfrm>
            <a:off x="818032" y="2140323"/>
            <a:ext cx="851646" cy="302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CD8B424E-DE60-464B-8E2B-4E7C41F29B8C}" type="TxLink">
              <a:rPr lang="en-US" sz="1800" b="1" i="0" u="none" strike="noStrike">
                <a:solidFill>
                  <a:srgbClr val="68A042"/>
                </a:solidFill>
                <a:latin typeface="Segoe UI" panose="020B0502040204020203" pitchFamily="34" charset="0"/>
                <a:cs typeface="Segoe UI" panose="020B0502040204020203" pitchFamily="34" charset="0"/>
              </a:rPr>
              <a:pPr/>
              <a:t>41.2%</a:t>
            </a:fld>
            <a:endParaRPr lang="he-IL" sz="1800" b="1">
              <a:solidFill>
                <a:srgbClr val="68A042"/>
              </a:solidFill>
              <a:latin typeface="Segoe UI" panose="020B0502040204020203" pitchFamily="34" charset="0"/>
              <a:cs typeface="Segoe UI" panose="020B0502040204020203" pitchFamily="34" charset="0"/>
            </a:endParaRPr>
          </a:p>
        </xdr:txBody>
      </xdr:sp>
      <xdr:sp macro="" textlink="">
        <xdr:nvSpPr>
          <xdr:cNvPr id="9" name="TextBox 8">
            <a:extLst>
              <a:ext uri="{FF2B5EF4-FFF2-40B4-BE49-F238E27FC236}">
                <a16:creationId xmlns:a16="http://schemas.microsoft.com/office/drawing/2014/main" id="{42741B74-98EB-A8F1-E94A-975B9599718A}"/>
              </a:ext>
            </a:extLst>
          </xdr:cNvPr>
          <xdr:cNvSpPr txBox="1"/>
        </xdr:nvSpPr>
        <xdr:spPr>
          <a:xfrm>
            <a:off x="784411" y="2554942"/>
            <a:ext cx="481853" cy="3025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t>SPY</a:t>
            </a:r>
            <a:r>
              <a:rPr lang="he-IL" sz="1200"/>
              <a:t>:</a:t>
            </a:r>
          </a:p>
        </xdr:txBody>
      </xdr:sp>
      <xdr:sp macro="" textlink="Out_of_Sample!V9">
        <xdr:nvSpPr>
          <xdr:cNvPr id="10" name="TextBox 9">
            <a:extLst>
              <a:ext uri="{FF2B5EF4-FFF2-40B4-BE49-F238E27FC236}">
                <a16:creationId xmlns:a16="http://schemas.microsoft.com/office/drawing/2014/main" id="{10B30403-A994-4B8A-D037-C5B0EC8AC829}"/>
              </a:ext>
            </a:extLst>
          </xdr:cNvPr>
          <xdr:cNvSpPr txBox="1"/>
        </xdr:nvSpPr>
        <xdr:spPr>
          <a:xfrm>
            <a:off x="1165414" y="2566146"/>
            <a:ext cx="582706" cy="2353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CA73F35A-CCCA-4BA8-A0AD-D29603216AA7}" type="TxLink">
              <a:rPr lang="en-US" sz="1100" b="0" i="0" u="none" strike="noStrike">
                <a:solidFill>
                  <a:srgbClr val="000000"/>
                </a:solidFill>
                <a:latin typeface="Arial"/>
                <a:cs typeface="Arial"/>
              </a:rPr>
              <a:pPr/>
              <a:t>22.9%</a:t>
            </a:fld>
            <a:endParaRPr lang="he-IL" sz="1100"/>
          </a:p>
        </xdr:txBody>
      </xdr:sp>
      <xdr:sp macro="" textlink="">
        <xdr:nvSpPr>
          <xdr:cNvPr id="63" name="TextBox 62">
            <a:extLst>
              <a:ext uri="{FF2B5EF4-FFF2-40B4-BE49-F238E27FC236}">
                <a16:creationId xmlns:a16="http://schemas.microsoft.com/office/drawing/2014/main" id="{15F8B304-6BE8-C59D-4856-C0256AFC34CC}"/>
              </a:ext>
            </a:extLst>
          </xdr:cNvPr>
          <xdr:cNvSpPr txBox="1"/>
        </xdr:nvSpPr>
        <xdr:spPr>
          <a:xfrm>
            <a:off x="784414" y="3294530"/>
            <a:ext cx="1221440" cy="493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050" b="0">
                <a:solidFill>
                  <a:schemeClr val="tx1"/>
                </a:solidFill>
                <a:latin typeface="Segoe UI" panose="020B0502040204020203" pitchFamily="34" charset="0"/>
                <a:cs typeface="Segoe UI" panose="020B0502040204020203" pitchFamily="34" charset="0"/>
              </a:rPr>
              <a:t>Expected Return</a:t>
            </a:r>
          </a:p>
          <a:p>
            <a:r>
              <a:rPr lang="en-US" sz="1050" b="0">
                <a:solidFill>
                  <a:schemeClr val="tx1"/>
                </a:solidFill>
                <a:latin typeface="Segoe UI" panose="020B0502040204020203" pitchFamily="34" charset="0"/>
                <a:cs typeface="Segoe UI" panose="020B0502040204020203" pitchFamily="34" charset="0"/>
              </a:rPr>
              <a:t>(Test Period)</a:t>
            </a:r>
            <a:endParaRPr lang="he-IL" sz="1050" b="0">
              <a:solidFill>
                <a:schemeClr val="tx1"/>
              </a:solidFill>
              <a:latin typeface="Segoe UI" panose="020B0502040204020203" pitchFamily="34" charset="0"/>
              <a:cs typeface="Segoe UI" panose="020B0502040204020203" pitchFamily="34" charset="0"/>
            </a:endParaRPr>
          </a:p>
        </xdr:txBody>
      </xdr:sp>
      <xdr:sp macro="" textlink="">
        <xdr:nvSpPr>
          <xdr:cNvPr id="19463" name="TextBox 19462">
            <a:extLst>
              <a:ext uri="{FF2B5EF4-FFF2-40B4-BE49-F238E27FC236}">
                <a16:creationId xmlns:a16="http://schemas.microsoft.com/office/drawing/2014/main" id="{A0F39DC5-4768-C706-15A7-4B5BF1574ADF}"/>
              </a:ext>
            </a:extLst>
          </xdr:cNvPr>
          <xdr:cNvSpPr txBox="1"/>
        </xdr:nvSpPr>
        <xdr:spPr>
          <a:xfrm>
            <a:off x="907676" y="4022912"/>
            <a:ext cx="840442" cy="3025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t>SPY</a:t>
            </a:r>
            <a:r>
              <a:rPr lang="he-IL" sz="1200"/>
              <a:t>:</a:t>
            </a:r>
          </a:p>
        </xdr:txBody>
      </xdr:sp>
      <xdr:sp macro="" textlink="">
        <xdr:nvSpPr>
          <xdr:cNvPr id="19464" name="TextBox 19463">
            <a:extLst>
              <a:ext uri="{FF2B5EF4-FFF2-40B4-BE49-F238E27FC236}">
                <a16:creationId xmlns:a16="http://schemas.microsoft.com/office/drawing/2014/main" id="{62B2EA1E-126B-1ABF-0A22-4FBB45B67460}"/>
              </a:ext>
            </a:extLst>
          </xdr:cNvPr>
          <xdr:cNvSpPr txBox="1"/>
        </xdr:nvSpPr>
        <xdr:spPr>
          <a:xfrm>
            <a:off x="896470" y="4045324"/>
            <a:ext cx="481853" cy="3025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t>SPY</a:t>
            </a:r>
            <a:r>
              <a:rPr lang="he-IL" sz="1200"/>
              <a:t>:</a:t>
            </a:r>
          </a:p>
        </xdr:txBody>
      </xdr:sp>
    </xdr:grpSp>
    <xdr:clientData/>
  </xdr:twoCellAnchor>
  <xdr:twoCellAnchor>
    <xdr:from>
      <xdr:col>1</xdr:col>
      <xdr:colOff>1042148</xdr:colOff>
      <xdr:row>8</xdr:row>
      <xdr:rowOff>100851</xdr:rowOff>
    </xdr:from>
    <xdr:to>
      <xdr:col>2</xdr:col>
      <xdr:colOff>1120590</xdr:colOff>
      <xdr:row>15</xdr:row>
      <xdr:rowOff>11205</xdr:rowOff>
    </xdr:to>
    <xdr:sp macro="" textlink="">
      <xdr:nvSpPr>
        <xdr:cNvPr id="48" name="TextBox 47">
          <a:extLst>
            <a:ext uri="{FF2B5EF4-FFF2-40B4-BE49-F238E27FC236}">
              <a16:creationId xmlns:a16="http://schemas.microsoft.com/office/drawing/2014/main" id="{83B799B9-AF0C-48D0-B6D8-ADA5C21E6C2F}"/>
            </a:ext>
          </a:extLst>
        </xdr:cNvPr>
        <xdr:cNvSpPr txBox="1"/>
      </xdr:nvSpPr>
      <xdr:spPr>
        <a:xfrm>
          <a:off x="2465295" y="1748116"/>
          <a:ext cx="1501589" cy="1165413"/>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endParaRPr lang="he-IL" sz="1100"/>
        </a:p>
      </xdr:txBody>
    </xdr:sp>
    <xdr:clientData/>
  </xdr:twoCellAnchor>
  <xdr:twoCellAnchor>
    <xdr:from>
      <xdr:col>1</xdr:col>
      <xdr:colOff>1322295</xdr:colOff>
      <xdr:row>8</xdr:row>
      <xdr:rowOff>100851</xdr:rowOff>
    </xdr:from>
    <xdr:to>
      <xdr:col>2</xdr:col>
      <xdr:colOff>1120588</xdr:colOff>
      <xdr:row>11</xdr:row>
      <xdr:rowOff>56027</xdr:rowOff>
    </xdr:to>
    <xdr:sp macro="" textlink="">
      <xdr:nvSpPr>
        <xdr:cNvPr id="49" name="TextBox 48">
          <a:extLst>
            <a:ext uri="{FF2B5EF4-FFF2-40B4-BE49-F238E27FC236}">
              <a16:creationId xmlns:a16="http://schemas.microsoft.com/office/drawing/2014/main" id="{E235A299-B663-4207-8618-3CD181F46EAD}"/>
            </a:ext>
          </a:extLst>
        </xdr:cNvPr>
        <xdr:cNvSpPr txBox="1"/>
      </xdr:nvSpPr>
      <xdr:spPr>
        <a:xfrm>
          <a:off x="2745442" y="1748116"/>
          <a:ext cx="1221440" cy="493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050" b="0">
              <a:solidFill>
                <a:schemeClr val="tx1"/>
              </a:solidFill>
              <a:latin typeface="Segoe UI" panose="020B0502040204020203" pitchFamily="34" charset="0"/>
              <a:cs typeface="Segoe UI" panose="020B0502040204020203" pitchFamily="34" charset="0"/>
            </a:rPr>
            <a:t>Sharpe Ratio</a:t>
          </a:r>
        </a:p>
        <a:p>
          <a:r>
            <a:rPr lang="en-US" sz="1050" b="0">
              <a:solidFill>
                <a:schemeClr val="tx1"/>
              </a:solidFill>
              <a:latin typeface="Segoe UI" panose="020B0502040204020203" pitchFamily="34" charset="0"/>
              <a:cs typeface="Segoe UI" panose="020B0502040204020203" pitchFamily="34" charset="0"/>
            </a:rPr>
            <a:t>(Test Period)</a:t>
          </a:r>
          <a:endParaRPr lang="he-IL" sz="1050" b="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2</xdr:col>
      <xdr:colOff>22412</xdr:colOff>
      <xdr:row>10</xdr:row>
      <xdr:rowOff>134467</xdr:rowOff>
    </xdr:from>
    <xdr:to>
      <xdr:col>2</xdr:col>
      <xdr:colOff>874058</xdr:colOff>
      <xdr:row>12</xdr:row>
      <xdr:rowOff>78438</xdr:rowOff>
    </xdr:to>
    <xdr:sp macro="" textlink="Out_of_Sample!P6">
      <xdr:nvSpPr>
        <xdr:cNvPr id="50" name="TextBox 49">
          <a:extLst>
            <a:ext uri="{FF2B5EF4-FFF2-40B4-BE49-F238E27FC236}">
              <a16:creationId xmlns:a16="http://schemas.microsoft.com/office/drawing/2014/main" id="{9786424F-C413-4EC0-9DEC-D388B48CCF0C}"/>
            </a:ext>
          </a:extLst>
        </xdr:cNvPr>
        <xdr:cNvSpPr txBox="1"/>
      </xdr:nvSpPr>
      <xdr:spPr>
        <a:xfrm>
          <a:off x="2868706" y="2140320"/>
          <a:ext cx="851646" cy="302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fld id="{DEDD9207-7AD6-4B3C-ACF6-2737292DC07D}" type="TxLink">
            <a:rPr lang="en-US" sz="1800" b="1" i="0" u="none" strike="noStrike">
              <a:solidFill>
                <a:srgbClr val="15213B"/>
              </a:solidFill>
              <a:latin typeface="Segoe UI" panose="020B0502040204020203" pitchFamily="34" charset="0"/>
              <a:ea typeface="+mn-ea"/>
              <a:cs typeface="Segoe UI" panose="020B0502040204020203" pitchFamily="34" charset="0"/>
            </a:rPr>
            <a:pPr marL="0" indent="0"/>
            <a:t>2.27</a:t>
          </a:fld>
          <a:endParaRPr lang="he-IL" sz="1800" b="1" i="0" u="none" strike="noStrike">
            <a:solidFill>
              <a:srgbClr val="15213B"/>
            </a:solidFill>
            <a:latin typeface="Segoe UI" panose="020B0502040204020203" pitchFamily="34" charset="0"/>
            <a:ea typeface="+mn-ea"/>
            <a:cs typeface="Segoe UI" panose="020B0502040204020203" pitchFamily="34" charset="0"/>
          </a:endParaRPr>
        </a:p>
      </xdr:txBody>
    </xdr:sp>
    <xdr:clientData/>
  </xdr:twoCellAnchor>
  <xdr:twoCellAnchor>
    <xdr:from>
      <xdr:col>1</xdr:col>
      <xdr:colOff>1255057</xdr:colOff>
      <xdr:row>13</xdr:row>
      <xdr:rowOff>22410</xdr:rowOff>
    </xdr:from>
    <xdr:to>
      <xdr:col>2</xdr:col>
      <xdr:colOff>403412</xdr:colOff>
      <xdr:row>14</xdr:row>
      <xdr:rowOff>145674</xdr:rowOff>
    </xdr:to>
    <xdr:sp macro="" textlink="">
      <xdr:nvSpPr>
        <xdr:cNvPr id="51" name="TextBox 50">
          <a:extLst>
            <a:ext uri="{FF2B5EF4-FFF2-40B4-BE49-F238E27FC236}">
              <a16:creationId xmlns:a16="http://schemas.microsoft.com/office/drawing/2014/main" id="{7E8EA367-D4A1-4A08-9A47-24372CB25245}"/>
            </a:ext>
          </a:extLst>
        </xdr:cNvPr>
        <xdr:cNvSpPr txBox="1"/>
      </xdr:nvSpPr>
      <xdr:spPr>
        <a:xfrm>
          <a:off x="2678204" y="2566145"/>
          <a:ext cx="571502" cy="3025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t>Train:</a:t>
          </a:r>
          <a:endParaRPr lang="he-IL" sz="1200"/>
        </a:p>
      </xdr:txBody>
    </xdr:sp>
    <xdr:clientData/>
  </xdr:twoCellAnchor>
  <xdr:twoCellAnchor>
    <xdr:from>
      <xdr:col>2</xdr:col>
      <xdr:colOff>291352</xdr:colOff>
      <xdr:row>13</xdr:row>
      <xdr:rowOff>33613</xdr:rowOff>
    </xdr:from>
    <xdr:to>
      <xdr:col>2</xdr:col>
      <xdr:colOff>874058</xdr:colOff>
      <xdr:row>14</xdr:row>
      <xdr:rowOff>89643</xdr:rowOff>
    </xdr:to>
    <xdr:sp macro="" textlink="Out_of_Sample!O6">
      <xdr:nvSpPr>
        <xdr:cNvPr id="52" name="TextBox 51">
          <a:extLst>
            <a:ext uri="{FF2B5EF4-FFF2-40B4-BE49-F238E27FC236}">
              <a16:creationId xmlns:a16="http://schemas.microsoft.com/office/drawing/2014/main" id="{013D0078-2748-42A3-81B1-24A80D603CAB}"/>
            </a:ext>
          </a:extLst>
        </xdr:cNvPr>
        <xdr:cNvSpPr txBox="1"/>
      </xdr:nvSpPr>
      <xdr:spPr>
        <a:xfrm>
          <a:off x="3137646" y="2577348"/>
          <a:ext cx="582706" cy="2353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2ADAD485-7081-4054-B373-0A66216D6E02}" type="TxLink">
            <a:rPr lang="en-US" sz="1100" b="0" i="0" u="none" strike="noStrike">
              <a:solidFill>
                <a:srgbClr val="000000"/>
              </a:solidFill>
              <a:latin typeface="Arial"/>
              <a:cs typeface="Arial"/>
            </a:rPr>
            <a:pPr/>
            <a:t>0.75</a:t>
          </a:fld>
          <a:endParaRPr lang="he-IL" sz="1100"/>
        </a:p>
      </xdr:txBody>
    </xdr:sp>
    <xdr:clientData/>
  </xdr:twoCellAnchor>
  <xdr:twoCellAnchor>
    <xdr:from>
      <xdr:col>3</xdr:col>
      <xdr:colOff>67236</xdr:colOff>
      <xdr:row>8</xdr:row>
      <xdr:rowOff>123262</xdr:rowOff>
    </xdr:from>
    <xdr:to>
      <xdr:col>4</xdr:col>
      <xdr:colOff>145678</xdr:colOff>
      <xdr:row>15</xdr:row>
      <xdr:rowOff>22411</xdr:rowOff>
    </xdr:to>
    <xdr:sp macro="" textlink="">
      <xdr:nvSpPr>
        <xdr:cNvPr id="53" name="TextBox 52">
          <a:extLst>
            <a:ext uri="{FF2B5EF4-FFF2-40B4-BE49-F238E27FC236}">
              <a16:creationId xmlns:a16="http://schemas.microsoft.com/office/drawing/2014/main" id="{0DE1D8D7-2049-3F82-7C58-97AEE409C222}"/>
            </a:ext>
          </a:extLst>
        </xdr:cNvPr>
        <xdr:cNvSpPr txBox="1"/>
      </xdr:nvSpPr>
      <xdr:spPr>
        <a:xfrm>
          <a:off x="4336677" y="1770527"/>
          <a:ext cx="1501589" cy="1154208"/>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endParaRPr lang="he-IL" sz="1100"/>
        </a:p>
      </xdr:txBody>
    </xdr:sp>
    <xdr:clientData/>
  </xdr:twoCellAnchor>
  <xdr:twoCellAnchor>
    <xdr:from>
      <xdr:col>1</xdr:col>
      <xdr:colOff>1042147</xdr:colOff>
      <xdr:row>16</xdr:row>
      <xdr:rowOff>168085</xdr:rowOff>
    </xdr:from>
    <xdr:to>
      <xdr:col>2</xdr:col>
      <xdr:colOff>1120589</xdr:colOff>
      <xdr:row>23</xdr:row>
      <xdr:rowOff>78440</xdr:rowOff>
    </xdr:to>
    <xdr:sp macro="" textlink="">
      <xdr:nvSpPr>
        <xdr:cNvPr id="58" name="TextBox 57">
          <a:extLst>
            <a:ext uri="{FF2B5EF4-FFF2-40B4-BE49-F238E27FC236}">
              <a16:creationId xmlns:a16="http://schemas.microsoft.com/office/drawing/2014/main" id="{3E9BD901-0763-660C-7365-431BD3A6D164}"/>
            </a:ext>
          </a:extLst>
        </xdr:cNvPr>
        <xdr:cNvSpPr txBox="1"/>
      </xdr:nvSpPr>
      <xdr:spPr>
        <a:xfrm>
          <a:off x="2465294" y="3249703"/>
          <a:ext cx="1501589" cy="1165413"/>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endParaRPr lang="he-IL" sz="1100"/>
        </a:p>
      </xdr:txBody>
    </xdr:sp>
    <xdr:clientData/>
  </xdr:twoCellAnchor>
  <xdr:twoCellAnchor>
    <xdr:from>
      <xdr:col>0</xdr:col>
      <xdr:colOff>560294</xdr:colOff>
      <xdr:row>16</xdr:row>
      <xdr:rowOff>179291</xdr:rowOff>
    </xdr:from>
    <xdr:to>
      <xdr:col>1</xdr:col>
      <xdr:colOff>638736</xdr:colOff>
      <xdr:row>23</xdr:row>
      <xdr:rowOff>78442</xdr:rowOff>
    </xdr:to>
    <xdr:sp macro="" textlink="">
      <xdr:nvSpPr>
        <xdr:cNvPr id="59" name="TextBox 58">
          <a:extLst>
            <a:ext uri="{FF2B5EF4-FFF2-40B4-BE49-F238E27FC236}">
              <a16:creationId xmlns:a16="http://schemas.microsoft.com/office/drawing/2014/main" id="{38B440F9-1E76-FB26-6AF3-EE6228DBD39C}"/>
            </a:ext>
          </a:extLst>
        </xdr:cNvPr>
        <xdr:cNvSpPr txBox="1"/>
      </xdr:nvSpPr>
      <xdr:spPr>
        <a:xfrm>
          <a:off x="560294" y="3260909"/>
          <a:ext cx="1501589" cy="1154209"/>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endParaRPr lang="he-IL" sz="1100"/>
        </a:p>
      </xdr:txBody>
    </xdr:sp>
    <xdr:clientData/>
  </xdr:twoCellAnchor>
  <xdr:twoCellAnchor>
    <xdr:from>
      <xdr:col>3</xdr:col>
      <xdr:colOff>44823</xdr:colOff>
      <xdr:row>16</xdr:row>
      <xdr:rowOff>179292</xdr:rowOff>
    </xdr:from>
    <xdr:to>
      <xdr:col>4</xdr:col>
      <xdr:colOff>123265</xdr:colOff>
      <xdr:row>23</xdr:row>
      <xdr:rowOff>89647</xdr:rowOff>
    </xdr:to>
    <xdr:sp macro="" textlink="">
      <xdr:nvSpPr>
        <xdr:cNvPr id="60" name="TextBox 59">
          <a:extLst>
            <a:ext uri="{FF2B5EF4-FFF2-40B4-BE49-F238E27FC236}">
              <a16:creationId xmlns:a16="http://schemas.microsoft.com/office/drawing/2014/main" id="{C5A1A933-93C0-44C0-A790-15E3FFA9C10C}"/>
            </a:ext>
          </a:extLst>
        </xdr:cNvPr>
        <xdr:cNvSpPr txBox="1"/>
      </xdr:nvSpPr>
      <xdr:spPr>
        <a:xfrm>
          <a:off x="4314264" y="3260910"/>
          <a:ext cx="1501589" cy="1165413"/>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endParaRPr lang="he-IL" sz="1100"/>
        </a:p>
      </xdr:txBody>
    </xdr:sp>
    <xdr:clientData/>
  </xdr:twoCellAnchor>
  <xdr:twoCellAnchor>
    <xdr:from>
      <xdr:col>3</xdr:col>
      <xdr:colOff>224118</xdr:colOff>
      <xdr:row>8</xdr:row>
      <xdr:rowOff>156880</xdr:rowOff>
    </xdr:from>
    <xdr:to>
      <xdr:col>4</xdr:col>
      <xdr:colOff>22411</xdr:colOff>
      <xdr:row>11</xdr:row>
      <xdr:rowOff>112056</xdr:rowOff>
    </xdr:to>
    <xdr:sp macro="" textlink="">
      <xdr:nvSpPr>
        <xdr:cNvPr id="61" name="TextBox 60">
          <a:extLst>
            <a:ext uri="{FF2B5EF4-FFF2-40B4-BE49-F238E27FC236}">
              <a16:creationId xmlns:a16="http://schemas.microsoft.com/office/drawing/2014/main" id="{A518215F-67B8-D5ED-7B68-0073A4FF9D07}"/>
            </a:ext>
          </a:extLst>
        </xdr:cNvPr>
        <xdr:cNvSpPr txBox="1"/>
      </xdr:nvSpPr>
      <xdr:spPr>
        <a:xfrm>
          <a:off x="4493559" y="1804145"/>
          <a:ext cx="1221440" cy="493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050" b="0">
              <a:solidFill>
                <a:schemeClr val="tx1"/>
              </a:solidFill>
              <a:latin typeface="Segoe UI" panose="020B0502040204020203" pitchFamily="34" charset="0"/>
              <a:cs typeface="Segoe UI" panose="020B0502040204020203" pitchFamily="34" charset="0"/>
            </a:rPr>
            <a:t>Information Ratio</a:t>
          </a:r>
        </a:p>
        <a:p>
          <a:r>
            <a:rPr lang="en-US" sz="1050" b="0">
              <a:solidFill>
                <a:schemeClr val="tx1"/>
              </a:solidFill>
              <a:latin typeface="Segoe UI" panose="020B0502040204020203" pitchFamily="34" charset="0"/>
              <a:cs typeface="Segoe UI" panose="020B0502040204020203" pitchFamily="34" charset="0"/>
            </a:rPr>
            <a:t>(Test Period)</a:t>
          </a:r>
          <a:endParaRPr lang="he-IL" sz="1050" b="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3</xdr:col>
      <xdr:colOff>414618</xdr:colOff>
      <xdr:row>11</xdr:row>
      <xdr:rowOff>33614</xdr:rowOff>
    </xdr:from>
    <xdr:to>
      <xdr:col>3</xdr:col>
      <xdr:colOff>1266264</xdr:colOff>
      <xdr:row>12</xdr:row>
      <xdr:rowOff>156879</xdr:rowOff>
    </xdr:to>
    <xdr:sp macro="" textlink="Out_of_Sample!AA8">
      <xdr:nvSpPr>
        <xdr:cNvPr id="62" name="TextBox 61">
          <a:extLst>
            <a:ext uri="{FF2B5EF4-FFF2-40B4-BE49-F238E27FC236}">
              <a16:creationId xmlns:a16="http://schemas.microsoft.com/office/drawing/2014/main" id="{A3D39888-C90C-515A-F9F8-F3D6FACB1D78}"/>
            </a:ext>
          </a:extLst>
        </xdr:cNvPr>
        <xdr:cNvSpPr txBox="1"/>
      </xdr:nvSpPr>
      <xdr:spPr>
        <a:xfrm>
          <a:off x="4684059" y="2218761"/>
          <a:ext cx="851646" cy="302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fld id="{60CC8BCE-CC2F-4DD6-9CDA-1FA9EB083F98}" type="TxLink">
            <a:rPr lang="en-US" sz="1800" b="1" i="0" u="none" strike="noStrike">
              <a:solidFill>
                <a:srgbClr val="15213B"/>
              </a:solidFill>
              <a:latin typeface="Segoe UI" panose="020B0502040204020203" pitchFamily="34" charset="0"/>
              <a:ea typeface="+mn-ea"/>
              <a:cs typeface="Segoe UI" panose="020B0502040204020203" pitchFamily="34" charset="0"/>
            </a:rPr>
            <a:pPr marL="0" indent="0"/>
            <a:t>0.72</a:t>
          </a:fld>
          <a:endParaRPr lang="he-IL" sz="1800" b="1" i="0" u="none" strike="noStrike">
            <a:solidFill>
              <a:srgbClr val="15213B"/>
            </a:solidFill>
            <a:latin typeface="Segoe UI" panose="020B0502040204020203" pitchFamily="34" charset="0"/>
            <a:ea typeface="+mn-ea"/>
            <a:cs typeface="Segoe UI" panose="020B0502040204020203" pitchFamily="34" charset="0"/>
          </a:endParaRPr>
        </a:p>
      </xdr:txBody>
    </xdr:sp>
    <xdr:clientData/>
  </xdr:twoCellAnchor>
  <xdr:twoCellAnchor>
    <xdr:from>
      <xdr:col>0</xdr:col>
      <xdr:colOff>739590</xdr:colOff>
      <xdr:row>17</xdr:row>
      <xdr:rowOff>22410</xdr:rowOff>
    </xdr:from>
    <xdr:to>
      <xdr:col>1</xdr:col>
      <xdr:colOff>537883</xdr:colOff>
      <xdr:row>19</xdr:row>
      <xdr:rowOff>156880</xdr:rowOff>
    </xdr:to>
    <xdr:sp macro="" textlink="">
      <xdr:nvSpPr>
        <xdr:cNvPr id="19456" name="TextBox 19455">
          <a:extLst>
            <a:ext uri="{FF2B5EF4-FFF2-40B4-BE49-F238E27FC236}">
              <a16:creationId xmlns:a16="http://schemas.microsoft.com/office/drawing/2014/main" id="{7FCD00B9-6545-23DB-BC9E-DAEAE3ABBEB9}"/>
            </a:ext>
          </a:extLst>
        </xdr:cNvPr>
        <xdr:cNvSpPr txBox="1"/>
      </xdr:nvSpPr>
      <xdr:spPr>
        <a:xfrm>
          <a:off x="739590" y="3283322"/>
          <a:ext cx="1221440" cy="4930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050" b="0">
              <a:solidFill>
                <a:schemeClr val="tx1"/>
              </a:solidFill>
              <a:latin typeface="Segoe UI" panose="020B0502040204020203" pitchFamily="34" charset="0"/>
              <a:cs typeface="Segoe UI" panose="020B0502040204020203" pitchFamily="34" charset="0"/>
            </a:rPr>
            <a:t>Annualized Alpha</a:t>
          </a:r>
        </a:p>
        <a:p>
          <a:r>
            <a:rPr lang="en-US" sz="1050" b="0">
              <a:solidFill>
                <a:schemeClr val="tx1"/>
              </a:solidFill>
              <a:latin typeface="Segoe UI" panose="020B0502040204020203" pitchFamily="34" charset="0"/>
              <a:cs typeface="Segoe UI" panose="020B0502040204020203" pitchFamily="34" charset="0"/>
            </a:rPr>
            <a:t>       (CAPM)</a:t>
          </a:r>
          <a:endParaRPr lang="he-IL" sz="1050" b="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1</xdr:col>
      <xdr:colOff>1064559</xdr:colOff>
      <xdr:row>17</xdr:row>
      <xdr:rowOff>22409</xdr:rowOff>
    </xdr:from>
    <xdr:to>
      <xdr:col>2</xdr:col>
      <xdr:colOff>1098177</xdr:colOff>
      <xdr:row>20</xdr:row>
      <xdr:rowOff>123264</xdr:rowOff>
    </xdr:to>
    <xdr:sp macro="" textlink="">
      <xdr:nvSpPr>
        <xdr:cNvPr id="19458" name="TextBox 19457">
          <a:extLst>
            <a:ext uri="{FF2B5EF4-FFF2-40B4-BE49-F238E27FC236}">
              <a16:creationId xmlns:a16="http://schemas.microsoft.com/office/drawing/2014/main" id="{D0834F4A-F9BE-AC41-ECEF-325855E3A20A}"/>
            </a:ext>
          </a:extLst>
        </xdr:cNvPr>
        <xdr:cNvSpPr txBox="1"/>
      </xdr:nvSpPr>
      <xdr:spPr>
        <a:xfrm>
          <a:off x="2487706" y="3283321"/>
          <a:ext cx="1456765" cy="63873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050" b="0">
              <a:solidFill>
                <a:schemeClr val="tx1"/>
              </a:solidFill>
              <a:latin typeface="Segoe UI" panose="020B0502040204020203" pitchFamily="34" charset="0"/>
              <a:cs typeface="Segoe UI" panose="020B0502040204020203" pitchFamily="34" charset="0"/>
            </a:rPr>
            <a:t>Maximum Drawdown</a:t>
          </a:r>
        </a:p>
        <a:p>
          <a:r>
            <a:rPr lang="en-US" sz="1050" b="0">
              <a:solidFill>
                <a:schemeClr val="tx1"/>
              </a:solidFill>
              <a:latin typeface="Segoe UI" panose="020B0502040204020203" pitchFamily="34" charset="0"/>
              <a:cs typeface="Segoe UI" panose="020B0502040204020203" pitchFamily="34" charset="0"/>
            </a:rPr>
            <a:t>(Full Sample)</a:t>
          </a:r>
          <a:endParaRPr lang="he-IL" sz="1050" b="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3</xdr:col>
      <xdr:colOff>123266</xdr:colOff>
      <xdr:row>17</xdr:row>
      <xdr:rowOff>22409</xdr:rowOff>
    </xdr:from>
    <xdr:to>
      <xdr:col>4</xdr:col>
      <xdr:colOff>123264</xdr:colOff>
      <xdr:row>20</xdr:row>
      <xdr:rowOff>78440</xdr:rowOff>
    </xdr:to>
    <xdr:sp macro="" textlink="">
      <xdr:nvSpPr>
        <xdr:cNvPr id="19459" name="TextBox 19458">
          <a:extLst>
            <a:ext uri="{FF2B5EF4-FFF2-40B4-BE49-F238E27FC236}">
              <a16:creationId xmlns:a16="http://schemas.microsoft.com/office/drawing/2014/main" id="{1EFA3E32-0AED-D7FA-D0AE-30E277F3FE2E}"/>
            </a:ext>
          </a:extLst>
        </xdr:cNvPr>
        <xdr:cNvSpPr txBox="1"/>
      </xdr:nvSpPr>
      <xdr:spPr>
        <a:xfrm>
          <a:off x="4392707" y="3283321"/>
          <a:ext cx="1423145" cy="59391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050" b="0">
              <a:solidFill>
                <a:schemeClr val="tx1"/>
              </a:solidFill>
              <a:latin typeface="Segoe UI" panose="020B0502040204020203" pitchFamily="34" charset="0"/>
              <a:cs typeface="Segoe UI" panose="020B0502040204020203" pitchFamily="34" charset="0"/>
            </a:rPr>
            <a:t>Monthly VaR 95%</a:t>
          </a:r>
        </a:p>
        <a:p>
          <a:r>
            <a:rPr lang="en-US" sz="1050" b="0">
              <a:solidFill>
                <a:schemeClr val="tx1"/>
              </a:solidFill>
              <a:latin typeface="Segoe UI" panose="020B0502040204020203" pitchFamily="34" charset="0"/>
              <a:cs typeface="Segoe UI" panose="020B0502040204020203" pitchFamily="34" charset="0"/>
            </a:rPr>
            <a:t>(Full Sample)</a:t>
          </a:r>
          <a:endParaRPr lang="he-IL" sz="1050" b="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0</xdr:col>
      <xdr:colOff>829236</xdr:colOff>
      <xdr:row>19</xdr:row>
      <xdr:rowOff>78437</xdr:rowOff>
    </xdr:from>
    <xdr:to>
      <xdr:col>1</xdr:col>
      <xdr:colOff>537883</xdr:colOff>
      <xdr:row>21</xdr:row>
      <xdr:rowOff>22408</xdr:rowOff>
    </xdr:to>
    <xdr:sp macro="" textlink="CAPM!R7">
      <xdr:nvSpPr>
        <xdr:cNvPr id="19460" name="TextBox 19459">
          <a:extLst>
            <a:ext uri="{FF2B5EF4-FFF2-40B4-BE49-F238E27FC236}">
              <a16:creationId xmlns:a16="http://schemas.microsoft.com/office/drawing/2014/main" id="{9104BEF4-17B7-805A-0B17-733A8D9A62BD}"/>
            </a:ext>
          </a:extLst>
        </xdr:cNvPr>
        <xdr:cNvSpPr txBox="1"/>
      </xdr:nvSpPr>
      <xdr:spPr>
        <a:xfrm>
          <a:off x="829236" y="3697937"/>
          <a:ext cx="1131794" cy="302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fld id="{253EC6F7-5B7F-4691-A893-695E2978F89A}" type="TxLink">
            <a:rPr lang="en-US" sz="1800" b="1" i="0" u="none" strike="noStrike">
              <a:solidFill>
                <a:schemeClr val="accent6"/>
              </a:solidFill>
              <a:latin typeface="Segoe UI" panose="020B0502040204020203" pitchFamily="34" charset="0"/>
              <a:ea typeface="+mn-ea"/>
              <a:cs typeface="Segoe UI" panose="020B0502040204020203" pitchFamily="34" charset="0"/>
            </a:rPr>
            <a:pPr marL="0" indent="0"/>
            <a:t>15.88%</a:t>
          </a:fld>
          <a:endParaRPr lang="he-IL" sz="1800" b="1" i="0" u="none" strike="noStrike">
            <a:solidFill>
              <a:schemeClr val="accent6"/>
            </a:solidFill>
            <a:latin typeface="Segoe UI" panose="020B0502040204020203" pitchFamily="34" charset="0"/>
            <a:ea typeface="+mn-ea"/>
            <a:cs typeface="Segoe UI" panose="020B0502040204020203" pitchFamily="34" charset="0"/>
          </a:endParaRPr>
        </a:p>
      </xdr:txBody>
    </xdr:sp>
    <xdr:clientData/>
  </xdr:twoCellAnchor>
  <xdr:twoCellAnchor>
    <xdr:from>
      <xdr:col>1</xdr:col>
      <xdr:colOff>1311089</xdr:colOff>
      <xdr:row>19</xdr:row>
      <xdr:rowOff>78437</xdr:rowOff>
    </xdr:from>
    <xdr:to>
      <xdr:col>2</xdr:col>
      <xdr:colOff>952499</xdr:colOff>
      <xdr:row>21</xdr:row>
      <xdr:rowOff>22408</xdr:rowOff>
    </xdr:to>
    <xdr:sp macro="" textlink="Drawdown!K4">
      <xdr:nvSpPr>
        <xdr:cNvPr id="19461" name="TextBox 19460">
          <a:extLst>
            <a:ext uri="{FF2B5EF4-FFF2-40B4-BE49-F238E27FC236}">
              <a16:creationId xmlns:a16="http://schemas.microsoft.com/office/drawing/2014/main" id="{A1E45B67-F389-E8CF-03E1-A39EB780AB37}"/>
            </a:ext>
          </a:extLst>
        </xdr:cNvPr>
        <xdr:cNvSpPr txBox="1"/>
      </xdr:nvSpPr>
      <xdr:spPr>
        <a:xfrm>
          <a:off x="2734236" y="3697937"/>
          <a:ext cx="1064557" cy="3025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fld id="{33547332-EED2-4423-B50E-AB83A4100EA8}" type="TxLink">
            <a:rPr lang="en-US" sz="1800" b="1" i="0" u="none" strike="noStrike">
              <a:solidFill>
                <a:srgbClr val="FF4B4B"/>
              </a:solidFill>
              <a:latin typeface="Segoe UI" panose="020B0502040204020203" pitchFamily="34" charset="0"/>
              <a:ea typeface="+mn-ea"/>
              <a:cs typeface="Segoe UI" panose="020B0502040204020203" pitchFamily="34" charset="0"/>
            </a:rPr>
            <a:pPr marL="0" indent="0"/>
            <a:t>29.41%</a:t>
          </a:fld>
          <a:endParaRPr lang="he-IL" sz="1800" b="1" i="0" u="none" strike="noStrike">
            <a:solidFill>
              <a:srgbClr val="FF4B4B"/>
            </a:solidFill>
            <a:latin typeface="Segoe UI" panose="020B0502040204020203" pitchFamily="34" charset="0"/>
            <a:ea typeface="+mn-ea"/>
            <a:cs typeface="Segoe UI" panose="020B0502040204020203" pitchFamily="34" charset="0"/>
          </a:endParaRPr>
        </a:p>
      </xdr:txBody>
    </xdr:sp>
    <xdr:clientData/>
  </xdr:twoCellAnchor>
  <xdr:twoCellAnchor>
    <xdr:from>
      <xdr:col>3</xdr:col>
      <xdr:colOff>257736</xdr:colOff>
      <xdr:row>19</xdr:row>
      <xdr:rowOff>67235</xdr:rowOff>
    </xdr:from>
    <xdr:to>
      <xdr:col>3</xdr:col>
      <xdr:colOff>1367118</xdr:colOff>
      <xdr:row>21</xdr:row>
      <xdr:rowOff>22412</xdr:rowOff>
    </xdr:to>
    <xdr:sp macro="" textlink="VaR!H11">
      <xdr:nvSpPr>
        <xdr:cNvPr id="19462" name="TextBox 19461">
          <a:extLst>
            <a:ext uri="{FF2B5EF4-FFF2-40B4-BE49-F238E27FC236}">
              <a16:creationId xmlns:a16="http://schemas.microsoft.com/office/drawing/2014/main" id="{F79C8912-FE78-22E2-A0AA-4EEA92ECE459}"/>
            </a:ext>
          </a:extLst>
        </xdr:cNvPr>
        <xdr:cNvSpPr txBox="1"/>
      </xdr:nvSpPr>
      <xdr:spPr>
        <a:xfrm>
          <a:off x="4527177" y="3686735"/>
          <a:ext cx="1109382" cy="313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fld id="{764D31D0-5339-42A7-BC15-4CE0EA3BBCDA}" type="TxLink">
            <a:rPr lang="en-US" sz="1800" b="1" i="0" u="none" strike="noStrike">
              <a:solidFill>
                <a:srgbClr val="FF4B4B"/>
              </a:solidFill>
              <a:latin typeface="Segoe UI" panose="020B0502040204020203" pitchFamily="34" charset="0"/>
              <a:ea typeface="+mn-ea"/>
              <a:cs typeface="Segoe UI" panose="020B0502040204020203" pitchFamily="34" charset="0"/>
            </a:rPr>
            <a:pPr marL="0" indent="0"/>
            <a:t>-6.36%</a:t>
          </a:fld>
          <a:endParaRPr lang="he-IL" sz="1800" b="1" i="0" u="none" strike="noStrike">
            <a:solidFill>
              <a:srgbClr val="FF4B4B"/>
            </a:solidFill>
            <a:latin typeface="Segoe UI" panose="020B0502040204020203" pitchFamily="34" charset="0"/>
            <a:ea typeface="+mn-ea"/>
            <a:cs typeface="Segoe UI" panose="020B0502040204020203" pitchFamily="34" charset="0"/>
          </a:endParaRPr>
        </a:p>
      </xdr:txBody>
    </xdr:sp>
    <xdr:clientData/>
  </xdr:twoCellAnchor>
  <xdr:twoCellAnchor>
    <xdr:from>
      <xdr:col>0</xdr:col>
      <xdr:colOff>571500</xdr:colOff>
      <xdr:row>21</xdr:row>
      <xdr:rowOff>78442</xdr:rowOff>
    </xdr:from>
    <xdr:to>
      <xdr:col>0</xdr:col>
      <xdr:colOff>1344706</xdr:colOff>
      <xdr:row>22</xdr:row>
      <xdr:rowOff>156883</xdr:rowOff>
    </xdr:to>
    <xdr:sp macro="" textlink="">
      <xdr:nvSpPr>
        <xdr:cNvPr id="19465" name="TextBox 19464">
          <a:extLst>
            <a:ext uri="{FF2B5EF4-FFF2-40B4-BE49-F238E27FC236}">
              <a16:creationId xmlns:a16="http://schemas.microsoft.com/office/drawing/2014/main" id="{6624F0B1-A88A-A64F-24B7-AA482C749D31}"/>
            </a:ext>
          </a:extLst>
        </xdr:cNvPr>
        <xdr:cNvSpPr txBox="1"/>
      </xdr:nvSpPr>
      <xdr:spPr>
        <a:xfrm>
          <a:off x="571500" y="4056530"/>
          <a:ext cx="773206" cy="25773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r>
            <a:rPr lang="en-US" sz="1100" b="0" i="0" u="none" strike="noStrike">
              <a:solidFill>
                <a:schemeClr val="dk1"/>
              </a:solidFill>
              <a:effectLst/>
              <a:latin typeface="Segoe UI" panose="020B0502040204020203" pitchFamily="34" charset="0"/>
              <a:ea typeface="+mn-ea"/>
              <a:cs typeface="Segoe UI" panose="020B0502040204020203" pitchFamily="34" charset="0"/>
            </a:rPr>
            <a:t>Monthly</a:t>
          </a:r>
          <a:r>
            <a:rPr lang="he-IL" sz="1100" b="0" i="0" u="none" strike="noStrike">
              <a:solidFill>
                <a:schemeClr val="dk1"/>
              </a:solidFill>
              <a:effectLst/>
              <a:latin typeface="Segoe UI" panose="020B0502040204020203" pitchFamily="34" charset="0"/>
              <a:ea typeface="+mn-ea"/>
              <a:cs typeface="Segoe UI" panose="020B0502040204020203" pitchFamily="34" charset="0"/>
            </a:rPr>
            <a:t>:</a:t>
          </a:r>
          <a:r>
            <a:rPr lang="en-US" sz="1050">
              <a:effectLst/>
              <a:latin typeface="Segoe UI" panose="020B0502040204020203" pitchFamily="34" charset="0"/>
              <a:cs typeface="Segoe UI" panose="020B0502040204020203" pitchFamily="34" charset="0"/>
            </a:rPr>
            <a:t> </a:t>
          </a:r>
          <a:endParaRPr lang="he-IL" sz="1050" b="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1</xdr:col>
      <xdr:colOff>1355913</xdr:colOff>
      <xdr:row>21</xdr:row>
      <xdr:rowOff>123264</xdr:rowOff>
    </xdr:from>
    <xdr:to>
      <xdr:col>2</xdr:col>
      <xdr:colOff>851648</xdr:colOff>
      <xdr:row>22</xdr:row>
      <xdr:rowOff>168088</xdr:rowOff>
    </xdr:to>
    <xdr:sp macro="" textlink="">
      <xdr:nvSpPr>
        <xdr:cNvPr id="19466" name="TextBox 19465">
          <a:extLst>
            <a:ext uri="{FF2B5EF4-FFF2-40B4-BE49-F238E27FC236}">
              <a16:creationId xmlns:a16="http://schemas.microsoft.com/office/drawing/2014/main" id="{E31C5121-CD3B-FA75-9224-8F17A65CE10A}"/>
            </a:ext>
          </a:extLst>
        </xdr:cNvPr>
        <xdr:cNvSpPr txBox="1"/>
      </xdr:nvSpPr>
      <xdr:spPr>
        <a:xfrm>
          <a:off x="2779060" y="4101352"/>
          <a:ext cx="918882" cy="22411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r>
            <a:rPr lang="en-US" sz="1050" b="0">
              <a:solidFill>
                <a:schemeClr val="tx1"/>
              </a:solidFill>
              <a:latin typeface="Segoe UI" panose="020B0502040204020203" pitchFamily="34" charset="0"/>
              <a:ea typeface="+mn-ea"/>
              <a:cs typeface="Segoe UI" panose="020B0502040204020203" pitchFamily="34" charset="0"/>
            </a:rPr>
            <a:t>Sep 2022</a:t>
          </a:r>
          <a:endParaRPr lang="he-IL" sz="1050" b="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3</xdr:col>
      <xdr:colOff>123266</xdr:colOff>
      <xdr:row>21</xdr:row>
      <xdr:rowOff>100852</xdr:rowOff>
    </xdr:from>
    <xdr:to>
      <xdr:col>4</xdr:col>
      <xdr:colOff>100853</xdr:colOff>
      <xdr:row>22</xdr:row>
      <xdr:rowOff>156882</xdr:rowOff>
    </xdr:to>
    <xdr:sp macro="" textlink="">
      <xdr:nvSpPr>
        <xdr:cNvPr id="19467" name="TextBox 19466">
          <a:extLst>
            <a:ext uri="{FF2B5EF4-FFF2-40B4-BE49-F238E27FC236}">
              <a16:creationId xmlns:a16="http://schemas.microsoft.com/office/drawing/2014/main" id="{1690BE4F-C9A5-4E71-5FC8-3E6545D80378}"/>
            </a:ext>
          </a:extLst>
        </xdr:cNvPr>
        <xdr:cNvSpPr txBox="1"/>
      </xdr:nvSpPr>
      <xdr:spPr>
        <a:xfrm>
          <a:off x="4392707" y="4078940"/>
          <a:ext cx="1400734" cy="2353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indent="0"/>
          <a:r>
            <a:rPr lang="en-US" sz="1050" b="0">
              <a:solidFill>
                <a:schemeClr val="tx1"/>
              </a:solidFill>
              <a:latin typeface="Segoe UI" panose="020B0502040204020203" pitchFamily="34" charset="0"/>
              <a:ea typeface="+mn-ea"/>
              <a:cs typeface="Segoe UI" panose="020B0502040204020203" pitchFamily="34" charset="0"/>
            </a:rPr>
            <a:t>CVaR 95%: -8.44%</a:t>
          </a:r>
          <a:endParaRPr lang="he-IL" sz="1050" b="0">
            <a:solidFill>
              <a:schemeClr val="tx1"/>
            </a:solidFill>
            <a:latin typeface="Segoe UI" panose="020B0502040204020203" pitchFamily="34" charset="0"/>
            <a:ea typeface="+mn-ea"/>
            <a:cs typeface="Segoe UI" panose="020B0502040204020203" pitchFamily="34" charset="0"/>
          </a:endParaRPr>
        </a:p>
      </xdr:txBody>
    </xdr:sp>
    <xdr:clientData/>
  </xdr:twoCellAnchor>
  <xdr:twoCellAnchor>
    <xdr:from>
      <xdr:col>3</xdr:col>
      <xdr:colOff>425823</xdr:colOff>
      <xdr:row>13</xdr:row>
      <xdr:rowOff>33615</xdr:rowOff>
    </xdr:from>
    <xdr:to>
      <xdr:col>3</xdr:col>
      <xdr:colOff>997325</xdr:colOff>
      <xdr:row>14</xdr:row>
      <xdr:rowOff>156879</xdr:rowOff>
    </xdr:to>
    <xdr:sp macro="" textlink="">
      <xdr:nvSpPr>
        <xdr:cNvPr id="19468" name="TextBox 19467">
          <a:extLst>
            <a:ext uri="{FF2B5EF4-FFF2-40B4-BE49-F238E27FC236}">
              <a16:creationId xmlns:a16="http://schemas.microsoft.com/office/drawing/2014/main" id="{E317AFA3-FC02-7853-B48C-F53F6EEA2273}"/>
            </a:ext>
          </a:extLst>
        </xdr:cNvPr>
        <xdr:cNvSpPr txBox="1"/>
      </xdr:nvSpPr>
      <xdr:spPr>
        <a:xfrm>
          <a:off x="4695264" y="2577350"/>
          <a:ext cx="571502" cy="3025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t>vs SPY</a:t>
          </a:r>
          <a:endParaRPr lang="he-IL" sz="1200"/>
        </a:p>
      </xdr:txBody>
    </xdr:sp>
    <xdr:clientData/>
  </xdr:twoCellAnchor>
  <xdr:twoCellAnchor>
    <xdr:from>
      <xdr:col>4</xdr:col>
      <xdr:colOff>1142998</xdr:colOff>
      <xdr:row>5</xdr:row>
      <xdr:rowOff>112059</xdr:rowOff>
    </xdr:from>
    <xdr:to>
      <xdr:col>9</xdr:col>
      <xdr:colOff>313765</xdr:colOff>
      <xdr:row>22</xdr:row>
      <xdr:rowOff>147919</xdr:rowOff>
    </xdr:to>
    <xdr:graphicFrame macro="">
      <xdr:nvGraphicFramePr>
        <xdr:cNvPr id="19469" name="Chart 19468">
          <a:extLst>
            <a:ext uri="{FF2B5EF4-FFF2-40B4-BE49-F238E27FC236}">
              <a16:creationId xmlns:a16="http://schemas.microsoft.com/office/drawing/2014/main" id="{0C3453BB-C0BE-4682-B1E4-E14A4C87B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134472</xdr:colOff>
      <xdr:row>10</xdr:row>
      <xdr:rowOff>134471</xdr:rowOff>
    </xdr:from>
    <xdr:to>
      <xdr:col>7</xdr:col>
      <xdr:colOff>1187824</xdr:colOff>
      <xdr:row>13</xdr:row>
      <xdr:rowOff>33618</xdr:rowOff>
    </xdr:to>
    <xdr:sp macro="" textlink="">
      <xdr:nvSpPr>
        <xdr:cNvPr id="19470" name="TextBox 19469">
          <a:extLst>
            <a:ext uri="{FF2B5EF4-FFF2-40B4-BE49-F238E27FC236}">
              <a16:creationId xmlns:a16="http://schemas.microsoft.com/office/drawing/2014/main" id="{D65011FD-116E-7B6B-34A4-F0A0BD5ED97B}"/>
            </a:ext>
          </a:extLst>
        </xdr:cNvPr>
        <xdr:cNvSpPr txBox="1"/>
      </xdr:nvSpPr>
      <xdr:spPr>
        <a:xfrm>
          <a:off x="9861178" y="2140324"/>
          <a:ext cx="1053352" cy="4370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000">
              <a:solidFill>
                <a:srgbClr val="706A6A"/>
              </a:solidFill>
            </a:rPr>
            <a:t>Test Start Date</a:t>
          </a:r>
        </a:p>
        <a:p>
          <a:r>
            <a:rPr lang="en-US" sz="1000">
              <a:solidFill>
                <a:srgbClr val="706A6A"/>
              </a:solidFill>
            </a:rPr>
            <a:t>01/10/2022</a:t>
          </a:r>
        </a:p>
        <a:p>
          <a:endParaRPr lang="he-IL" sz="1000">
            <a:solidFill>
              <a:srgbClr val="706A6A"/>
            </a:solidFill>
          </a:endParaRPr>
        </a:p>
      </xdr:txBody>
    </xdr:sp>
    <xdr:clientData/>
  </xdr:twoCellAnchor>
  <xdr:twoCellAnchor>
    <xdr:from>
      <xdr:col>7</xdr:col>
      <xdr:colOff>1098176</xdr:colOff>
      <xdr:row>25</xdr:row>
      <xdr:rowOff>123265</xdr:rowOff>
    </xdr:from>
    <xdr:to>
      <xdr:col>10</xdr:col>
      <xdr:colOff>1243852</xdr:colOff>
      <xdr:row>42</xdr:row>
      <xdr:rowOff>156883</xdr:rowOff>
    </xdr:to>
    <xdr:graphicFrame macro="">
      <xdr:nvGraphicFramePr>
        <xdr:cNvPr id="19471" name="Chart 19470">
          <a:extLst>
            <a:ext uri="{FF2B5EF4-FFF2-40B4-BE49-F238E27FC236}">
              <a16:creationId xmlns:a16="http://schemas.microsoft.com/office/drawing/2014/main" id="{D018801D-B5F0-44D8-AF82-0B867679B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56031</xdr:colOff>
      <xdr:row>25</xdr:row>
      <xdr:rowOff>22413</xdr:rowOff>
    </xdr:from>
    <xdr:to>
      <xdr:col>7</xdr:col>
      <xdr:colOff>1042147</xdr:colOff>
      <xdr:row>44</xdr:row>
      <xdr:rowOff>56029</xdr:rowOff>
    </xdr:to>
    <xdr:graphicFrame macro="">
      <xdr:nvGraphicFramePr>
        <xdr:cNvPr id="6" name="Chart 5">
          <a:extLst>
            <a:ext uri="{FF2B5EF4-FFF2-40B4-BE49-F238E27FC236}">
              <a16:creationId xmlns:a16="http://schemas.microsoft.com/office/drawing/2014/main" id="{AE0F830D-5900-4001-BF9C-C5402B907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179293</xdr:colOff>
      <xdr:row>25</xdr:row>
      <xdr:rowOff>134472</xdr:rowOff>
    </xdr:from>
    <xdr:to>
      <xdr:col>3</xdr:col>
      <xdr:colOff>1053353</xdr:colOff>
      <xdr:row>44</xdr:row>
      <xdr:rowOff>67236</xdr:rowOff>
    </xdr:to>
    <xdr:graphicFrame macro="">
      <xdr:nvGraphicFramePr>
        <xdr:cNvPr id="12" name="Chart 11">
          <a:extLst>
            <a:ext uri="{FF2B5EF4-FFF2-40B4-BE49-F238E27FC236}">
              <a16:creationId xmlns:a16="http://schemas.microsoft.com/office/drawing/2014/main" id="{B8F16A4E-0F8B-48BB-8F60-E0E784A3F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280146</xdr:colOff>
      <xdr:row>24</xdr:row>
      <xdr:rowOff>56029</xdr:rowOff>
    </xdr:from>
    <xdr:to>
      <xdr:col>13</xdr:col>
      <xdr:colOff>549089</xdr:colOff>
      <xdr:row>25</xdr:row>
      <xdr:rowOff>156882</xdr:rowOff>
    </xdr:to>
    <xdr:sp macro="" textlink="">
      <xdr:nvSpPr>
        <xdr:cNvPr id="14" name="TextBox 13">
          <a:extLst>
            <a:ext uri="{FF2B5EF4-FFF2-40B4-BE49-F238E27FC236}">
              <a16:creationId xmlns:a16="http://schemas.microsoft.com/office/drawing/2014/main" id="{23529FC4-6C93-441B-1128-55377CA07C7E}"/>
            </a:ext>
          </a:extLst>
        </xdr:cNvPr>
        <xdr:cNvSpPr txBox="1"/>
      </xdr:nvSpPr>
      <xdr:spPr>
        <a:xfrm>
          <a:off x="16820028" y="4572000"/>
          <a:ext cx="1322296" cy="280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i="0" u="none" strike="noStrike">
              <a:solidFill>
                <a:srgbClr val="394659"/>
              </a:solidFill>
              <a:effectLst/>
              <a:latin typeface="Segoe UI" panose="020B0502040204020203" pitchFamily="34" charset="0"/>
              <a:ea typeface="+mn-ea"/>
              <a:cs typeface="Segoe UI" panose="020B0502040204020203" pitchFamily="34" charset="0"/>
            </a:rPr>
            <a:t>Stress Test</a:t>
          </a:r>
          <a:r>
            <a:rPr lang="en-US" sz="1200">
              <a:solidFill>
                <a:srgbClr val="394659"/>
              </a:solidFill>
              <a:effectLst/>
              <a:latin typeface="Segoe UI" panose="020B0502040204020203" pitchFamily="34" charset="0"/>
              <a:cs typeface="Segoe UI" panose="020B0502040204020203" pitchFamily="34" charset="0"/>
            </a:rPr>
            <a:t> </a:t>
          </a:r>
          <a:endParaRPr lang="he-IL" sz="1200">
            <a:solidFill>
              <a:srgbClr val="394659"/>
            </a:solidFill>
            <a:latin typeface="Segoe UI" panose="020B0502040204020203" pitchFamily="34" charset="0"/>
            <a:cs typeface="Segoe UI" panose="020B0502040204020203" pitchFamily="34" charset="0"/>
          </a:endParaRPr>
        </a:p>
      </xdr:txBody>
    </xdr:sp>
    <xdr:clientData/>
  </xdr:twoCellAnchor>
  <xdr:twoCellAnchor>
    <xdr:from>
      <xdr:col>0</xdr:col>
      <xdr:colOff>1210236</xdr:colOff>
      <xdr:row>21</xdr:row>
      <xdr:rowOff>89648</xdr:rowOff>
    </xdr:from>
    <xdr:to>
      <xdr:col>1</xdr:col>
      <xdr:colOff>381001</xdr:colOff>
      <xdr:row>22</xdr:row>
      <xdr:rowOff>145678</xdr:rowOff>
    </xdr:to>
    <xdr:sp macro="" textlink="CAPM!R6">
      <xdr:nvSpPr>
        <xdr:cNvPr id="15" name="TextBox 14">
          <a:extLst>
            <a:ext uri="{FF2B5EF4-FFF2-40B4-BE49-F238E27FC236}">
              <a16:creationId xmlns:a16="http://schemas.microsoft.com/office/drawing/2014/main" id="{60E8C708-32FC-A5AF-746B-BD12A98F964A}"/>
            </a:ext>
          </a:extLst>
        </xdr:cNvPr>
        <xdr:cNvSpPr txBox="1"/>
      </xdr:nvSpPr>
      <xdr:spPr>
        <a:xfrm>
          <a:off x="1210236" y="4067736"/>
          <a:ext cx="593912" cy="2353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F46EC374-E0CA-4459-89CF-1A9D7E204938}" type="TxLink">
            <a:rPr lang="en-US" sz="1100" b="0" i="0" u="none" strike="noStrike">
              <a:solidFill>
                <a:srgbClr val="000000"/>
              </a:solidFill>
              <a:latin typeface="Segoe UI" panose="020B0502040204020203" pitchFamily="34" charset="0"/>
              <a:cs typeface="Segoe UI" panose="020B0502040204020203" pitchFamily="34" charset="0"/>
            </a:rPr>
            <a:pPr/>
            <a:t>1.24%</a:t>
          </a:fld>
          <a:endParaRPr lang="he-IL" sz="1100">
            <a:latin typeface="Segoe UI" panose="020B0502040204020203" pitchFamily="34" charset="0"/>
            <a:cs typeface="Segoe UI" panose="020B0502040204020203" pitchFamily="34" charset="0"/>
          </a:endParaRPr>
        </a:p>
      </xdr:txBody>
    </xdr:sp>
    <xdr:clientData/>
  </xdr:twoCellAnchor>
  <xdr:twoCellAnchor>
    <xdr:from>
      <xdr:col>9</xdr:col>
      <xdr:colOff>986118</xdr:colOff>
      <xdr:row>5</xdr:row>
      <xdr:rowOff>112058</xdr:rowOff>
    </xdr:from>
    <xdr:to>
      <xdr:col>14</xdr:col>
      <xdr:colOff>963706</xdr:colOff>
      <xdr:row>22</xdr:row>
      <xdr:rowOff>123265</xdr:rowOff>
    </xdr:to>
    <xdr:graphicFrame macro="">
      <xdr:nvGraphicFramePr>
        <xdr:cNvPr id="13" name="Chart 12">
          <a:extLst>
            <a:ext uri="{FF2B5EF4-FFF2-40B4-BE49-F238E27FC236}">
              <a16:creationId xmlns:a16="http://schemas.microsoft.com/office/drawing/2014/main" id="{4291A36A-5E7B-4DDC-9494-49BE5D0E3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1120589</xdr:colOff>
      <xdr:row>24</xdr:row>
      <xdr:rowOff>22412</xdr:rowOff>
    </xdr:from>
    <xdr:to>
      <xdr:col>10</xdr:col>
      <xdr:colOff>896471</xdr:colOff>
      <xdr:row>26</xdr:row>
      <xdr:rowOff>0</xdr:rowOff>
    </xdr:to>
    <xdr:sp macro="" textlink="">
      <xdr:nvSpPr>
        <xdr:cNvPr id="16" name="TextBox 15">
          <a:extLst>
            <a:ext uri="{FF2B5EF4-FFF2-40B4-BE49-F238E27FC236}">
              <a16:creationId xmlns:a16="http://schemas.microsoft.com/office/drawing/2014/main" id="{C1172A5D-4F86-A745-B444-619C5E73FA8B}"/>
            </a:ext>
          </a:extLst>
        </xdr:cNvPr>
        <xdr:cNvSpPr txBox="1"/>
      </xdr:nvSpPr>
      <xdr:spPr>
        <a:xfrm>
          <a:off x="10858501" y="4538383"/>
          <a:ext cx="4056529" cy="336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b="1" i="0" u="none" strike="noStrike">
              <a:solidFill>
                <a:schemeClr val="dk1"/>
              </a:solidFill>
              <a:effectLst/>
              <a:latin typeface="+mn-lt"/>
              <a:ea typeface="+mn-ea"/>
              <a:cs typeface="+mn-cs"/>
            </a:rPr>
            <a:t>Initial Assets</a:t>
          </a:r>
          <a:r>
            <a:rPr lang="en-US" sz="1100" b="0" i="0" u="none" strike="noStrike">
              <a:solidFill>
                <a:schemeClr val="dk1"/>
              </a:solidFill>
              <a:effectLst/>
              <a:latin typeface="+mn-lt"/>
              <a:ea typeface="+mn-ea"/>
              <a:cs typeface="+mn-cs"/>
            </a:rPr>
            <a:t>:</a:t>
          </a:r>
          <a:r>
            <a:rPr lang="en-US" sz="1100" b="0" i="0" u="none" strike="noStrike" baseline="0">
              <a:solidFill>
                <a:schemeClr val="dk1"/>
              </a:solidFill>
              <a:effectLst/>
              <a:latin typeface="+mn-lt"/>
              <a:ea typeface="+mn-ea"/>
              <a:cs typeface="+mn-cs"/>
            </a:rPr>
            <a:t> GLD, XOM, SPY, JPM, NVDA, PG, TLT, VGT, VNQ, VXUS</a:t>
          </a:r>
          <a:endParaRPr lang="he-IL" sz="1100"/>
        </a:p>
      </xdr:txBody>
    </xdr:sp>
    <xdr:clientData/>
  </xdr:twoCellAnchor>
  <xdr:twoCellAnchor>
    <xdr:from>
      <xdr:col>11</xdr:col>
      <xdr:colOff>123264</xdr:colOff>
      <xdr:row>33</xdr:row>
      <xdr:rowOff>44823</xdr:rowOff>
    </xdr:from>
    <xdr:to>
      <xdr:col>13</xdr:col>
      <xdr:colOff>1120587</xdr:colOff>
      <xdr:row>34</xdr:row>
      <xdr:rowOff>156882</xdr:rowOff>
    </xdr:to>
    <xdr:sp macro="" textlink="">
      <xdr:nvSpPr>
        <xdr:cNvPr id="17" name="TextBox 16">
          <a:extLst>
            <a:ext uri="{FF2B5EF4-FFF2-40B4-BE49-F238E27FC236}">
              <a16:creationId xmlns:a16="http://schemas.microsoft.com/office/drawing/2014/main" id="{104C48E3-5AAB-1267-24CD-1B8D0BD86DB1}"/>
            </a:ext>
          </a:extLst>
        </xdr:cNvPr>
        <xdr:cNvSpPr txBox="1"/>
      </xdr:nvSpPr>
      <xdr:spPr>
        <a:xfrm>
          <a:off x="15441705" y="6185647"/>
          <a:ext cx="3272117" cy="2913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rgbClr val="394659"/>
              </a:solidFill>
              <a:latin typeface="Segoe UI" panose="020B0502040204020203" pitchFamily="34" charset="0"/>
              <a:cs typeface="Segoe UI" panose="020B0502040204020203" pitchFamily="34" charset="0"/>
            </a:rPr>
            <a:t>Initial vs Final Portfolio (Annual Metrics)</a:t>
          </a:r>
          <a:endParaRPr lang="he-IL" sz="1200" b="1">
            <a:solidFill>
              <a:srgbClr val="394659"/>
            </a:solidFill>
            <a:latin typeface="Segoe UI" panose="020B0502040204020203" pitchFamily="34" charset="0"/>
            <a:cs typeface="Segoe UI" panose="020B0502040204020203" pitchFamily="34" charset="0"/>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ADFD2C-594E-4AB7-BF99-DB6F4229243D}" name="Table2" displayName="Table2" ref="A2:B135" totalsRowShown="0">
  <autoFilter ref="A2:B135" xr:uid="{DEADFD2C-594E-4AB7-BF99-DB6F4229243D}"/>
  <tableColumns count="2">
    <tableColumn id="1" xr3:uid="{371979D0-7E03-4AE9-B13B-BE8888B6575C}" name="Date" dataDxfId="37"/>
    <tableColumn id="2" xr3:uid="{2463CFB1-80BB-4492-836B-2F4DC95A0293}" name="Pri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A8A0C7-2B3C-4205-9DF9-2A346CCA2A4B}" name="Table3" displayName="Table3" ref="A139:B272" totalsRowShown="0">
  <autoFilter ref="A139:B272" xr:uid="{05A8A0C7-2B3C-4205-9DF9-2A346CCA2A4B}"/>
  <tableColumns count="2">
    <tableColumn id="1" xr3:uid="{114418E9-F9AC-4856-AF8F-457CCB91B21C}" name="Date" dataDxfId="36"/>
    <tableColumn id="2" xr3:uid="{941F8D6D-53F8-4096-9D1E-8C0175E16F33}" name="Pri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FADA96-CE26-4D8D-A815-0AC67088BF55}" name="Table4" displayName="Table4" ref="A276:B409" totalsRowShown="0">
  <autoFilter ref="A276:B409" xr:uid="{E0FADA96-CE26-4D8D-A815-0AC67088BF55}"/>
  <tableColumns count="2">
    <tableColumn id="1" xr3:uid="{53D6895A-EF55-4312-905B-0FEE8D7BC6AB}" name="Date" dataDxfId="35"/>
    <tableColumn id="2" xr3:uid="{188AFD79-2E12-44C4-8495-E34FC2E97DAF}" name="Pri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023490-37A0-46A1-930B-7214065F7757}" name="Table5" displayName="Table5" ref="A413:B546" totalsRowShown="0">
  <autoFilter ref="A413:B546" xr:uid="{91023490-37A0-46A1-930B-7214065F7757}"/>
  <tableColumns count="2">
    <tableColumn id="1" xr3:uid="{DCF2029A-38BB-4C17-8740-294453822D18}" name="Date" dataDxfId="34"/>
    <tableColumn id="2" xr3:uid="{F02F926F-3AB7-4775-90E4-DA435E9DE81C}" name="Pri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8842D4C-02A6-42EB-AA47-8610122DF93F}" name="Table6" displayName="Table6" ref="A551:B684" totalsRowShown="0">
  <autoFilter ref="A551:B684" xr:uid="{28842D4C-02A6-42EB-AA47-8610122DF93F}"/>
  <tableColumns count="2">
    <tableColumn id="1" xr3:uid="{D96E1AC0-1BC8-4C41-AAA2-010B56138991}" name="Date" dataDxfId="33"/>
    <tableColumn id="2" xr3:uid="{1791E991-E7C5-4986-BEEB-9E4ECC749D73}" name="Pri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71A5E3-6225-4759-B54C-86B8D095930A}" name="PG" displayName="PG" ref="A688:C821" totalsRowShown="0">
  <autoFilter ref="A688:C821" xr:uid="{C071A5E3-6225-4759-B54C-86B8D095930A}"/>
  <tableColumns count="3">
    <tableColumn id="1" xr3:uid="{BAFD48BB-2B1A-4566-A94D-CABA0328E200}" name="Date" dataDxfId="32"/>
    <tableColumn id="2" xr3:uid="{92DCB3A4-9964-488F-A5E3-2D921B9575A5}" name="PG"/>
    <tableColumn id="3" xr3:uid="{6B52DA42-DA1C-4171-9365-ED83EF1BFC11}" name="Date_Fixed" dataDxfId="31">
      <calculatedColumnFormula>DATE(YEAR(A689),DAY(A689),MONTH(A689))</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9A81A7-A03C-45B0-901F-F958A5A1E233}" name="TLT" displayName="TLT" ref="A826:C959" totalsRowShown="0">
  <autoFilter ref="A826:C959" xr:uid="{CE9A81A7-A03C-45B0-901F-F958A5A1E233}"/>
  <tableColumns count="3">
    <tableColumn id="1" xr3:uid="{B5B95E67-EA6C-4E7F-AFD3-CA159DB92CEB}" name="Date" dataDxfId="30"/>
    <tableColumn id="2" xr3:uid="{324108DF-9B72-413F-A3B9-5BE9EF1A5505}" name="TLT"/>
    <tableColumn id="3" xr3:uid="{F855E7AA-BB2E-46F0-AC72-9A4254015F0C}" name="Date_Fixed" dataDxfId="29">
      <calculatedColumnFormula>DATE(YEAR(TLT[[#This Row],[Date]]),DAY(TLT[[#This Row],[Date]]),MONTH(TLT[[#This Row],[Date]]))</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A0AADCA-18F0-4E02-953E-6365DF514121}" name="VGT" displayName="VGT" ref="A964:C1097" totalsRowShown="0">
  <autoFilter ref="A964:C1097" xr:uid="{EA0AADCA-18F0-4E02-953E-6365DF514121}"/>
  <tableColumns count="3">
    <tableColumn id="1" xr3:uid="{E513E0BC-CACD-4D1F-852F-8A27327BF20B}" name="Date" dataDxfId="28"/>
    <tableColumn id="2" xr3:uid="{26926E4A-0D2A-4E59-A177-5CD1B7FBAF76}" name="VGT"/>
    <tableColumn id="3" xr3:uid="{5E8462C0-3149-493E-8E78-E522376C281A}" name="Date_Fixed" dataDxfId="27">
      <calculatedColumnFormula>DATE(YEAR(VGT[[#This Row],[Date]]),DAY(VGT[[#This Row],[Date]]),MONTH(VGT[[#This Row],[Date]]))</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BC30197-AA81-4D54-B6BA-BC3A77043886}" name="VNQ" displayName="VNQ" ref="A1102:C1235" totalsRowShown="0">
  <autoFilter ref="A1102:C1235" xr:uid="{BBC30197-AA81-4D54-B6BA-BC3A77043886}"/>
  <tableColumns count="3">
    <tableColumn id="1" xr3:uid="{EB0EA7A7-D0C2-4386-B049-22D73D3BEE3B}" name="Date" dataDxfId="26"/>
    <tableColumn id="2" xr3:uid="{90ABAE22-9AD3-4099-8886-92A322951FCF}" name="VNQ"/>
    <tableColumn id="3" xr3:uid="{91D1FA6F-F3B7-4E81-92AB-A51795B2AD3A}" name="Date_Fixed" dataDxfId="25">
      <calculatedColumnFormula>DATE(YEAR(VNQ[[#This Row],[Date]]),DAY(VNQ[[#This Row],[Date]]),MONTH(VNQ[[#This Row],[Date]]))</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9205423-18C9-4BF4-924A-BBC32497378F}" name="VXUS" displayName="VXUS" ref="A1240:C1373" totalsRowShown="0">
  <autoFilter ref="A1240:C1373" xr:uid="{79205423-18C9-4BF4-924A-BBC32497378F}"/>
  <tableColumns count="3">
    <tableColumn id="1" xr3:uid="{93F8C185-1460-4A20-87F3-DD624A1D167E}" name="Date" dataDxfId="24"/>
    <tableColumn id="2" xr3:uid="{BCB8F97C-463F-446B-A4B2-C492CC57CAF9}" name="VXUS"/>
    <tableColumn id="3" xr3:uid="{B9A53C19-9315-46DF-85A6-00BF2D32F871}" name="Date_Fixed" dataDxfId="23">
      <calculatedColumnFormula>DATE(YEAR(VXUS[[#This Row],[Date]]),DAY(VXUS[[#This Row],[Date]]),MONTH(VXUS[[#This Row],[Date]]))</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E357A2-57B8-43B2-B573-99866B0CD3A0}" name="Table_RawData" displayName="Table_RawData" ref="A1:K135" totalsRowCount="1">
  <autoFilter ref="A1:K134" xr:uid="{ADE357A2-57B8-43B2-B573-99866B0CD3A0}"/>
  <tableColumns count="11">
    <tableColumn id="1" xr3:uid="{89F2FAE6-22BD-40DD-9E1A-2614FD38ED27}" name="Date" totalsRowLabel="Total" dataDxfId="22" totalsRowDxfId="21">
      <calculatedColumnFormula>EDATE(A1,1)</calculatedColumnFormula>
    </tableColumn>
    <tableColumn id="2" xr3:uid="{40E223B6-EA5D-4A2D-8F84-68E6423CF00B}" name="GLD" totalsRowFunction="custom">
      <calculatedColumnFormula>INDEX(Table2[Price],MATCH(TimeLine!A2,Table2[Date],0))</calculatedColumnFormula>
      <totalsRowFormula>COUNT(Table_RawData[GLD])</totalsRowFormula>
    </tableColumn>
    <tableColumn id="3" xr3:uid="{65735324-6738-40E0-9EAE-E9A0DFFCAAC2}" name="XOM" totalsRowFunction="custom">
      <calculatedColumnFormula>INDEX(Table3[Price],MATCH(TimeLine!A2,Table3[Date],0))</calculatedColumnFormula>
      <totalsRowFormula>COUNT(Table_RawData[XOM])</totalsRowFormula>
    </tableColumn>
    <tableColumn id="4" xr3:uid="{0DAB64E0-DFBC-4B4E-A608-2B356823A6F3}" name="SPY" totalsRowFunction="custom">
      <calculatedColumnFormula>INDEX(Table4[Price],MATCH(TimeLine!A2,Table4[Date],0))</calculatedColumnFormula>
      <totalsRowFormula>COUNT(Table_RawData[SPY])</totalsRowFormula>
    </tableColumn>
    <tableColumn id="5" xr3:uid="{382A57B5-721F-42BC-B99E-399D008A2C24}" name="JPM" totalsRowFunction="custom">
      <calculatedColumnFormula>INDEX(Table5[Price],MATCH(TimeLine!A2,Table5[Date],0))</calculatedColumnFormula>
      <totalsRowFormula>COUNT(Table_RawData[JPM])</totalsRowFormula>
    </tableColumn>
    <tableColumn id="6" xr3:uid="{FB3EA1EB-73DB-4870-A501-506DB9CCC4C0}" name="NVDA" totalsRowFunction="custom">
      <calculatedColumnFormula>INDEX(Table6[Price],MATCH(TimeLine!A2,Table6[Date],0))</calculatedColumnFormula>
      <totalsRowFormula>COUNT(Table_RawData[NVDA])</totalsRowFormula>
    </tableColumn>
    <tableColumn id="7" xr3:uid="{5639DC08-DB14-433D-837E-E9C8A08807F3}" name="PG" totalsRowFunction="custom" dataDxfId="20">
      <calculatedColumnFormula>INDEX(PG[PG],MATCH(Table_RawData[[#This Row],[Date]],PG[Date],0))</calculatedColumnFormula>
      <totalsRowFormula>COUNT(Table_RawData[PG])</totalsRowFormula>
    </tableColumn>
    <tableColumn id="8" xr3:uid="{DD4FAB8B-10EA-4C96-8A66-5D905205B10A}" name="TLT" totalsRowFunction="custom" dataDxfId="19">
      <calculatedColumnFormula>INDEX(TLT[TLT],MATCH(Table_RawData[[#This Row],[Date]],TLT[Date],0))</calculatedColumnFormula>
      <totalsRowFormula>COUNT(Table_RawData[TLT])</totalsRowFormula>
    </tableColumn>
    <tableColumn id="9" xr3:uid="{16A0866A-1D7B-4F33-948E-10A50BAF58D4}" name="VGT" totalsRowFunction="custom" dataDxfId="18">
      <calculatedColumnFormula>INDEX(VGT[VGT],MATCH(Table_RawData[[#This Row],[Date]],VGT[Date],0))</calculatedColumnFormula>
      <totalsRowFormula>COUNT(Table_RawData[VGT])</totalsRowFormula>
    </tableColumn>
    <tableColumn id="10" xr3:uid="{96F5F2AD-979B-43B1-908A-8F3AE18E3084}" name="VNQ" totalsRowFunction="custom" dataDxfId="17">
      <calculatedColumnFormula>INDEX(VNQ[VNQ],MATCH(Table_RawData[[#This Row],[Date]],VNQ[Date],0))</calculatedColumnFormula>
      <totalsRowFormula>COUNT(Table_RawData[VNQ])</totalsRowFormula>
    </tableColumn>
    <tableColumn id="11" xr3:uid="{B14D5E91-787F-43F3-A671-E8639B8FCC98}" name="VXUS" totalsRowFunction="custom" dataDxfId="16">
      <calculatedColumnFormula>INDEX(VXUS[VXUS],MATCH(Table_RawData[[#This Row],[Date]],VXUS[Date],0))</calculatedColumnFormula>
      <totalsRowFormula>COUNT(Table_RawData[VXUS])</totalsRow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E1C7160-FC22-47E1-96E8-34D8446E8B92}" name="Table12" displayName="Table12" ref="A2:K134" totalsRowShown="0" headerRowDxfId="15" dataDxfId="13" headerRowBorderDxfId="14" tableBorderDxfId="12" totalsRowBorderDxfId="11">
  <autoFilter ref="A2:K134" xr:uid="{2E1C7160-FC22-47E1-96E8-34D8446E8B92}"/>
  <tableColumns count="11">
    <tableColumn id="1" xr3:uid="{8AA90E5A-54F4-478E-8307-7B0BEEF2D421}" name="Date" dataDxfId="10">
      <calculatedColumnFormula>TimeLine!A3</calculatedColumnFormula>
    </tableColumn>
    <tableColumn id="2" xr3:uid="{B5D613FD-6D82-4045-A8E6-51BDF238D7EF}" name="GLD" dataDxfId="9">
      <calculatedColumnFormula>IFERROR((TimeLine!B3/TimeLine!B2)-1, NA())</calculatedColumnFormula>
    </tableColumn>
    <tableColumn id="3" xr3:uid="{5E29BA17-D37B-495A-A56B-85D70E665C67}" name="XOM" dataDxfId="8">
      <calculatedColumnFormula>IFERROR((TimeLine!C3/TimeLine!C2)-1, NA())</calculatedColumnFormula>
    </tableColumn>
    <tableColumn id="4" xr3:uid="{9E918CFF-7427-449A-872F-6E5DE47598D2}" name="SPY" dataDxfId="7">
      <calculatedColumnFormula>IFERROR((TimeLine!D3/TimeLine!D2)-1, NA())</calculatedColumnFormula>
    </tableColumn>
    <tableColumn id="5" xr3:uid="{F3591438-79C8-4F28-B7DE-8D275CBDED41}" name="JPM" dataDxfId="6">
      <calculatedColumnFormula>IFERROR((TimeLine!E3/TimeLine!E2)-1, NA())</calculatedColumnFormula>
    </tableColumn>
    <tableColumn id="6" xr3:uid="{A50FF15C-B75F-4A46-A85C-2C8A13ABB747}" name="NVDA" dataDxfId="5">
      <calculatedColumnFormula>IFERROR((TimeLine!F3/TimeLine!F2)-1, NA())</calculatedColumnFormula>
    </tableColumn>
    <tableColumn id="7" xr3:uid="{A5E4C839-D2F2-435A-9E72-360EC7B2E4FA}" name="PG" dataDxfId="4">
      <calculatedColumnFormula>IFERROR((TimeLine!G3/TimeLine!G2)-1, NA())</calculatedColumnFormula>
    </tableColumn>
    <tableColumn id="8" xr3:uid="{EBF5CD45-95A6-47D7-A68D-F190D54D0FDD}" name="TLT" dataDxfId="3">
      <calculatedColumnFormula>IFERROR((TimeLine!H3/TimeLine!H2)-1, NA())</calculatedColumnFormula>
    </tableColumn>
    <tableColumn id="9" xr3:uid="{6AB34560-82F8-4676-AB50-79AD3C6A3D13}" name="VGT" dataDxfId="2">
      <calculatedColumnFormula>IFERROR((TimeLine!I3/TimeLine!I2)-1, NA())</calculatedColumnFormula>
    </tableColumn>
    <tableColumn id="10" xr3:uid="{3718FEE2-E288-4DA1-959A-D2224831B75D}" name="VNQ" dataDxfId="1">
      <calculatedColumnFormula>IFERROR((TimeLine!J3/TimeLine!J2)-1, NA())</calculatedColumnFormula>
    </tableColumn>
    <tableColumn id="11" xr3:uid="{0DCCEF86-5C2A-4FC7-9A83-E3D379F18266}" name="VXUS" dataDxfId="0">
      <calculatedColumnFormula>IFERROR((TimeLine!K3/TimeLine!K2)-1, NA())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69"/>
  <sheetViews>
    <sheetView workbookViewId="0">
      <selection activeCell="L138" sqref="L138"/>
    </sheetView>
  </sheetViews>
  <sheetFormatPr defaultRowHeight="14.25" x14ac:dyDescent="0.2"/>
  <cols>
    <col min="1" max="1" width="9.875" bestFit="1" customWidth="1"/>
  </cols>
  <sheetData>
    <row r="1" spans="1:7" x14ac:dyDescent="0.2">
      <c r="A1" s="104" t="s">
        <v>139</v>
      </c>
      <c r="B1" s="104"/>
      <c r="C1" s="104"/>
      <c r="D1" s="104"/>
      <c r="E1" s="104"/>
      <c r="F1" s="104"/>
      <c r="G1" s="104"/>
    </row>
    <row r="2" spans="1:7" x14ac:dyDescent="0.2">
      <c r="A2" t="s">
        <v>0</v>
      </c>
      <c r="B2" t="s">
        <v>1</v>
      </c>
      <c r="C2" t="s">
        <v>2</v>
      </c>
      <c r="D2" t="s">
        <v>3</v>
      </c>
      <c r="E2" t="s">
        <v>4</v>
      </c>
      <c r="F2" t="s">
        <v>5</v>
      </c>
      <c r="G2" t="s">
        <v>6</v>
      </c>
    </row>
    <row r="3" spans="1:7" x14ac:dyDescent="0.2">
      <c r="A3" s="1">
        <v>46023</v>
      </c>
      <c r="B3">
        <v>421.29</v>
      </c>
      <c r="C3">
        <v>401.8</v>
      </c>
      <c r="D3">
        <v>426.84</v>
      </c>
      <c r="E3">
        <v>396.31</v>
      </c>
      <c r="F3" t="s">
        <v>7</v>
      </c>
      <c r="G3" s="2">
        <v>6.3E-2</v>
      </c>
    </row>
    <row r="4" spans="1:7" x14ac:dyDescent="0.2">
      <c r="A4" s="1">
        <v>45669</v>
      </c>
      <c r="B4">
        <v>396.31</v>
      </c>
      <c r="C4">
        <v>390.61</v>
      </c>
      <c r="D4">
        <v>418.45</v>
      </c>
      <c r="E4">
        <v>382.91</v>
      </c>
      <c r="F4" t="s">
        <v>8</v>
      </c>
      <c r="G4" s="2">
        <v>2.1700000000000001E-2</v>
      </c>
    </row>
    <row r="5" spans="1:7" x14ac:dyDescent="0.2">
      <c r="A5" s="1">
        <v>45668</v>
      </c>
      <c r="B5">
        <v>387.88</v>
      </c>
      <c r="C5">
        <v>368.91</v>
      </c>
      <c r="D5">
        <v>388.18</v>
      </c>
      <c r="E5">
        <v>361.39</v>
      </c>
      <c r="F5" t="s">
        <v>9</v>
      </c>
      <c r="G5" s="2">
        <v>5.3699999999999998E-2</v>
      </c>
    </row>
    <row r="6" spans="1:7" x14ac:dyDescent="0.2">
      <c r="A6" s="1">
        <v>45667</v>
      </c>
      <c r="B6">
        <v>368.12</v>
      </c>
      <c r="C6">
        <v>356.17</v>
      </c>
      <c r="D6">
        <v>403.3</v>
      </c>
      <c r="E6">
        <v>351.4</v>
      </c>
      <c r="F6" t="s">
        <v>10</v>
      </c>
      <c r="G6" s="2">
        <v>3.56E-2</v>
      </c>
    </row>
    <row r="7" spans="1:7" x14ac:dyDescent="0.2">
      <c r="A7" s="1">
        <v>45666</v>
      </c>
      <c r="B7">
        <v>355.47</v>
      </c>
      <c r="C7">
        <v>320.82</v>
      </c>
      <c r="D7">
        <v>355.57</v>
      </c>
      <c r="E7">
        <v>320.24</v>
      </c>
      <c r="F7" t="s">
        <v>11</v>
      </c>
      <c r="G7" s="2">
        <v>0.1176</v>
      </c>
    </row>
    <row r="8" spans="1:7" x14ac:dyDescent="0.2">
      <c r="A8" s="1">
        <v>45665</v>
      </c>
      <c r="B8">
        <v>318.07</v>
      </c>
      <c r="C8">
        <v>308.61</v>
      </c>
      <c r="D8">
        <v>318.08999999999997</v>
      </c>
      <c r="E8">
        <v>305.19</v>
      </c>
      <c r="F8" t="s">
        <v>12</v>
      </c>
      <c r="G8" s="2">
        <v>4.99E-2</v>
      </c>
    </row>
    <row r="9" spans="1:7" x14ac:dyDescent="0.2">
      <c r="A9" s="1">
        <v>45664</v>
      </c>
      <c r="B9">
        <v>302.95999999999998</v>
      </c>
      <c r="C9">
        <v>308.55</v>
      </c>
      <c r="D9">
        <v>316.24</v>
      </c>
      <c r="E9">
        <v>300.95</v>
      </c>
      <c r="F9" t="s">
        <v>13</v>
      </c>
      <c r="G9" s="2">
        <v>-6.1000000000000004E-3</v>
      </c>
    </row>
    <row r="10" spans="1:7" x14ac:dyDescent="0.2">
      <c r="A10" s="1">
        <v>45663</v>
      </c>
      <c r="B10">
        <v>304.83</v>
      </c>
      <c r="C10">
        <v>309.20999999999998</v>
      </c>
      <c r="D10">
        <v>317.60000000000002</v>
      </c>
      <c r="E10">
        <v>299.89</v>
      </c>
      <c r="F10" t="s">
        <v>14</v>
      </c>
      <c r="G10" s="2">
        <v>4.1000000000000003E-3</v>
      </c>
    </row>
    <row r="11" spans="1:7" x14ac:dyDescent="0.2">
      <c r="A11" s="1">
        <v>45662</v>
      </c>
      <c r="B11">
        <v>303.60000000000002</v>
      </c>
      <c r="C11">
        <v>297.41000000000003</v>
      </c>
      <c r="D11">
        <v>315.62</v>
      </c>
      <c r="E11">
        <v>291.77999999999997</v>
      </c>
      <c r="F11" t="s">
        <v>15</v>
      </c>
      <c r="G11" s="2">
        <v>-5.9999999999999995E-4</v>
      </c>
    </row>
    <row r="12" spans="1:7" x14ac:dyDescent="0.2">
      <c r="A12" s="1">
        <v>45661</v>
      </c>
      <c r="B12">
        <v>303.77</v>
      </c>
      <c r="C12">
        <v>288.54000000000002</v>
      </c>
      <c r="D12">
        <v>317.63</v>
      </c>
      <c r="E12">
        <v>272.58</v>
      </c>
      <c r="F12" t="s">
        <v>16</v>
      </c>
      <c r="G12" s="2">
        <v>5.4199999999999998E-2</v>
      </c>
    </row>
    <row r="13" spans="1:7" x14ac:dyDescent="0.2">
      <c r="A13" s="1">
        <v>45660</v>
      </c>
      <c r="B13">
        <v>288.14</v>
      </c>
      <c r="C13">
        <v>265.07</v>
      </c>
      <c r="D13">
        <v>288.39</v>
      </c>
      <c r="E13">
        <v>265.07</v>
      </c>
      <c r="F13" t="s">
        <v>17</v>
      </c>
      <c r="G13" s="2">
        <v>9.4500000000000001E-2</v>
      </c>
    </row>
    <row r="14" spans="1:7" x14ac:dyDescent="0.2">
      <c r="A14" s="1">
        <v>45659</v>
      </c>
      <c r="B14">
        <v>263.27</v>
      </c>
      <c r="C14">
        <v>259.75</v>
      </c>
      <c r="D14">
        <v>272.32</v>
      </c>
      <c r="E14">
        <v>259.52</v>
      </c>
      <c r="F14" t="s">
        <v>18</v>
      </c>
      <c r="G14" s="2">
        <v>1.8200000000000001E-2</v>
      </c>
    </row>
    <row r="15" spans="1:7" x14ac:dyDescent="0.2">
      <c r="A15" s="1">
        <v>45658</v>
      </c>
      <c r="B15">
        <v>258.56</v>
      </c>
      <c r="C15">
        <v>244.22</v>
      </c>
      <c r="D15">
        <v>259.99</v>
      </c>
      <c r="E15">
        <v>242.05</v>
      </c>
      <c r="F15" t="s">
        <v>19</v>
      </c>
      <c r="G15" s="2">
        <v>6.7900000000000002E-2</v>
      </c>
    </row>
    <row r="16" spans="1:7" x14ac:dyDescent="0.2">
      <c r="A16" s="1">
        <v>45303</v>
      </c>
      <c r="B16">
        <v>242.13</v>
      </c>
      <c r="C16">
        <v>244.46</v>
      </c>
      <c r="D16">
        <v>251.26</v>
      </c>
      <c r="E16">
        <v>238.73</v>
      </c>
      <c r="F16" t="s">
        <v>20</v>
      </c>
      <c r="G16" s="2">
        <v>-1.41E-2</v>
      </c>
    </row>
    <row r="17" spans="1:7" x14ac:dyDescent="0.2">
      <c r="A17" s="1">
        <v>45302</v>
      </c>
      <c r="B17">
        <v>245.59</v>
      </c>
      <c r="C17">
        <v>254.33</v>
      </c>
      <c r="D17">
        <v>254.86</v>
      </c>
      <c r="E17">
        <v>236.13</v>
      </c>
      <c r="F17" t="s">
        <v>21</v>
      </c>
      <c r="G17" s="2">
        <v>-3.1199999999999999E-2</v>
      </c>
    </row>
    <row r="18" spans="1:7" x14ac:dyDescent="0.2">
      <c r="A18" s="1">
        <v>45301</v>
      </c>
      <c r="B18">
        <v>253.51</v>
      </c>
      <c r="C18">
        <v>245.2</v>
      </c>
      <c r="D18">
        <v>257.70999999999998</v>
      </c>
      <c r="E18">
        <v>240.63</v>
      </c>
      <c r="F18" t="s">
        <v>22</v>
      </c>
      <c r="G18" s="2">
        <v>4.2999999999999997E-2</v>
      </c>
    </row>
    <row r="19" spans="1:7" x14ac:dyDescent="0.2">
      <c r="A19" s="1">
        <v>45300</v>
      </c>
      <c r="B19">
        <v>243.06</v>
      </c>
      <c r="C19">
        <v>230.38</v>
      </c>
      <c r="D19">
        <v>247.37</v>
      </c>
      <c r="E19">
        <v>228.52</v>
      </c>
      <c r="F19" t="s">
        <v>23</v>
      </c>
      <c r="G19" s="2">
        <v>5.0900000000000001E-2</v>
      </c>
    </row>
    <row r="20" spans="1:7" x14ac:dyDescent="0.2">
      <c r="A20" s="1">
        <v>45299</v>
      </c>
      <c r="B20">
        <v>231.29</v>
      </c>
      <c r="C20">
        <v>226.74</v>
      </c>
      <c r="D20">
        <v>234.01</v>
      </c>
      <c r="E20">
        <v>220.11</v>
      </c>
      <c r="F20" t="s">
        <v>24</v>
      </c>
      <c r="G20" s="2">
        <v>2.0899999999999998E-2</v>
      </c>
    </row>
    <row r="21" spans="1:7" x14ac:dyDescent="0.2">
      <c r="A21" s="1">
        <v>45298</v>
      </c>
      <c r="B21">
        <v>226.55</v>
      </c>
      <c r="C21">
        <v>215.25</v>
      </c>
      <c r="D21">
        <v>229.65</v>
      </c>
      <c r="E21">
        <v>214.49</v>
      </c>
      <c r="F21" t="s">
        <v>25</v>
      </c>
      <c r="G21" s="2">
        <v>5.3699999999999998E-2</v>
      </c>
    </row>
    <row r="22" spans="1:7" x14ac:dyDescent="0.2">
      <c r="A22" s="1">
        <v>45297</v>
      </c>
      <c r="B22">
        <v>215.01</v>
      </c>
      <c r="C22">
        <v>215.92</v>
      </c>
      <c r="D22">
        <v>219.97</v>
      </c>
      <c r="E22">
        <v>211.54</v>
      </c>
      <c r="F22" t="s">
        <v>26</v>
      </c>
      <c r="G22" s="2">
        <v>-1.2999999999999999E-3</v>
      </c>
    </row>
    <row r="23" spans="1:7" x14ac:dyDescent="0.2">
      <c r="A23" s="1">
        <v>45296</v>
      </c>
      <c r="B23">
        <v>215.3</v>
      </c>
      <c r="C23">
        <v>212.96</v>
      </c>
      <c r="D23">
        <v>225.66</v>
      </c>
      <c r="E23">
        <v>210.71</v>
      </c>
      <c r="F23" t="s">
        <v>27</v>
      </c>
      <c r="G23" s="2">
        <v>1.6199999999999999E-2</v>
      </c>
    </row>
    <row r="24" spans="1:7" x14ac:dyDescent="0.2">
      <c r="A24" s="1">
        <v>45295</v>
      </c>
      <c r="B24">
        <v>211.87</v>
      </c>
      <c r="C24">
        <v>208.68</v>
      </c>
      <c r="D24">
        <v>225.09</v>
      </c>
      <c r="E24">
        <v>206.29</v>
      </c>
      <c r="F24" t="s">
        <v>28</v>
      </c>
      <c r="G24" s="2">
        <v>2.9899999999999999E-2</v>
      </c>
    </row>
    <row r="25" spans="1:7" x14ac:dyDescent="0.2">
      <c r="A25" s="1">
        <v>45294</v>
      </c>
      <c r="B25">
        <v>205.72</v>
      </c>
      <c r="C25">
        <v>190.27</v>
      </c>
      <c r="D25">
        <v>206.05</v>
      </c>
      <c r="E25">
        <v>189.44</v>
      </c>
      <c r="F25" t="s">
        <v>29</v>
      </c>
      <c r="G25" s="2">
        <v>8.6699999999999999E-2</v>
      </c>
    </row>
    <row r="26" spans="1:7" x14ac:dyDescent="0.2">
      <c r="A26" s="1">
        <v>45293</v>
      </c>
      <c r="B26">
        <v>189.31</v>
      </c>
      <c r="C26">
        <v>189.71</v>
      </c>
      <c r="D26">
        <v>191.36</v>
      </c>
      <c r="E26">
        <v>183.78</v>
      </c>
      <c r="F26" t="s">
        <v>30</v>
      </c>
      <c r="G26" s="2">
        <v>4.5999999999999999E-3</v>
      </c>
    </row>
    <row r="27" spans="1:7" x14ac:dyDescent="0.2">
      <c r="A27" s="1">
        <v>45292</v>
      </c>
      <c r="B27">
        <v>188.45</v>
      </c>
      <c r="C27">
        <v>191.44</v>
      </c>
      <c r="D27">
        <v>191.89</v>
      </c>
      <c r="E27">
        <v>185.45</v>
      </c>
      <c r="F27" t="s">
        <v>31</v>
      </c>
      <c r="G27" s="2">
        <v>-1.4200000000000001E-2</v>
      </c>
    </row>
    <row r="28" spans="1:7" x14ac:dyDescent="0.2">
      <c r="A28" s="1">
        <v>44938</v>
      </c>
      <c r="B28">
        <v>191.17</v>
      </c>
      <c r="C28">
        <v>188.8</v>
      </c>
      <c r="D28">
        <v>193.18</v>
      </c>
      <c r="E28">
        <v>183.15</v>
      </c>
      <c r="F28" t="s">
        <v>32</v>
      </c>
      <c r="G28" s="2">
        <v>1.2800000000000001E-2</v>
      </c>
    </row>
    <row r="29" spans="1:7" x14ac:dyDescent="0.2">
      <c r="A29" s="1">
        <v>44937</v>
      </c>
      <c r="B29">
        <v>188.75</v>
      </c>
      <c r="C29">
        <v>183.91</v>
      </c>
      <c r="D29">
        <v>189.99</v>
      </c>
      <c r="E29">
        <v>179.11</v>
      </c>
      <c r="F29" t="s">
        <v>33</v>
      </c>
      <c r="G29" s="2">
        <v>2.53E-2</v>
      </c>
    </row>
    <row r="30" spans="1:7" x14ac:dyDescent="0.2">
      <c r="A30" s="1">
        <v>44936</v>
      </c>
      <c r="B30">
        <v>184.09</v>
      </c>
      <c r="C30">
        <v>170.23</v>
      </c>
      <c r="D30">
        <v>186.36</v>
      </c>
      <c r="E30">
        <v>168.3</v>
      </c>
      <c r="F30" t="s">
        <v>34</v>
      </c>
      <c r="G30" s="2">
        <v>7.3700000000000002E-2</v>
      </c>
    </row>
    <row r="31" spans="1:7" x14ac:dyDescent="0.2">
      <c r="A31" s="1">
        <v>44935</v>
      </c>
      <c r="B31">
        <v>171.45</v>
      </c>
      <c r="C31">
        <v>180.8</v>
      </c>
      <c r="D31">
        <v>181.12</v>
      </c>
      <c r="E31">
        <v>171.26</v>
      </c>
      <c r="F31" t="s">
        <v>35</v>
      </c>
      <c r="G31" s="2">
        <v>-4.7600000000000003E-2</v>
      </c>
    </row>
    <row r="32" spans="1:7" x14ac:dyDescent="0.2">
      <c r="A32" s="1">
        <v>44934</v>
      </c>
      <c r="B32">
        <v>180.02</v>
      </c>
      <c r="C32">
        <v>180.85</v>
      </c>
      <c r="D32">
        <v>181.38</v>
      </c>
      <c r="E32">
        <v>174.93</v>
      </c>
      <c r="F32" t="s">
        <v>36</v>
      </c>
      <c r="G32" s="2">
        <v>-1.2800000000000001E-2</v>
      </c>
    </row>
    <row r="33" spans="1:7" x14ac:dyDescent="0.2">
      <c r="A33" s="1">
        <v>44933</v>
      </c>
      <c r="B33">
        <v>182.35</v>
      </c>
      <c r="C33">
        <v>178.61</v>
      </c>
      <c r="D33">
        <v>184.23</v>
      </c>
      <c r="E33">
        <v>176.66</v>
      </c>
      <c r="F33" t="s">
        <v>37</v>
      </c>
      <c r="G33" s="2">
        <v>2.29E-2</v>
      </c>
    </row>
    <row r="34" spans="1:7" x14ac:dyDescent="0.2">
      <c r="A34" s="1">
        <v>44932</v>
      </c>
      <c r="B34">
        <v>178.27</v>
      </c>
      <c r="C34">
        <v>182.81</v>
      </c>
      <c r="D34">
        <v>184.21</v>
      </c>
      <c r="E34">
        <v>175.79</v>
      </c>
      <c r="F34" t="s">
        <v>38</v>
      </c>
      <c r="G34" s="2">
        <v>-2.2200000000000001E-2</v>
      </c>
    </row>
    <row r="35" spans="1:7" x14ac:dyDescent="0.2">
      <c r="A35" s="1">
        <v>44931</v>
      </c>
      <c r="B35">
        <v>182.32</v>
      </c>
      <c r="C35">
        <v>186.05</v>
      </c>
      <c r="D35">
        <v>191.36</v>
      </c>
      <c r="E35">
        <v>180.09</v>
      </c>
      <c r="F35" t="s">
        <v>39</v>
      </c>
      <c r="G35" s="2">
        <v>-1.34E-2</v>
      </c>
    </row>
    <row r="36" spans="1:7" x14ac:dyDescent="0.2">
      <c r="A36" s="1">
        <v>44930</v>
      </c>
      <c r="B36">
        <v>184.8</v>
      </c>
      <c r="C36">
        <v>183.85</v>
      </c>
      <c r="D36">
        <v>190.41</v>
      </c>
      <c r="E36">
        <v>183.22</v>
      </c>
      <c r="F36" t="s">
        <v>40</v>
      </c>
      <c r="G36" s="2">
        <v>8.6E-3</v>
      </c>
    </row>
    <row r="37" spans="1:7" x14ac:dyDescent="0.2">
      <c r="A37" s="1">
        <v>44929</v>
      </c>
      <c r="B37">
        <v>183.22</v>
      </c>
      <c r="C37">
        <v>170.95</v>
      </c>
      <c r="D37">
        <v>186.24</v>
      </c>
      <c r="E37">
        <v>168.52</v>
      </c>
      <c r="F37" t="s">
        <v>41</v>
      </c>
      <c r="G37" s="2">
        <v>7.9200000000000007E-2</v>
      </c>
    </row>
    <row r="38" spans="1:7" x14ac:dyDescent="0.2">
      <c r="A38" s="1">
        <v>44928</v>
      </c>
      <c r="B38">
        <v>169.78</v>
      </c>
      <c r="C38">
        <v>179.75</v>
      </c>
      <c r="D38">
        <v>181.73</v>
      </c>
      <c r="E38">
        <v>168.19</v>
      </c>
      <c r="F38" t="s">
        <v>42</v>
      </c>
      <c r="G38" s="2">
        <v>-5.3699999999999998E-2</v>
      </c>
    </row>
    <row r="39" spans="1:7" x14ac:dyDescent="0.2">
      <c r="A39" s="1">
        <v>44927</v>
      </c>
      <c r="B39">
        <v>179.41</v>
      </c>
      <c r="C39">
        <v>171.32</v>
      </c>
      <c r="D39">
        <v>181.22</v>
      </c>
      <c r="E39">
        <v>169.79</v>
      </c>
      <c r="F39" t="s">
        <v>43</v>
      </c>
      <c r="G39" s="2">
        <v>5.7599999999999998E-2</v>
      </c>
    </row>
    <row r="40" spans="1:7" x14ac:dyDescent="0.2">
      <c r="A40" s="1">
        <v>44573</v>
      </c>
      <c r="B40">
        <v>169.64</v>
      </c>
      <c r="C40">
        <v>167.48</v>
      </c>
      <c r="D40">
        <v>170.61</v>
      </c>
      <c r="E40">
        <v>164.32</v>
      </c>
      <c r="F40" t="s">
        <v>44</v>
      </c>
      <c r="G40" s="2">
        <v>2.93E-2</v>
      </c>
    </row>
    <row r="41" spans="1:7" x14ac:dyDescent="0.2">
      <c r="A41" s="1">
        <v>44572</v>
      </c>
      <c r="B41">
        <v>164.81</v>
      </c>
      <c r="C41">
        <v>153.82</v>
      </c>
      <c r="D41">
        <v>166.23</v>
      </c>
      <c r="E41">
        <v>150.57</v>
      </c>
      <c r="F41" t="s">
        <v>45</v>
      </c>
      <c r="G41" s="2">
        <v>8.4900000000000003E-2</v>
      </c>
    </row>
    <row r="42" spans="1:7" x14ac:dyDescent="0.2">
      <c r="A42" s="1">
        <v>44571</v>
      </c>
      <c r="B42">
        <v>151.91</v>
      </c>
      <c r="C42">
        <v>155.44</v>
      </c>
      <c r="D42">
        <v>161.08000000000001</v>
      </c>
      <c r="E42">
        <v>151.27000000000001</v>
      </c>
      <c r="F42" t="s">
        <v>46</v>
      </c>
      <c r="G42" s="2">
        <v>-1.78E-2</v>
      </c>
    </row>
    <row r="43" spans="1:7" x14ac:dyDescent="0.2">
      <c r="A43" s="1">
        <v>44570</v>
      </c>
      <c r="B43">
        <v>154.66999999999999</v>
      </c>
      <c r="C43">
        <v>158.16999999999999</v>
      </c>
      <c r="D43">
        <v>161.62</v>
      </c>
      <c r="E43">
        <v>151.03</v>
      </c>
      <c r="F43" t="s">
        <v>47</v>
      </c>
      <c r="G43" s="2">
        <v>-2.8899999999999999E-2</v>
      </c>
    </row>
    <row r="44" spans="1:7" x14ac:dyDescent="0.2">
      <c r="A44" s="1">
        <v>44569</v>
      </c>
      <c r="B44">
        <v>159.27000000000001</v>
      </c>
      <c r="C44">
        <v>164.98</v>
      </c>
      <c r="D44">
        <v>167.98</v>
      </c>
      <c r="E44">
        <v>159.26</v>
      </c>
      <c r="F44" t="s">
        <v>48</v>
      </c>
      <c r="G44" s="2">
        <v>-2.9399999999999999E-2</v>
      </c>
    </row>
    <row r="45" spans="1:7" x14ac:dyDescent="0.2">
      <c r="A45" s="1">
        <v>44568</v>
      </c>
      <c r="B45">
        <v>164.1</v>
      </c>
      <c r="C45">
        <v>167.13</v>
      </c>
      <c r="D45">
        <v>168.68</v>
      </c>
      <c r="E45">
        <v>158.02000000000001</v>
      </c>
      <c r="F45" t="s">
        <v>49</v>
      </c>
      <c r="G45" s="2">
        <v>-2.5899999999999999E-2</v>
      </c>
    </row>
    <row r="46" spans="1:7" x14ac:dyDescent="0.2">
      <c r="A46" s="1">
        <v>44567</v>
      </c>
      <c r="B46">
        <v>168.46</v>
      </c>
      <c r="C46">
        <v>172.21</v>
      </c>
      <c r="D46">
        <v>174.94</v>
      </c>
      <c r="E46">
        <v>168.24</v>
      </c>
      <c r="F46" t="s">
        <v>50</v>
      </c>
      <c r="G46" s="2">
        <v>-1.5699999999999999E-2</v>
      </c>
    </row>
    <row r="47" spans="1:7" x14ac:dyDescent="0.2">
      <c r="A47" s="1">
        <v>44566</v>
      </c>
      <c r="B47">
        <v>171.14</v>
      </c>
      <c r="C47">
        <v>173.61</v>
      </c>
      <c r="D47">
        <v>177.61</v>
      </c>
      <c r="E47">
        <v>168.01</v>
      </c>
      <c r="F47" t="s">
        <v>51</v>
      </c>
      <c r="G47" s="2">
        <v>-3.2599999999999997E-2</v>
      </c>
    </row>
    <row r="48" spans="1:7" x14ac:dyDescent="0.2">
      <c r="A48" s="1">
        <v>44565</v>
      </c>
      <c r="B48">
        <v>176.91</v>
      </c>
      <c r="C48">
        <v>179.55</v>
      </c>
      <c r="D48">
        <v>186.1</v>
      </c>
      <c r="E48">
        <v>175.5</v>
      </c>
      <c r="F48" t="s">
        <v>52</v>
      </c>
      <c r="G48" s="2">
        <v>-2.07E-2</v>
      </c>
    </row>
    <row r="49" spans="1:7" x14ac:dyDescent="0.2">
      <c r="A49" s="1">
        <v>44564</v>
      </c>
      <c r="B49">
        <v>180.65</v>
      </c>
      <c r="C49">
        <v>179.05</v>
      </c>
      <c r="D49">
        <v>193.3</v>
      </c>
      <c r="E49">
        <v>176.69</v>
      </c>
      <c r="F49" t="s">
        <v>53</v>
      </c>
      <c r="G49" s="2">
        <v>1.2699999999999999E-2</v>
      </c>
    </row>
    <row r="50" spans="1:7" x14ac:dyDescent="0.2">
      <c r="A50" s="1">
        <v>44563</v>
      </c>
      <c r="B50">
        <v>178.38</v>
      </c>
      <c r="C50">
        <v>168.57</v>
      </c>
      <c r="D50">
        <v>182.6</v>
      </c>
      <c r="E50">
        <v>167.03</v>
      </c>
      <c r="F50" t="s">
        <v>54</v>
      </c>
      <c r="G50" s="2">
        <v>6.1199999999999997E-2</v>
      </c>
    </row>
    <row r="51" spans="1:7" x14ac:dyDescent="0.2">
      <c r="A51" s="1">
        <v>44562</v>
      </c>
      <c r="B51">
        <v>168.09</v>
      </c>
      <c r="C51">
        <v>168.86</v>
      </c>
      <c r="D51">
        <v>173.15</v>
      </c>
      <c r="E51">
        <v>166.37</v>
      </c>
      <c r="F51" t="s">
        <v>55</v>
      </c>
      <c r="G51" s="2">
        <v>-1.6799999999999999E-2</v>
      </c>
    </row>
    <row r="52" spans="1:7" x14ac:dyDescent="0.2">
      <c r="A52" s="1">
        <v>44208</v>
      </c>
      <c r="B52">
        <v>170.96</v>
      </c>
      <c r="C52">
        <v>166.84</v>
      </c>
      <c r="D52">
        <v>171.04</v>
      </c>
      <c r="E52">
        <v>163.80000000000001</v>
      </c>
      <c r="F52" t="s">
        <v>56</v>
      </c>
      <c r="G52" s="2">
        <v>3.3000000000000002E-2</v>
      </c>
    </row>
    <row r="53" spans="1:7" x14ac:dyDescent="0.2">
      <c r="A53" s="1">
        <v>44207</v>
      </c>
      <c r="B53">
        <v>165.5</v>
      </c>
      <c r="C53">
        <v>167.38</v>
      </c>
      <c r="D53">
        <v>174.67</v>
      </c>
      <c r="E53">
        <v>164.38</v>
      </c>
      <c r="F53" t="s">
        <v>57</v>
      </c>
      <c r="G53" s="2">
        <v>-6.8999999999999999E-3</v>
      </c>
    </row>
    <row r="54" spans="1:7" x14ac:dyDescent="0.2">
      <c r="A54" s="1">
        <v>44206</v>
      </c>
      <c r="B54">
        <v>166.65</v>
      </c>
      <c r="C54">
        <v>164.27</v>
      </c>
      <c r="D54">
        <v>169.54</v>
      </c>
      <c r="E54">
        <v>163.47</v>
      </c>
      <c r="F54" t="s">
        <v>58</v>
      </c>
      <c r="G54" s="2">
        <v>1.4800000000000001E-2</v>
      </c>
    </row>
    <row r="55" spans="1:7" x14ac:dyDescent="0.2">
      <c r="A55" s="1">
        <v>44205</v>
      </c>
      <c r="B55">
        <v>164.22</v>
      </c>
      <c r="C55">
        <v>169.94</v>
      </c>
      <c r="D55">
        <v>171.55</v>
      </c>
      <c r="E55">
        <v>160.97</v>
      </c>
      <c r="F55" t="s">
        <v>59</v>
      </c>
      <c r="G55" s="2">
        <v>-3.2199999999999999E-2</v>
      </c>
    </row>
    <row r="56" spans="1:7" x14ac:dyDescent="0.2">
      <c r="A56" s="1">
        <v>44204</v>
      </c>
      <c r="B56">
        <v>169.69</v>
      </c>
      <c r="C56">
        <v>169.3</v>
      </c>
      <c r="D56">
        <v>171.4</v>
      </c>
      <c r="E56">
        <v>160.68</v>
      </c>
      <c r="F56" t="s">
        <v>60</v>
      </c>
      <c r="G56" s="2">
        <v>-8.0000000000000004E-4</v>
      </c>
    </row>
    <row r="57" spans="1:7" x14ac:dyDescent="0.2">
      <c r="A57" s="1">
        <v>44203</v>
      </c>
      <c r="B57">
        <v>169.82</v>
      </c>
      <c r="C57">
        <v>166.65</v>
      </c>
      <c r="D57">
        <v>171.52</v>
      </c>
      <c r="E57">
        <v>165.5</v>
      </c>
      <c r="F57" t="s">
        <v>61</v>
      </c>
      <c r="G57" s="2">
        <v>2.53E-2</v>
      </c>
    </row>
    <row r="58" spans="1:7" x14ac:dyDescent="0.2">
      <c r="A58" s="1">
        <v>44202</v>
      </c>
      <c r="B58">
        <v>165.63</v>
      </c>
      <c r="C58">
        <v>178.76</v>
      </c>
      <c r="D58">
        <v>178.85</v>
      </c>
      <c r="E58">
        <v>164.01</v>
      </c>
      <c r="F58" t="s">
        <v>62</v>
      </c>
      <c r="G58" s="2">
        <v>-7.1499999999999994E-2</v>
      </c>
    </row>
    <row r="59" spans="1:7" x14ac:dyDescent="0.2">
      <c r="A59" s="1">
        <v>44201</v>
      </c>
      <c r="B59">
        <v>178.38</v>
      </c>
      <c r="C59">
        <v>167.61</v>
      </c>
      <c r="D59">
        <v>178.61</v>
      </c>
      <c r="E59">
        <v>165.5</v>
      </c>
      <c r="F59" t="s">
        <v>63</v>
      </c>
      <c r="G59" s="2">
        <v>7.6799999999999993E-2</v>
      </c>
    </row>
    <row r="60" spans="1:7" x14ac:dyDescent="0.2">
      <c r="A60" s="1">
        <v>44200</v>
      </c>
      <c r="B60">
        <v>165.66</v>
      </c>
      <c r="C60">
        <v>161.56</v>
      </c>
      <c r="D60">
        <v>168.39</v>
      </c>
      <c r="E60">
        <v>161.28</v>
      </c>
      <c r="F60" t="s">
        <v>64</v>
      </c>
      <c r="G60" s="2">
        <v>3.56E-2</v>
      </c>
    </row>
    <row r="61" spans="1:7" x14ac:dyDescent="0.2">
      <c r="A61" s="1">
        <v>44199</v>
      </c>
      <c r="B61">
        <v>159.96</v>
      </c>
      <c r="C61">
        <v>163.03</v>
      </c>
      <c r="D61">
        <v>164.15</v>
      </c>
      <c r="E61">
        <v>157.13</v>
      </c>
      <c r="F61" t="s">
        <v>65</v>
      </c>
      <c r="G61" s="2">
        <v>-1.14E-2</v>
      </c>
    </row>
    <row r="62" spans="1:7" x14ac:dyDescent="0.2">
      <c r="A62" s="1">
        <v>44198</v>
      </c>
      <c r="B62">
        <v>161.81</v>
      </c>
      <c r="C62">
        <v>175.02</v>
      </c>
      <c r="D62">
        <v>175.26</v>
      </c>
      <c r="E62">
        <v>160.94999999999999</v>
      </c>
      <c r="F62" t="s">
        <v>66</v>
      </c>
      <c r="G62" s="2">
        <v>-6.2600000000000003E-2</v>
      </c>
    </row>
    <row r="63" spans="1:7" x14ac:dyDescent="0.2">
      <c r="A63" s="1">
        <v>44197</v>
      </c>
      <c r="B63">
        <v>172.61</v>
      </c>
      <c r="C63">
        <v>181.97</v>
      </c>
      <c r="D63">
        <v>183.21</v>
      </c>
      <c r="E63">
        <v>170.98</v>
      </c>
      <c r="F63" t="s">
        <v>67</v>
      </c>
      <c r="G63" s="2">
        <v>-3.2199999999999999E-2</v>
      </c>
    </row>
    <row r="64" spans="1:7" x14ac:dyDescent="0.2">
      <c r="A64" s="1">
        <v>43842</v>
      </c>
      <c r="B64">
        <v>178.36</v>
      </c>
      <c r="C64">
        <v>169.76</v>
      </c>
      <c r="D64">
        <v>178.4</v>
      </c>
      <c r="E64">
        <v>169.3</v>
      </c>
      <c r="F64" t="s">
        <v>68</v>
      </c>
      <c r="G64" s="2">
        <v>7.0099999999999996E-2</v>
      </c>
    </row>
    <row r="65" spans="1:7" x14ac:dyDescent="0.2">
      <c r="A65" s="1">
        <v>43841</v>
      </c>
      <c r="B65">
        <v>166.67</v>
      </c>
      <c r="C65">
        <v>177.45</v>
      </c>
      <c r="D65">
        <v>183.53</v>
      </c>
      <c r="E65">
        <v>166.03</v>
      </c>
      <c r="F65" t="s">
        <v>69</v>
      </c>
      <c r="G65" s="2">
        <v>-5.4100000000000002E-2</v>
      </c>
    </row>
    <row r="66" spans="1:7" x14ac:dyDescent="0.2">
      <c r="A66" s="1">
        <v>43840</v>
      </c>
      <c r="B66">
        <v>176.2</v>
      </c>
      <c r="C66">
        <v>178.71</v>
      </c>
      <c r="D66">
        <v>181.31</v>
      </c>
      <c r="E66">
        <v>174.83</v>
      </c>
      <c r="F66" t="s">
        <v>70</v>
      </c>
      <c r="G66" s="2">
        <v>-5.1999999999999998E-3</v>
      </c>
    </row>
    <row r="67" spans="1:7" x14ac:dyDescent="0.2">
      <c r="A67" s="1">
        <v>43839</v>
      </c>
      <c r="B67">
        <v>177.12</v>
      </c>
      <c r="C67">
        <v>186.99</v>
      </c>
      <c r="D67">
        <v>186.99</v>
      </c>
      <c r="E67">
        <v>173.77</v>
      </c>
      <c r="F67" t="s">
        <v>71</v>
      </c>
      <c r="G67" s="2">
        <v>-4.1700000000000001E-2</v>
      </c>
    </row>
    <row r="68" spans="1:7" x14ac:dyDescent="0.2">
      <c r="A68" s="1">
        <v>43838</v>
      </c>
      <c r="B68">
        <v>184.83</v>
      </c>
      <c r="C68">
        <v>185.05</v>
      </c>
      <c r="D68">
        <v>194.45</v>
      </c>
      <c r="E68">
        <v>179.04</v>
      </c>
      <c r="F68" t="s">
        <v>72</v>
      </c>
      <c r="G68" s="2">
        <v>-3.2000000000000002E-3</v>
      </c>
    </row>
    <row r="69" spans="1:7" x14ac:dyDescent="0.2">
      <c r="A69" s="1">
        <v>43837</v>
      </c>
      <c r="B69">
        <v>185.43</v>
      </c>
      <c r="C69">
        <v>167.05</v>
      </c>
      <c r="D69">
        <v>186.14</v>
      </c>
      <c r="E69">
        <v>165.34</v>
      </c>
      <c r="F69" t="s">
        <v>73</v>
      </c>
      <c r="G69" s="2">
        <v>0.1079</v>
      </c>
    </row>
    <row r="70" spans="1:7" x14ac:dyDescent="0.2">
      <c r="A70" s="1">
        <v>43836</v>
      </c>
      <c r="B70">
        <v>167.37</v>
      </c>
      <c r="C70">
        <v>162.91999999999999</v>
      </c>
      <c r="D70">
        <v>167.99</v>
      </c>
      <c r="E70">
        <v>157.04</v>
      </c>
      <c r="F70" t="s">
        <v>74</v>
      </c>
      <c r="G70" s="2">
        <v>2.7400000000000001E-2</v>
      </c>
    </row>
    <row r="71" spans="1:7" x14ac:dyDescent="0.2">
      <c r="A71" s="1">
        <v>43835</v>
      </c>
      <c r="B71">
        <v>162.91</v>
      </c>
      <c r="C71">
        <v>158</v>
      </c>
      <c r="D71">
        <v>164.96</v>
      </c>
      <c r="E71">
        <v>157.80000000000001</v>
      </c>
      <c r="F71" t="s">
        <v>75</v>
      </c>
      <c r="G71" s="2">
        <v>2.5899999999999999E-2</v>
      </c>
    </row>
    <row r="72" spans="1:7" x14ac:dyDescent="0.2">
      <c r="A72" s="1">
        <v>43834</v>
      </c>
      <c r="B72">
        <v>158.80000000000001</v>
      </c>
      <c r="C72">
        <v>148.19999999999999</v>
      </c>
      <c r="D72">
        <v>164.42</v>
      </c>
      <c r="E72">
        <v>147.85</v>
      </c>
      <c r="F72" t="s">
        <v>76</v>
      </c>
      <c r="G72" s="2">
        <v>7.2599999999999998E-2</v>
      </c>
    </row>
    <row r="73" spans="1:7" x14ac:dyDescent="0.2">
      <c r="A73" s="1">
        <v>43833</v>
      </c>
      <c r="B73">
        <v>148.05000000000001</v>
      </c>
      <c r="C73">
        <v>150</v>
      </c>
      <c r="D73">
        <v>159.37</v>
      </c>
      <c r="E73">
        <v>136.12</v>
      </c>
      <c r="F73" t="s">
        <v>77</v>
      </c>
      <c r="G73" s="2">
        <v>-2.2000000000000001E-3</v>
      </c>
    </row>
    <row r="74" spans="1:7" x14ac:dyDescent="0.2">
      <c r="A74" s="1">
        <v>43832</v>
      </c>
      <c r="B74">
        <v>148.38</v>
      </c>
      <c r="C74">
        <v>148.66</v>
      </c>
      <c r="D74">
        <v>158.53</v>
      </c>
      <c r="E74">
        <v>145.80000000000001</v>
      </c>
      <c r="F74" t="s">
        <v>78</v>
      </c>
      <c r="G74" s="2">
        <v>-6.4000000000000003E-3</v>
      </c>
    </row>
    <row r="75" spans="1:7" x14ac:dyDescent="0.2">
      <c r="A75" s="1">
        <v>43831</v>
      </c>
      <c r="B75">
        <v>149.33000000000001</v>
      </c>
      <c r="C75">
        <v>143.86000000000001</v>
      </c>
      <c r="D75">
        <v>149.68</v>
      </c>
      <c r="E75">
        <v>143.4</v>
      </c>
      <c r="F75" t="s">
        <v>79</v>
      </c>
      <c r="G75" s="2">
        <v>4.4999999999999998E-2</v>
      </c>
    </row>
    <row r="76" spans="1:7" x14ac:dyDescent="0.2">
      <c r="A76" s="1">
        <v>43477</v>
      </c>
      <c r="B76">
        <v>142.9</v>
      </c>
      <c r="C76">
        <v>137.32</v>
      </c>
      <c r="D76">
        <v>143.6</v>
      </c>
      <c r="E76">
        <v>137.30000000000001</v>
      </c>
      <c r="F76" t="s">
        <v>80</v>
      </c>
      <c r="G76" s="2">
        <v>3.6600000000000001E-2</v>
      </c>
    </row>
    <row r="77" spans="1:7" x14ac:dyDescent="0.2">
      <c r="A77" s="1">
        <v>43476</v>
      </c>
      <c r="B77">
        <v>137.86000000000001</v>
      </c>
      <c r="C77">
        <v>142.21</v>
      </c>
      <c r="D77">
        <v>142.9</v>
      </c>
      <c r="E77">
        <v>136.19</v>
      </c>
      <c r="F77" t="s">
        <v>81</v>
      </c>
      <c r="G77" s="2">
        <v>-3.2099999999999997E-2</v>
      </c>
    </row>
    <row r="78" spans="1:7" x14ac:dyDescent="0.2">
      <c r="A78" s="1">
        <v>43475</v>
      </c>
      <c r="B78">
        <v>142.43</v>
      </c>
      <c r="C78">
        <v>138.07</v>
      </c>
      <c r="D78">
        <v>143.25</v>
      </c>
      <c r="E78">
        <v>137.80000000000001</v>
      </c>
      <c r="F78" t="s">
        <v>82</v>
      </c>
      <c r="G78" s="2">
        <v>2.5600000000000001E-2</v>
      </c>
    </row>
    <row r="79" spans="1:7" x14ac:dyDescent="0.2">
      <c r="A79" s="1">
        <v>43474</v>
      </c>
      <c r="B79">
        <v>138.87</v>
      </c>
      <c r="C79">
        <v>144.96</v>
      </c>
      <c r="D79">
        <v>146.82</v>
      </c>
      <c r="E79">
        <v>138.03</v>
      </c>
      <c r="F79" t="s">
        <v>83</v>
      </c>
      <c r="G79" s="2">
        <v>-3.39E-2</v>
      </c>
    </row>
    <row r="80" spans="1:7" x14ac:dyDescent="0.2">
      <c r="A80" s="1">
        <v>43473</v>
      </c>
      <c r="B80">
        <v>143.75</v>
      </c>
      <c r="C80">
        <v>132.41999999999999</v>
      </c>
      <c r="D80">
        <v>145.68</v>
      </c>
      <c r="E80">
        <v>132.30000000000001</v>
      </c>
      <c r="F80" t="s">
        <v>84</v>
      </c>
      <c r="G80" s="2">
        <v>7.9100000000000004E-2</v>
      </c>
    </row>
    <row r="81" spans="1:7" x14ac:dyDescent="0.2">
      <c r="A81" s="1">
        <v>43472</v>
      </c>
      <c r="B81">
        <v>133.21</v>
      </c>
      <c r="C81">
        <v>131.56</v>
      </c>
      <c r="D81">
        <v>136.63</v>
      </c>
      <c r="E81">
        <v>130.55000000000001</v>
      </c>
      <c r="F81" t="s">
        <v>85</v>
      </c>
      <c r="G81" s="2">
        <v>1E-4</v>
      </c>
    </row>
    <row r="82" spans="1:7" x14ac:dyDescent="0.2">
      <c r="A82" s="1">
        <v>43471</v>
      </c>
      <c r="B82">
        <v>133.19999999999999</v>
      </c>
      <c r="C82">
        <v>124.09</v>
      </c>
      <c r="D82">
        <v>135.55000000000001</v>
      </c>
      <c r="E82">
        <v>123.9</v>
      </c>
      <c r="F82" t="s">
        <v>86</v>
      </c>
      <c r="G82" s="2">
        <v>0.08</v>
      </c>
    </row>
    <row r="83" spans="1:7" x14ac:dyDescent="0.2">
      <c r="A83" s="1">
        <v>43470</v>
      </c>
      <c r="B83">
        <v>123.33</v>
      </c>
      <c r="C83">
        <v>121.03</v>
      </c>
      <c r="D83">
        <v>123.4</v>
      </c>
      <c r="E83">
        <v>119.54</v>
      </c>
      <c r="F83" t="s">
        <v>87</v>
      </c>
      <c r="G83" s="2">
        <v>1.7600000000000001E-2</v>
      </c>
    </row>
    <row r="84" spans="1:7" x14ac:dyDescent="0.2">
      <c r="A84" s="1">
        <v>43469</v>
      </c>
      <c r="B84">
        <v>121.2</v>
      </c>
      <c r="C84">
        <v>122.4</v>
      </c>
      <c r="D84">
        <v>123.77</v>
      </c>
      <c r="E84">
        <v>119.55</v>
      </c>
      <c r="F84" t="s">
        <v>88</v>
      </c>
      <c r="G84" s="2">
        <v>-6.6E-3</v>
      </c>
    </row>
    <row r="85" spans="1:7" x14ac:dyDescent="0.2">
      <c r="A85" s="1">
        <v>43468</v>
      </c>
      <c r="B85">
        <v>122.01</v>
      </c>
      <c r="C85">
        <v>123.48</v>
      </c>
      <c r="D85">
        <v>125.11</v>
      </c>
      <c r="E85">
        <v>121.03</v>
      </c>
      <c r="F85" t="s">
        <v>89</v>
      </c>
      <c r="G85" s="2">
        <v>-1.6E-2</v>
      </c>
    </row>
    <row r="86" spans="1:7" x14ac:dyDescent="0.2">
      <c r="A86" s="1">
        <v>43467</v>
      </c>
      <c r="B86">
        <v>123.99</v>
      </c>
      <c r="C86">
        <v>124.89</v>
      </c>
      <c r="D86">
        <v>127.21</v>
      </c>
      <c r="E86">
        <v>123.19</v>
      </c>
      <c r="F86" t="s">
        <v>90</v>
      </c>
      <c r="G86" s="2">
        <v>-6.1000000000000004E-3</v>
      </c>
    </row>
    <row r="87" spans="1:7" x14ac:dyDescent="0.2">
      <c r="A87" s="1">
        <v>43466</v>
      </c>
      <c r="B87">
        <v>124.75</v>
      </c>
      <c r="C87">
        <v>121.35</v>
      </c>
      <c r="D87">
        <v>125.23</v>
      </c>
      <c r="E87">
        <v>120.69</v>
      </c>
      <c r="F87" t="s">
        <v>79</v>
      </c>
      <c r="G87" s="2">
        <v>2.8899999999999999E-2</v>
      </c>
    </row>
    <row r="88" spans="1:7" x14ac:dyDescent="0.2">
      <c r="A88" s="1">
        <v>43112</v>
      </c>
      <c r="B88">
        <v>121.25</v>
      </c>
      <c r="C88">
        <v>116.6</v>
      </c>
      <c r="D88">
        <v>121.26</v>
      </c>
      <c r="E88">
        <v>116.29</v>
      </c>
      <c r="F88" t="s">
        <v>91</v>
      </c>
      <c r="G88" s="2">
        <v>4.9399999999999999E-2</v>
      </c>
    </row>
    <row r="89" spans="1:7" x14ac:dyDescent="0.2">
      <c r="A89" s="1">
        <v>43111</v>
      </c>
      <c r="B89">
        <v>115.54</v>
      </c>
      <c r="C89">
        <v>116.33</v>
      </c>
      <c r="D89">
        <v>117.07</v>
      </c>
      <c r="E89">
        <v>113.42</v>
      </c>
      <c r="F89" t="s">
        <v>92</v>
      </c>
      <c r="G89" s="2">
        <v>3.3999999999999998E-3</v>
      </c>
    </row>
    <row r="90" spans="1:7" x14ac:dyDescent="0.2">
      <c r="A90" s="1">
        <v>43110</v>
      </c>
      <c r="B90">
        <v>115.15</v>
      </c>
      <c r="C90">
        <v>112.4</v>
      </c>
      <c r="D90">
        <v>117.65</v>
      </c>
      <c r="E90">
        <v>111.9</v>
      </c>
      <c r="F90" t="s">
        <v>93</v>
      </c>
      <c r="G90" s="2">
        <v>2.12E-2</v>
      </c>
    </row>
    <row r="91" spans="1:7" x14ac:dyDescent="0.2">
      <c r="A91" s="1">
        <v>43109</v>
      </c>
      <c r="B91">
        <v>112.76</v>
      </c>
      <c r="C91">
        <v>112.75</v>
      </c>
      <c r="D91">
        <v>114.78</v>
      </c>
      <c r="E91">
        <v>111.85</v>
      </c>
      <c r="F91" t="s">
        <v>94</v>
      </c>
      <c r="G91" s="2">
        <v>-6.6E-3</v>
      </c>
    </row>
    <row r="92" spans="1:7" x14ac:dyDescent="0.2">
      <c r="A92" s="1">
        <v>43108</v>
      </c>
      <c r="B92">
        <v>113.51</v>
      </c>
      <c r="C92">
        <v>115.63</v>
      </c>
      <c r="D92">
        <v>115.7</v>
      </c>
      <c r="E92">
        <v>111.06</v>
      </c>
      <c r="F92" t="s">
        <v>95</v>
      </c>
      <c r="G92" s="2">
        <v>-2.1399999999999999E-2</v>
      </c>
    </row>
    <row r="93" spans="1:7" x14ac:dyDescent="0.2">
      <c r="A93" s="1">
        <v>43107</v>
      </c>
      <c r="B93">
        <v>115.99</v>
      </c>
      <c r="C93">
        <v>118.18</v>
      </c>
      <c r="D93">
        <v>119.73</v>
      </c>
      <c r="E93">
        <v>115.12</v>
      </c>
      <c r="F93" t="s">
        <v>96</v>
      </c>
      <c r="G93" s="2">
        <v>-2.24E-2</v>
      </c>
    </row>
    <row r="94" spans="1:7" x14ac:dyDescent="0.2">
      <c r="A94" s="1">
        <v>43106</v>
      </c>
      <c r="B94">
        <v>118.65</v>
      </c>
      <c r="C94">
        <v>122.58</v>
      </c>
      <c r="D94">
        <v>123.86</v>
      </c>
      <c r="E94">
        <v>118.01</v>
      </c>
      <c r="F94" t="s">
        <v>97</v>
      </c>
      <c r="G94" s="2">
        <v>-3.61E-2</v>
      </c>
    </row>
    <row r="95" spans="1:7" x14ac:dyDescent="0.2">
      <c r="A95" s="1">
        <v>43105</v>
      </c>
      <c r="B95">
        <v>123.1</v>
      </c>
      <c r="C95">
        <v>123.9</v>
      </c>
      <c r="D95">
        <v>125.59</v>
      </c>
      <c r="E95">
        <v>121.97</v>
      </c>
      <c r="F95" t="s">
        <v>98</v>
      </c>
      <c r="G95" s="2">
        <v>-1.2E-2</v>
      </c>
    </row>
    <row r="96" spans="1:7" x14ac:dyDescent="0.2">
      <c r="A96" s="1">
        <v>43104</v>
      </c>
      <c r="B96">
        <v>124.59</v>
      </c>
      <c r="C96">
        <v>126.65</v>
      </c>
      <c r="D96">
        <v>129.47</v>
      </c>
      <c r="E96">
        <v>124.19</v>
      </c>
      <c r="F96" t="s">
        <v>99</v>
      </c>
      <c r="G96" s="2">
        <v>-9.4999999999999998E-3</v>
      </c>
    </row>
    <row r="97" spans="1:7" x14ac:dyDescent="0.2">
      <c r="A97" s="1">
        <v>43103</v>
      </c>
      <c r="B97">
        <v>125.79</v>
      </c>
      <c r="C97">
        <v>124.15</v>
      </c>
      <c r="D97">
        <v>128.58000000000001</v>
      </c>
      <c r="E97">
        <v>123.57</v>
      </c>
      <c r="F97" t="s">
        <v>100</v>
      </c>
      <c r="G97" s="2">
        <v>6.3E-3</v>
      </c>
    </row>
    <row r="98" spans="1:7" x14ac:dyDescent="0.2">
      <c r="A98" s="1">
        <v>43102</v>
      </c>
      <c r="B98">
        <v>125</v>
      </c>
      <c r="C98">
        <v>127.18</v>
      </c>
      <c r="D98">
        <v>128.69999999999999</v>
      </c>
      <c r="E98">
        <v>124.39</v>
      </c>
      <c r="F98" t="s">
        <v>101</v>
      </c>
      <c r="G98" s="2">
        <v>-2.0799999999999999E-2</v>
      </c>
    </row>
    <row r="99" spans="1:7" x14ac:dyDescent="0.2">
      <c r="A99" s="1">
        <v>43101</v>
      </c>
      <c r="B99">
        <v>127.65</v>
      </c>
      <c r="C99">
        <v>124.66</v>
      </c>
      <c r="D99">
        <v>129.51</v>
      </c>
      <c r="E99">
        <v>124.1</v>
      </c>
      <c r="F99" t="s">
        <v>102</v>
      </c>
      <c r="G99" s="2">
        <v>3.2300000000000002E-2</v>
      </c>
    </row>
    <row r="100" spans="1:7" x14ac:dyDescent="0.2">
      <c r="A100" s="1">
        <v>42747</v>
      </c>
      <c r="B100">
        <v>123.65</v>
      </c>
      <c r="C100">
        <v>120.94</v>
      </c>
      <c r="D100">
        <v>124.08</v>
      </c>
      <c r="E100">
        <v>117.4</v>
      </c>
      <c r="F100" t="s">
        <v>103</v>
      </c>
      <c r="G100" s="2">
        <v>2.1100000000000001E-2</v>
      </c>
    </row>
    <row r="101" spans="1:7" x14ac:dyDescent="0.2">
      <c r="A101" s="1">
        <v>42746</v>
      </c>
      <c r="B101">
        <v>121.1</v>
      </c>
      <c r="C101">
        <v>120.98</v>
      </c>
      <c r="D101">
        <v>123.33</v>
      </c>
      <c r="E101">
        <v>120.18</v>
      </c>
      <c r="F101" t="s">
        <v>104</v>
      </c>
      <c r="G101" s="2">
        <v>3.5999999999999999E-3</v>
      </c>
    </row>
    <row r="102" spans="1:7" x14ac:dyDescent="0.2">
      <c r="A102" s="1">
        <v>42745</v>
      </c>
      <c r="B102">
        <v>120.67</v>
      </c>
      <c r="C102">
        <v>121.17</v>
      </c>
      <c r="D102">
        <v>123.97</v>
      </c>
      <c r="E102">
        <v>119.78</v>
      </c>
      <c r="F102" t="s">
        <v>105</v>
      </c>
      <c r="G102" s="2">
        <v>-7.4999999999999997E-3</v>
      </c>
    </row>
    <row r="103" spans="1:7" x14ac:dyDescent="0.2">
      <c r="A103" s="1">
        <v>42744</v>
      </c>
      <c r="B103">
        <v>121.58</v>
      </c>
      <c r="C103">
        <v>126.01</v>
      </c>
      <c r="D103">
        <v>128.32</v>
      </c>
      <c r="E103">
        <v>121.55</v>
      </c>
      <c r="F103" t="s">
        <v>106</v>
      </c>
      <c r="G103" s="2">
        <v>-3.3700000000000001E-2</v>
      </c>
    </row>
    <row r="104" spans="1:7" x14ac:dyDescent="0.2">
      <c r="A104" s="1">
        <v>42743</v>
      </c>
      <c r="B104">
        <v>125.82</v>
      </c>
      <c r="C104">
        <v>120.44</v>
      </c>
      <c r="D104">
        <v>125.87</v>
      </c>
      <c r="E104">
        <v>118.97</v>
      </c>
      <c r="F104" t="s">
        <v>107</v>
      </c>
      <c r="G104" s="2">
        <v>4.2000000000000003E-2</v>
      </c>
    </row>
    <row r="105" spans="1:7" x14ac:dyDescent="0.2">
      <c r="A105" s="1">
        <v>42742</v>
      </c>
      <c r="B105">
        <v>120.75</v>
      </c>
      <c r="C105">
        <v>116.54</v>
      </c>
      <c r="D105">
        <v>120.86</v>
      </c>
      <c r="E105">
        <v>114.8</v>
      </c>
      <c r="F105" t="s">
        <v>108</v>
      </c>
      <c r="G105" s="2">
        <v>2.3099999999999999E-2</v>
      </c>
    </row>
    <row r="106" spans="1:7" x14ac:dyDescent="0.2">
      <c r="A106" s="1">
        <v>42741</v>
      </c>
      <c r="B106">
        <v>118.02</v>
      </c>
      <c r="C106">
        <v>120.17</v>
      </c>
      <c r="D106">
        <v>123.31</v>
      </c>
      <c r="E106">
        <v>117.91</v>
      </c>
      <c r="F106" t="s">
        <v>109</v>
      </c>
      <c r="G106" s="2">
        <v>-2.1600000000000001E-2</v>
      </c>
    </row>
    <row r="107" spans="1:7" x14ac:dyDescent="0.2">
      <c r="A107" s="1">
        <v>42740</v>
      </c>
      <c r="B107">
        <v>120.62</v>
      </c>
      <c r="C107">
        <v>120.21</v>
      </c>
      <c r="D107">
        <v>121.23</v>
      </c>
      <c r="E107">
        <v>115.56</v>
      </c>
      <c r="F107" t="s">
        <v>110</v>
      </c>
      <c r="G107" s="2">
        <v>-1.1999999999999999E-3</v>
      </c>
    </row>
    <row r="108" spans="1:7" x14ac:dyDescent="0.2">
      <c r="A108" s="1">
        <v>42739</v>
      </c>
      <c r="B108">
        <v>120.77</v>
      </c>
      <c r="C108">
        <v>118.69</v>
      </c>
      <c r="D108">
        <v>123.07</v>
      </c>
      <c r="E108">
        <v>118.4</v>
      </c>
      <c r="F108" t="s">
        <v>111</v>
      </c>
      <c r="G108" s="2">
        <v>1.7299999999999999E-2</v>
      </c>
    </row>
    <row r="109" spans="1:7" x14ac:dyDescent="0.2">
      <c r="A109" s="1">
        <v>42738</v>
      </c>
      <c r="B109">
        <v>118.72</v>
      </c>
      <c r="C109">
        <v>117.98</v>
      </c>
      <c r="D109">
        <v>120.08</v>
      </c>
      <c r="E109">
        <v>114.02</v>
      </c>
      <c r="F109" t="s">
        <v>112</v>
      </c>
      <c r="G109" s="2">
        <v>-4.3E-3</v>
      </c>
    </row>
    <row r="110" spans="1:7" x14ac:dyDescent="0.2">
      <c r="A110" s="1">
        <v>42737</v>
      </c>
      <c r="B110">
        <v>119.23</v>
      </c>
      <c r="C110">
        <v>114.66</v>
      </c>
      <c r="D110">
        <v>120.4</v>
      </c>
      <c r="E110">
        <v>114.14</v>
      </c>
      <c r="F110" t="s">
        <v>113</v>
      </c>
      <c r="G110" s="2">
        <v>3.1800000000000002E-2</v>
      </c>
    </row>
    <row r="111" spans="1:7" x14ac:dyDescent="0.2">
      <c r="A111" s="1">
        <v>42736</v>
      </c>
      <c r="B111">
        <v>115.55</v>
      </c>
      <c r="C111">
        <v>109.62</v>
      </c>
      <c r="D111">
        <v>116.17</v>
      </c>
      <c r="E111">
        <v>109.37</v>
      </c>
      <c r="F111" t="s">
        <v>114</v>
      </c>
      <c r="G111" s="2">
        <v>5.4199999999999998E-2</v>
      </c>
    </row>
    <row r="112" spans="1:7" x14ac:dyDescent="0.2">
      <c r="A112" s="1">
        <v>42381</v>
      </c>
      <c r="B112">
        <v>109.61</v>
      </c>
      <c r="C112">
        <v>111.11</v>
      </c>
      <c r="D112">
        <v>112.5</v>
      </c>
      <c r="E112">
        <v>107</v>
      </c>
      <c r="F112" t="s">
        <v>115</v>
      </c>
      <c r="G112" s="2">
        <v>-1.9099999999999999E-2</v>
      </c>
    </row>
    <row r="113" spans="1:7" x14ac:dyDescent="0.2">
      <c r="A113" s="1">
        <v>42380</v>
      </c>
      <c r="B113">
        <v>111.75</v>
      </c>
      <c r="C113">
        <v>122.8</v>
      </c>
      <c r="D113">
        <v>124.76</v>
      </c>
      <c r="E113">
        <v>111.5</v>
      </c>
      <c r="F113" t="s">
        <v>116</v>
      </c>
      <c r="G113" s="2">
        <v>-8.3599999999999994E-2</v>
      </c>
    </row>
    <row r="114" spans="1:7" x14ac:dyDescent="0.2">
      <c r="A114" s="1">
        <v>42379</v>
      </c>
      <c r="B114">
        <v>121.94</v>
      </c>
      <c r="C114">
        <v>125.32</v>
      </c>
      <c r="D114">
        <v>125.46</v>
      </c>
      <c r="E114">
        <v>118.42</v>
      </c>
      <c r="F114" t="s">
        <v>117</v>
      </c>
      <c r="G114" s="2">
        <v>-2.9399999999999999E-2</v>
      </c>
    </row>
    <row r="115" spans="1:7" x14ac:dyDescent="0.2">
      <c r="A115" s="1">
        <v>42378</v>
      </c>
      <c r="B115">
        <v>125.64</v>
      </c>
      <c r="C115">
        <v>124.67</v>
      </c>
      <c r="D115">
        <v>129.08000000000001</v>
      </c>
      <c r="E115">
        <v>124.55</v>
      </c>
      <c r="F115" t="s">
        <v>118</v>
      </c>
      <c r="G115" s="2">
        <v>6.8999999999999999E-3</v>
      </c>
    </row>
    <row r="116" spans="1:7" x14ac:dyDescent="0.2">
      <c r="A116" s="1">
        <v>42377</v>
      </c>
      <c r="B116">
        <v>124.78</v>
      </c>
      <c r="C116">
        <v>128.57</v>
      </c>
      <c r="D116">
        <v>130.55000000000001</v>
      </c>
      <c r="E116">
        <v>124.64</v>
      </c>
      <c r="F116" t="s">
        <v>119</v>
      </c>
      <c r="G116" s="2">
        <v>-3.2599999999999997E-2</v>
      </c>
    </row>
    <row r="117" spans="1:7" x14ac:dyDescent="0.2">
      <c r="A117" s="1">
        <v>42376</v>
      </c>
      <c r="B117">
        <v>128.97999999999999</v>
      </c>
      <c r="C117">
        <v>127.66</v>
      </c>
      <c r="D117">
        <v>131.15</v>
      </c>
      <c r="E117">
        <v>125.11</v>
      </c>
      <c r="F117" t="s">
        <v>120</v>
      </c>
      <c r="G117" s="2">
        <v>1.9800000000000002E-2</v>
      </c>
    </row>
    <row r="118" spans="1:7" x14ac:dyDescent="0.2">
      <c r="A118" s="1">
        <v>42375</v>
      </c>
      <c r="B118">
        <v>126.47</v>
      </c>
      <c r="C118">
        <v>115.97</v>
      </c>
      <c r="D118">
        <v>127.05</v>
      </c>
      <c r="E118">
        <v>115.2</v>
      </c>
      <c r="F118" t="s">
        <v>121</v>
      </c>
      <c r="G118" s="2">
        <v>8.9700000000000002E-2</v>
      </c>
    </row>
    <row r="119" spans="1:7" x14ac:dyDescent="0.2">
      <c r="A119" s="1">
        <v>42374</v>
      </c>
      <c r="B119">
        <v>116.06</v>
      </c>
      <c r="C119">
        <v>123.78</v>
      </c>
      <c r="D119">
        <v>123.96</v>
      </c>
      <c r="E119">
        <v>115.29</v>
      </c>
      <c r="F119" t="s">
        <v>122</v>
      </c>
      <c r="G119" s="2">
        <v>-6.1400000000000003E-2</v>
      </c>
    </row>
    <row r="120" spans="1:7" x14ac:dyDescent="0.2">
      <c r="A120" s="1">
        <v>42373</v>
      </c>
      <c r="B120">
        <v>123.65</v>
      </c>
      <c r="C120">
        <v>116.08</v>
      </c>
      <c r="D120">
        <v>123.93</v>
      </c>
      <c r="E120">
        <v>115</v>
      </c>
      <c r="F120" t="s">
        <v>123</v>
      </c>
      <c r="G120" s="2">
        <v>5.11E-2</v>
      </c>
    </row>
    <row r="121" spans="1:7" x14ac:dyDescent="0.2">
      <c r="A121" s="1">
        <v>42372</v>
      </c>
      <c r="B121">
        <v>117.64</v>
      </c>
      <c r="C121">
        <v>118.74</v>
      </c>
      <c r="D121">
        <v>122.37</v>
      </c>
      <c r="E121">
        <v>116.16</v>
      </c>
      <c r="F121" t="s">
        <v>124</v>
      </c>
      <c r="G121" s="2">
        <v>-8.3999999999999995E-3</v>
      </c>
    </row>
    <row r="122" spans="1:7" x14ac:dyDescent="0.2">
      <c r="A122" s="1">
        <v>42371</v>
      </c>
      <c r="B122">
        <v>118.64</v>
      </c>
      <c r="C122">
        <v>107.54</v>
      </c>
      <c r="D122">
        <v>120.84</v>
      </c>
      <c r="E122">
        <v>107.35</v>
      </c>
      <c r="F122" t="s">
        <v>125</v>
      </c>
      <c r="G122" s="2">
        <v>0.10929999999999999</v>
      </c>
    </row>
    <row r="123" spans="1:7" x14ac:dyDescent="0.2">
      <c r="A123" s="1">
        <v>42370</v>
      </c>
      <c r="B123">
        <v>106.95</v>
      </c>
      <c r="C123">
        <v>103.13</v>
      </c>
      <c r="D123">
        <v>107.93</v>
      </c>
      <c r="E123">
        <v>102.49</v>
      </c>
      <c r="F123" t="s">
        <v>126</v>
      </c>
      <c r="G123" s="2">
        <v>5.4100000000000002E-2</v>
      </c>
    </row>
    <row r="124" spans="1:7" x14ac:dyDescent="0.2">
      <c r="A124" s="1">
        <v>42016</v>
      </c>
      <c r="B124">
        <v>101.46</v>
      </c>
      <c r="C124">
        <v>102.3</v>
      </c>
      <c r="D124">
        <v>104.21</v>
      </c>
      <c r="E124">
        <v>100.23</v>
      </c>
      <c r="F124" t="s">
        <v>127</v>
      </c>
      <c r="G124" s="2">
        <v>-4.4999999999999997E-3</v>
      </c>
    </row>
    <row r="125" spans="1:7" x14ac:dyDescent="0.2">
      <c r="A125" s="1">
        <v>42015</v>
      </c>
      <c r="B125">
        <v>101.92</v>
      </c>
      <c r="C125">
        <v>108.64</v>
      </c>
      <c r="D125">
        <v>108.84</v>
      </c>
      <c r="E125">
        <v>100.99</v>
      </c>
      <c r="F125" t="s">
        <v>128</v>
      </c>
      <c r="G125" s="2">
        <v>-6.7500000000000004E-2</v>
      </c>
    </row>
    <row r="126" spans="1:7" x14ac:dyDescent="0.2">
      <c r="A126" s="1">
        <v>42014</v>
      </c>
      <c r="B126">
        <v>109.3</v>
      </c>
      <c r="C126">
        <v>106.98</v>
      </c>
      <c r="D126">
        <v>113.99</v>
      </c>
      <c r="E126">
        <v>106.63</v>
      </c>
      <c r="F126" t="s">
        <v>129</v>
      </c>
      <c r="G126" s="2">
        <v>2.2800000000000001E-2</v>
      </c>
    </row>
    <row r="127" spans="1:7" x14ac:dyDescent="0.2">
      <c r="A127" s="1">
        <v>42013</v>
      </c>
      <c r="B127">
        <v>106.86</v>
      </c>
      <c r="C127">
        <v>109.63</v>
      </c>
      <c r="D127">
        <v>110.82</v>
      </c>
      <c r="E127">
        <v>105.27</v>
      </c>
      <c r="F127" t="s">
        <v>130</v>
      </c>
      <c r="G127" s="2">
        <v>-1.7999999999999999E-2</v>
      </c>
    </row>
    <row r="128" spans="1:7" x14ac:dyDescent="0.2">
      <c r="A128" s="1">
        <v>42012</v>
      </c>
      <c r="B128">
        <v>108.82</v>
      </c>
      <c r="C128">
        <v>104.59</v>
      </c>
      <c r="D128">
        <v>112.12</v>
      </c>
      <c r="E128">
        <v>103.78</v>
      </c>
      <c r="F128" t="s">
        <v>131</v>
      </c>
      <c r="G128" s="2">
        <v>3.7100000000000001E-2</v>
      </c>
    </row>
    <row r="129" spans="1:7" x14ac:dyDescent="0.2">
      <c r="A129" s="1">
        <v>42011</v>
      </c>
      <c r="B129">
        <v>104.93</v>
      </c>
      <c r="C129">
        <v>112.12</v>
      </c>
      <c r="D129">
        <v>112.58</v>
      </c>
      <c r="E129">
        <v>103.43</v>
      </c>
      <c r="F129" t="s">
        <v>132</v>
      </c>
      <c r="G129" s="2">
        <v>-6.6199999999999995E-2</v>
      </c>
    </row>
    <row r="130" spans="1:7" x14ac:dyDescent="0.2">
      <c r="A130" s="1">
        <v>42010</v>
      </c>
      <c r="B130">
        <v>112.37</v>
      </c>
      <c r="C130">
        <v>115.02</v>
      </c>
      <c r="D130">
        <v>115.61</v>
      </c>
      <c r="E130">
        <v>111.57</v>
      </c>
      <c r="F130" t="s">
        <v>133</v>
      </c>
      <c r="G130" s="2">
        <v>-1.52E-2</v>
      </c>
    </row>
    <row r="131" spans="1:7" x14ac:dyDescent="0.2">
      <c r="A131" s="1">
        <v>42009</v>
      </c>
      <c r="B131">
        <v>114.1</v>
      </c>
      <c r="C131">
        <v>112.42</v>
      </c>
      <c r="D131">
        <v>117.88</v>
      </c>
      <c r="E131">
        <v>112.28</v>
      </c>
      <c r="F131" t="s">
        <v>134</v>
      </c>
      <c r="G131" s="2">
        <v>5.5999999999999999E-3</v>
      </c>
    </row>
    <row r="132" spans="1:7" x14ac:dyDescent="0.2">
      <c r="A132" s="1">
        <v>42008</v>
      </c>
      <c r="B132">
        <v>113.47</v>
      </c>
      <c r="C132">
        <v>114.56</v>
      </c>
      <c r="D132">
        <v>117.47</v>
      </c>
      <c r="E132">
        <v>112.77</v>
      </c>
      <c r="F132" t="s">
        <v>135</v>
      </c>
      <c r="G132" s="2">
        <v>-1.6999999999999999E-3</v>
      </c>
    </row>
    <row r="133" spans="1:7" x14ac:dyDescent="0.2">
      <c r="A133" s="1">
        <v>42007</v>
      </c>
      <c r="B133">
        <v>113.66</v>
      </c>
      <c r="C133">
        <v>116.5</v>
      </c>
      <c r="D133">
        <v>116.64</v>
      </c>
      <c r="E133">
        <v>109.77</v>
      </c>
      <c r="F133" t="s">
        <v>136</v>
      </c>
      <c r="G133" s="2">
        <v>-2.1499999999999998E-2</v>
      </c>
    </row>
    <row r="134" spans="1:7" x14ac:dyDescent="0.2">
      <c r="A134" s="1">
        <v>42006</v>
      </c>
      <c r="B134">
        <v>116.16</v>
      </c>
      <c r="C134">
        <v>121.84</v>
      </c>
      <c r="D134">
        <v>123.15</v>
      </c>
      <c r="E134">
        <v>114.29</v>
      </c>
      <c r="F134" t="s">
        <v>137</v>
      </c>
      <c r="G134" s="2">
        <v>-5.91E-2</v>
      </c>
    </row>
    <row r="135" spans="1:7" x14ac:dyDescent="0.2">
      <c r="A135" s="1">
        <v>42005</v>
      </c>
      <c r="B135">
        <v>123.45</v>
      </c>
      <c r="C135">
        <v>112.49</v>
      </c>
      <c r="D135">
        <v>125.58</v>
      </c>
      <c r="E135">
        <v>112.32</v>
      </c>
      <c r="F135" t="s">
        <v>138</v>
      </c>
      <c r="G135" s="2">
        <v>8.6900000000000005E-2</v>
      </c>
    </row>
    <row r="137" spans="1:7" x14ac:dyDescent="0.2">
      <c r="A137" s="104" t="s">
        <v>630</v>
      </c>
      <c r="B137" s="104"/>
      <c r="C137" s="104"/>
      <c r="D137" s="104"/>
      <c r="E137" s="104"/>
      <c r="F137" s="104"/>
      <c r="G137" s="104"/>
    </row>
    <row r="138" spans="1:7" x14ac:dyDescent="0.2">
      <c r="A138" t="s">
        <v>0</v>
      </c>
      <c r="B138" t="s">
        <v>1</v>
      </c>
      <c r="C138" t="s">
        <v>2</v>
      </c>
      <c r="D138" t="s">
        <v>3</v>
      </c>
      <c r="E138" t="s">
        <v>4</v>
      </c>
      <c r="F138" t="s">
        <v>5</v>
      </c>
      <c r="G138" t="s">
        <v>6</v>
      </c>
    </row>
    <row r="139" spans="1:7" x14ac:dyDescent="0.2">
      <c r="A139" s="1">
        <v>46023</v>
      </c>
      <c r="B139">
        <v>129.88999999999999</v>
      </c>
      <c r="C139">
        <v>120.05</v>
      </c>
      <c r="D139">
        <v>131.72</v>
      </c>
      <c r="E139">
        <v>118.27</v>
      </c>
      <c r="F139" t="s">
        <v>140</v>
      </c>
      <c r="G139" s="2">
        <v>7.9399999999999998E-2</v>
      </c>
    </row>
    <row r="140" spans="1:7" x14ac:dyDescent="0.2">
      <c r="A140" s="1">
        <v>45669</v>
      </c>
      <c r="B140">
        <v>120.34</v>
      </c>
      <c r="C140">
        <v>116.1</v>
      </c>
      <c r="D140">
        <v>121.8</v>
      </c>
      <c r="E140">
        <v>114.61</v>
      </c>
      <c r="F140" t="s">
        <v>141</v>
      </c>
      <c r="G140" s="2">
        <v>3.8100000000000002E-2</v>
      </c>
    </row>
    <row r="141" spans="1:7" x14ac:dyDescent="0.2">
      <c r="A141" s="1">
        <v>45668</v>
      </c>
      <c r="B141">
        <v>115.92</v>
      </c>
      <c r="C141">
        <v>114.5</v>
      </c>
      <c r="D141">
        <v>120.81</v>
      </c>
      <c r="E141">
        <v>112.51</v>
      </c>
      <c r="F141" t="s">
        <v>142</v>
      </c>
      <c r="G141" s="2">
        <v>1.3599999999999999E-2</v>
      </c>
    </row>
    <row r="142" spans="1:7" x14ac:dyDescent="0.2">
      <c r="A142" s="1">
        <v>45667</v>
      </c>
      <c r="B142">
        <v>114.36</v>
      </c>
      <c r="C142">
        <v>112.56</v>
      </c>
      <c r="D142">
        <v>117.05</v>
      </c>
      <c r="E142">
        <v>110.39</v>
      </c>
      <c r="F142" t="s">
        <v>143</v>
      </c>
      <c r="G142" s="2">
        <v>1.43E-2</v>
      </c>
    </row>
    <row r="143" spans="1:7" x14ac:dyDescent="0.2">
      <c r="A143" s="1">
        <v>45666</v>
      </c>
      <c r="B143">
        <v>112.75</v>
      </c>
      <c r="C143">
        <v>114.18</v>
      </c>
      <c r="D143">
        <v>118.36</v>
      </c>
      <c r="E143">
        <v>108.35</v>
      </c>
      <c r="F143" t="s">
        <v>144</v>
      </c>
      <c r="G143" s="2">
        <v>-1.35E-2</v>
      </c>
    </row>
    <row r="144" spans="1:7" x14ac:dyDescent="0.2">
      <c r="A144" s="1">
        <v>45665</v>
      </c>
      <c r="B144">
        <v>114.29</v>
      </c>
      <c r="C144">
        <v>112</v>
      </c>
      <c r="D144">
        <v>114.79</v>
      </c>
      <c r="E144">
        <v>105.53</v>
      </c>
      <c r="F144" t="s">
        <v>145</v>
      </c>
      <c r="G144" s="2">
        <v>2.3699999999999999E-2</v>
      </c>
    </row>
    <row r="145" spans="1:7" x14ac:dyDescent="0.2">
      <c r="A145" s="1">
        <v>45664</v>
      </c>
      <c r="B145">
        <v>111.64</v>
      </c>
      <c r="C145">
        <v>108.13</v>
      </c>
      <c r="D145">
        <v>115.76</v>
      </c>
      <c r="E145">
        <v>107.15</v>
      </c>
      <c r="F145" t="s">
        <v>146</v>
      </c>
      <c r="G145" s="2">
        <v>3.56E-2</v>
      </c>
    </row>
    <row r="146" spans="1:7" x14ac:dyDescent="0.2">
      <c r="A146" s="1">
        <v>45663</v>
      </c>
      <c r="B146">
        <v>107.8</v>
      </c>
      <c r="C146">
        <v>103.75</v>
      </c>
      <c r="D146">
        <v>116.95</v>
      </c>
      <c r="E146">
        <v>101.73</v>
      </c>
      <c r="F146" t="s">
        <v>147</v>
      </c>
      <c r="G146" s="2">
        <v>5.3800000000000001E-2</v>
      </c>
    </row>
    <row r="147" spans="1:7" x14ac:dyDescent="0.2">
      <c r="A147" s="1">
        <v>45662</v>
      </c>
      <c r="B147">
        <v>102.3</v>
      </c>
      <c r="C147">
        <v>105.1</v>
      </c>
      <c r="D147">
        <v>110.51</v>
      </c>
      <c r="E147">
        <v>101.18</v>
      </c>
      <c r="F147" t="s">
        <v>148</v>
      </c>
      <c r="G147" s="2">
        <v>-3.15E-2</v>
      </c>
    </row>
    <row r="148" spans="1:7" x14ac:dyDescent="0.2">
      <c r="A148" s="1">
        <v>45661</v>
      </c>
      <c r="B148">
        <v>105.63</v>
      </c>
      <c r="C148">
        <v>119.22</v>
      </c>
      <c r="D148">
        <v>119.28</v>
      </c>
      <c r="E148">
        <v>97.8</v>
      </c>
      <c r="F148" t="s">
        <v>149</v>
      </c>
      <c r="G148" s="2">
        <v>-0.1118</v>
      </c>
    </row>
    <row r="149" spans="1:7" x14ac:dyDescent="0.2">
      <c r="A149" s="1">
        <v>45660</v>
      </c>
      <c r="B149">
        <v>118.93</v>
      </c>
      <c r="C149">
        <v>111.7</v>
      </c>
      <c r="D149">
        <v>119.9</v>
      </c>
      <c r="E149">
        <v>103.67</v>
      </c>
      <c r="F149" t="s">
        <v>150</v>
      </c>
      <c r="G149" s="2">
        <v>6.83E-2</v>
      </c>
    </row>
    <row r="150" spans="1:7" x14ac:dyDescent="0.2">
      <c r="A150" s="1">
        <v>45659</v>
      </c>
      <c r="B150">
        <v>111.33</v>
      </c>
      <c r="C150">
        <v>106.64</v>
      </c>
      <c r="D150">
        <v>112.51</v>
      </c>
      <c r="E150">
        <v>105.32</v>
      </c>
      <c r="F150" t="s">
        <v>151</v>
      </c>
      <c r="G150" s="2">
        <v>4.2099999999999999E-2</v>
      </c>
    </row>
    <row r="151" spans="1:7" x14ac:dyDescent="0.2">
      <c r="A151" s="1">
        <v>45658</v>
      </c>
      <c r="B151">
        <v>106.83</v>
      </c>
      <c r="C151">
        <v>108.28</v>
      </c>
      <c r="D151">
        <v>112.87</v>
      </c>
      <c r="E151">
        <v>105.78</v>
      </c>
      <c r="F151" t="s">
        <v>152</v>
      </c>
      <c r="G151" s="2">
        <v>-6.8999999999999999E-3</v>
      </c>
    </row>
    <row r="152" spans="1:7" x14ac:dyDescent="0.2">
      <c r="A152" s="1">
        <v>45303</v>
      </c>
      <c r="B152">
        <v>107.57</v>
      </c>
      <c r="C152">
        <v>118.05</v>
      </c>
      <c r="D152">
        <v>118.72</v>
      </c>
      <c r="E152">
        <v>104.84</v>
      </c>
      <c r="F152" t="s">
        <v>153</v>
      </c>
      <c r="G152" s="2">
        <v>-8.8099999999999998E-2</v>
      </c>
    </row>
    <row r="153" spans="1:7" x14ac:dyDescent="0.2">
      <c r="A153" s="1">
        <v>45302</v>
      </c>
      <c r="B153">
        <v>117.96</v>
      </c>
      <c r="C153">
        <v>119.93</v>
      </c>
      <c r="D153">
        <v>123.21</v>
      </c>
      <c r="E153">
        <v>114.84</v>
      </c>
      <c r="F153" t="s">
        <v>154</v>
      </c>
      <c r="G153" s="2">
        <v>1.01E-2</v>
      </c>
    </row>
    <row r="154" spans="1:7" x14ac:dyDescent="0.2">
      <c r="A154" s="1">
        <v>45301</v>
      </c>
      <c r="B154">
        <v>116.78</v>
      </c>
      <c r="C154">
        <v>116.04</v>
      </c>
      <c r="D154">
        <v>126.34</v>
      </c>
      <c r="E154">
        <v>115.93</v>
      </c>
      <c r="F154" t="s">
        <v>155</v>
      </c>
      <c r="G154" s="2">
        <v>-3.8E-3</v>
      </c>
    </row>
    <row r="155" spans="1:7" x14ac:dyDescent="0.2">
      <c r="A155" s="1">
        <v>45300</v>
      </c>
      <c r="B155">
        <v>117.22</v>
      </c>
      <c r="C155">
        <v>115.84</v>
      </c>
      <c r="D155">
        <v>118.16</v>
      </c>
      <c r="E155">
        <v>107.77</v>
      </c>
      <c r="F155" t="s">
        <v>156</v>
      </c>
      <c r="G155" s="2">
        <v>-6.1000000000000004E-3</v>
      </c>
    </row>
    <row r="156" spans="1:7" x14ac:dyDescent="0.2">
      <c r="A156" s="1">
        <v>45299</v>
      </c>
      <c r="B156">
        <v>117.94</v>
      </c>
      <c r="C156">
        <v>118.35</v>
      </c>
      <c r="D156">
        <v>120.5</v>
      </c>
      <c r="E156">
        <v>113.25</v>
      </c>
      <c r="F156" t="s">
        <v>157</v>
      </c>
      <c r="G156" s="2">
        <v>-5.4999999999999997E-3</v>
      </c>
    </row>
    <row r="157" spans="1:7" x14ac:dyDescent="0.2">
      <c r="A157" s="1">
        <v>45298</v>
      </c>
      <c r="B157">
        <v>118.59</v>
      </c>
      <c r="C157">
        <v>115.71</v>
      </c>
      <c r="D157">
        <v>119.92</v>
      </c>
      <c r="E157">
        <v>110.42</v>
      </c>
      <c r="F157" t="s">
        <v>158</v>
      </c>
      <c r="G157" s="2">
        <v>3.0099999999999998E-2</v>
      </c>
    </row>
    <row r="158" spans="1:7" x14ac:dyDescent="0.2">
      <c r="A158" s="1">
        <v>45297</v>
      </c>
      <c r="B158">
        <v>115.12</v>
      </c>
      <c r="C158">
        <v>116.3</v>
      </c>
      <c r="D158">
        <v>116.54</v>
      </c>
      <c r="E158">
        <v>108.18</v>
      </c>
      <c r="F158" t="s">
        <v>159</v>
      </c>
      <c r="G158" s="2">
        <v>-1.83E-2</v>
      </c>
    </row>
    <row r="159" spans="1:7" x14ac:dyDescent="0.2">
      <c r="A159" s="1">
        <v>45296</v>
      </c>
      <c r="B159">
        <v>117.26</v>
      </c>
      <c r="C159">
        <v>118.28</v>
      </c>
      <c r="D159">
        <v>119.89</v>
      </c>
      <c r="E159">
        <v>112.81</v>
      </c>
      <c r="F159" t="s">
        <v>160</v>
      </c>
      <c r="G159" s="2">
        <v>-8.5000000000000006E-3</v>
      </c>
    </row>
    <row r="160" spans="1:7" x14ac:dyDescent="0.2">
      <c r="A160" s="1">
        <v>45295</v>
      </c>
      <c r="B160">
        <v>118.27</v>
      </c>
      <c r="C160">
        <v>116.41</v>
      </c>
      <c r="D160">
        <v>123.75</v>
      </c>
      <c r="E160">
        <v>115.38</v>
      </c>
      <c r="F160" t="s">
        <v>161</v>
      </c>
      <c r="G160" s="2">
        <v>1.7500000000000002E-2</v>
      </c>
    </row>
    <row r="161" spans="1:7" x14ac:dyDescent="0.2">
      <c r="A161" s="1">
        <v>45294</v>
      </c>
      <c r="B161">
        <v>116.24</v>
      </c>
      <c r="C161">
        <v>105.72</v>
      </c>
      <c r="D161">
        <v>116.45</v>
      </c>
      <c r="E161">
        <v>104.03</v>
      </c>
      <c r="F161" t="s">
        <v>162</v>
      </c>
      <c r="G161" s="2">
        <v>0.11210000000000001</v>
      </c>
    </row>
    <row r="162" spans="1:7" x14ac:dyDescent="0.2">
      <c r="A162" s="1">
        <v>45293</v>
      </c>
      <c r="B162">
        <v>104.52</v>
      </c>
      <c r="C162">
        <v>103.57</v>
      </c>
      <c r="D162">
        <v>105.43</v>
      </c>
      <c r="E162">
        <v>100.42</v>
      </c>
      <c r="F162" t="s">
        <v>163</v>
      </c>
      <c r="G162" s="2">
        <v>1.66E-2</v>
      </c>
    </row>
    <row r="163" spans="1:7" x14ac:dyDescent="0.2">
      <c r="A163" s="1">
        <v>45292</v>
      </c>
      <c r="B163">
        <v>102.81</v>
      </c>
      <c r="C163">
        <v>100.92</v>
      </c>
      <c r="D163">
        <v>104.88</v>
      </c>
      <c r="E163">
        <v>95.77</v>
      </c>
      <c r="F163" t="s">
        <v>164</v>
      </c>
      <c r="G163" s="2">
        <v>2.8299999999999999E-2</v>
      </c>
    </row>
    <row r="164" spans="1:7" x14ac:dyDescent="0.2">
      <c r="A164" s="1">
        <v>44938</v>
      </c>
      <c r="B164">
        <v>99.98</v>
      </c>
      <c r="C164">
        <v>102.5</v>
      </c>
      <c r="D164">
        <v>104.22</v>
      </c>
      <c r="E164">
        <v>97.48</v>
      </c>
      <c r="F164" t="s">
        <v>165</v>
      </c>
      <c r="G164" s="2">
        <v>-2.69E-2</v>
      </c>
    </row>
    <row r="165" spans="1:7" x14ac:dyDescent="0.2">
      <c r="A165" s="1">
        <v>44937</v>
      </c>
      <c r="B165">
        <v>102.74</v>
      </c>
      <c r="C165">
        <v>106.53</v>
      </c>
      <c r="D165">
        <v>109.19</v>
      </c>
      <c r="E165">
        <v>101.15</v>
      </c>
      <c r="F165" t="s">
        <v>166</v>
      </c>
      <c r="G165" s="2">
        <v>-2.9399999999999999E-2</v>
      </c>
    </row>
    <row r="166" spans="1:7" x14ac:dyDescent="0.2">
      <c r="A166" s="1">
        <v>44936</v>
      </c>
      <c r="B166">
        <v>105.85</v>
      </c>
      <c r="C166">
        <v>117.53</v>
      </c>
      <c r="D166">
        <v>117.79</v>
      </c>
      <c r="E166">
        <v>104.54</v>
      </c>
      <c r="F166" t="s">
        <v>167</v>
      </c>
      <c r="G166" s="2">
        <v>-9.98E-2</v>
      </c>
    </row>
    <row r="167" spans="1:7" x14ac:dyDescent="0.2">
      <c r="A167" s="1">
        <v>44935</v>
      </c>
      <c r="B167">
        <v>117.58</v>
      </c>
      <c r="C167">
        <v>112.2</v>
      </c>
      <c r="D167">
        <v>120.7</v>
      </c>
      <c r="E167">
        <v>112.2</v>
      </c>
      <c r="F167" t="s">
        <v>168</v>
      </c>
      <c r="G167" s="2">
        <v>5.7500000000000002E-2</v>
      </c>
    </row>
    <row r="168" spans="1:7" x14ac:dyDescent="0.2">
      <c r="A168" s="1">
        <v>44934</v>
      </c>
      <c r="B168">
        <v>111.19</v>
      </c>
      <c r="C168">
        <v>106.95</v>
      </c>
      <c r="D168">
        <v>112.07</v>
      </c>
      <c r="E168">
        <v>104.57</v>
      </c>
      <c r="F168" t="s">
        <v>169</v>
      </c>
      <c r="G168" s="2">
        <v>3.6799999999999999E-2</v>
      </c>
    </row>
    <row r="169" spans="1:7" x14ac:dyDescent="0.2">
      <c r="A169" s="1">
        <v>44933</v>
      </c>
      <c r="B169">
        <v>107.24</v>
      </c>
      <c r="C169">
        <v>107.49</v>
      </c>
      <c r="D169">
        <v>108.46</v>
      </c>
      <c r="E169">
        <v>100.22</v>
      </c>
      <c r="F169" t="s">
        <v>170</v>
      </c>
      <c r="G169" s="2">
        <v>-1E-4</v>
      </c>
    </row>
    <row r="170" spans="1:7" x14ac:dyDescent="0.2">
      <c r="A170" s="1">
        <v>44932</v>
      </c>
      <c r="B170">
        <v>107.25</v>
      </c>
      <c r="C170">
        <v>101.75</v>
      </c>
      <c r="D170">
        <v>109.14</v>
      </c>
      <c r="E170">
        <v>101.26</v>
      </c>
      <c r="F170" t="s">
        <v>171</v>
      </c>
      <c r="G170" s="2">
        <v>4.9599999999999998E-2</v>
      </c>
    </row>
    <row r="171" spans="1:7" x14ac:dyDescent="0.2">
      <c r="A171" s="1">
        <v>44931</v>
      </c>
      <c r="B171">
        <v>102.18</v>
      </c>
      <c r="C171">
        <v>115.99</v>
      </c>
      <c r="D171">
        <v>117.3</v>
      </c>
      <c r="E171">
        <v>101.74</v>
      </c>
      <c r="F171" t="s">
        <v>172</v>
      </c>
      <c r="G171" s="2">
        <v>-0.1366</v>
      </c>
    </row>
    <row r="172" spans="1:7" x14ac:dyDescent="0.2">
      <c r="A172" s="1">
        <v>44930</v>
      </c>
      <c r="B172">
        <v>118.34</v>
      </c>
      <c r="C172">
        <v>113.39</v>
      </c>
      <c r="D172">
        <v>119.92</v>
      </c>
      <c r="E172">
        <v>113.12</v>
      </c>
      <c r="F172" t="s">
        <v>173</v>
      </c>
      <c r="G172" s="2">
        <v>7.9200000000000007E-2</v>
      </c>
    </row>
    <row r="173" spans="1:7" x14ac:dyDescent="0.2">
      <c r="A173" s="1">
        <v>44929</v>
      </c>
      <c r="B173">
        <v>109.66</v>
      </c>
      <c r="C173">
        <v>109.31</v>
      </c>
      <c r="D173">
        <v>113.84</v>
      </c>
      <c r="E173">
        <v>98.02</v>
      </c>
      <c r="F173" t="s">
        <v>174</v>
      </c>
      <c r="G173" s="2">
        <v>-2.3E-3</v>
      </c>
    </row>
    <row r="174" spans="1:7" x14ac:dyDescent="0.2">
      <c r="A174" s="1">
        <v>44928</v>
      </c>
      <c r="B174">
        <v>109.91</v>
      </c>
      <c r="C174">
        <v>115.83</v>
      </c>
      <c r="D174">
        <v>119.63</v>
      </c>
      <c r="E174">
        <v>108.64</v>
      </c>
      <c r="F174" t="s">
        <v>175</v>
      </c>
      <c r="G174" s="2">
        <v>-5.2600000000000001E-2</v>
      </c>
    </row>
    <row r="175" spans="1:7" x14ac:dyDescent="0.2">
      <c r="A175" s="1">
        <v>44927</v>
      </c>
      <c r="B175">
        <v>116.01</v>
      </c>
      <c r="C175">
        <v>109.78</v>
      </c>
      <c r="D175">
        <v>117.78</v>
      </c>
      <c r="E175">
        <v>104.76</v>
      </c>
      <c r="F175" t="s">
        <v>176</v>
      </c>
      <c r="G175" s="2">
        <v>5.1799999999999999E-2</v>
      </c>
    </row>
    <row r="176" spans="1:7" x14ac:dyDescent="0.2">
      <c r="A176" s="1">
        <v>44573</v>
      </c>
      <c r="B176">
        <v>110.3</v>
      </c>
      <c r="C176">
        <v>111.64</v>
      </c>
      <c r="D176">
        <v>112.07</v>
      </c>
      <c r="E176">
        <v>102.37</v>
      </c>
      <c r="F176" t="s">
        <v>177</v>
      </c>
      <c r="G176" s="2">
        <v>-9.2999999999999992E-3</v>
      </c>
    </row>
    <row r="177" spans="1:7" x14ac:dyDescent="0.2">
      <c r="A177" s="1">
        <v>44572</v>
      </c>
      <c r="B177">
        <v>111.34</v>
      </c>
      <c r="C177">
        <v>112.37</v>
      </c>
      <c r="D177">
        <v>114.66</v>
      </c>
      <c r="E177">
        <v>107.48</v>
      </c>
      <c r="F177" t="s">
        <v>178</v>
      </c>
      <c r="G177" s="2">
        <v>4.7999999999999996E-3</v>
      </c>
    </row>
    <row r="178" spans="1:7" x14ac:dyDescent="0.2">
      <c r="A178" s="1">
        <v>44571</v>
      </c>
      <c r="B178">
        <v>110.81</v>
      </c>
      <c r="C178">
        <v>90.04</v>
      </c>
      <c r="D178">
        <v>112.91</v>
      </c>
      <c r="E178">
        <v>89.72</v>
      </c>
      <c r="F178" t="s">
        <v>179</v>
      </c>
      <c r="G178" s="2">
        <v>0.26919999999999999</v>
      </c>
    </row>
    <row r="179" spans="1:7" x14ac:dyDescent="0.2">
      <c r="A179" s="1">
        <v>44570</v>
      </c>
      <c r="B179">
        <v>87.31</v>
      </c>
      <c r="C179">
        <v>94.42</v>
      </c>
      <c r="D179">
        <v>99.19</v>
      </c>
      <c r="E179">
        <v>83.89</v>
      </c>
      <c r="F179" t="s">
        <v>180</v>
      </c>
      <c r="G179" s="2">
        <v>-8.6599999999999996E-2</v>
      </c>
    </row>
    <row r="180" spans="1:7" x14ac:dyDescent="0.2">
      <c r="A180" s="1">
        <v>44569</v>
      </c>
      <c r="B180">
        <v>95.59</v>
      </c>
      <c r="C180">
        <v>94.79</v>
      </c>
      <c r="D180">
        <v>101.56</v>
      </c>
      <c r="E180">
        <v>86.28</v>
      </c>
      <c r="F180" t="s">
        <v>181</v>
      </c>
      <c r="G180" s="2">
        <v>-1.38E-2</v>
      </c>
    </row>
    <row r="181" spans="1:7" x14ac:dyDescent="0.2">
      <c r="A181" s="1">
        <v>44568</v>
      </c>
      <c r="B181">
        <v>96.93</v>
      </c>
      <c r="C181">
        <v>86.74</v>
      </c>
      <c r="D181">
        <v>97.51</v>
      </c>
      <c r="E181">
        <v>80.69</v>
      </c>
      <c r="F181" t="s">
        <v>182</v>
      </c>
      <c r="G181" s="2">
        <v>0.1318</v>
      </c>
    </row>
    <row r="182" spans="1:7" x14ac:dyDescent="0.2">
      <c r="A182" s="1">
        <v>44567</v>
      </c>
      <c r="B182">
        <v>85.64</v>
      </c>
      <c r="C182">
        <v>97.02</v>
      </c>
      <c r="D182">
        <v>105.57</v>
      </c>
      <c r="E182">
        <v>83.52</v>
      </c>
      <c r="F182" t="s">
        <v>183</v>
      </c>
      <c r="G182" s="2">
        <v>-0.1079</v>
      </c>
    </row>
    <row r="183" spans="1:7" x14ac:dyDescent="0.2">
      <c r="A183" s="1">
        <v>44566</v>
      </c>
      <c r="B183">
        <v>96</v>
      </c>
      <c r="C183">
        <v>85.01</v>
      </c>
      <c r="D183">
        <v>99.78</v>
      </c>
      <c r="E183">
        <v>83.4</v>
      </c>
      <c r="F183" t="s">
        <v>184</v>
      </c>
      <c r="G183" s="2">
        <v>0.12609999999999999</v>
      </c>
    </row>
    <row r="184" spans="1:7" x14ac:dyDescent="0.2">
      <c r="A184" s="1">
        <v>44565</v>
      </c>
      <c r="B184">
        <v>85.25</v>
      </c>
      <c r="C184">
        <v>81.99</v>
      </c>
      <c r="D184">
        <v>89.8</v>
      </c>
      <c r="E184">
        <v>79.290000000000006</v>
      </c>
      <c r="F184" t="s">
        <v>185</v>
      </c>
      <c r="G184" s="2">
        <v>3.2199999999999999E-2</v>
      </c>
    </row>
    <row r="185" spans="1:7" x14ac:dyDescent="0.2">
      <c r="A185" s="1">
        <v>44564</v>
      </c>
      <c r="B185">
        <v>82.59</v>
      </c>
      <c r="C185">
        <v>78.77</v>
      </c>
      <c r="D185">
        <v>91.5</v>
      </c>
      <c r="E185">
        <v>76.25</v>
      </c>
      <c r="F185" t="s">
        <v>186</v>
      </c>
      <c r="G185" s="2">
        <v>5.3199999999999997E-2</v>
      </c>
    </row>
    <row r="186" spans="1:7" x14ac:dyDescent="0.2">
      <c r="A186" s="1">
        <v>44563</v>
      </c>
      <c r="B186">
        <v>78.42</v>
      </c>
      <c r="C186">
        <v>76.45</v>
      </c>
      <c r="D186">
        <v>83.08</v>
      </c>
      <c r="E186">
        <v>74.03</v>
      </c>
      <c r="F186" t="s">
        <v>187</v>
      </c>
      <c r="G186" s="2">
        <v>3.2399999999999998E-2</v>
      </c>
    </row>
    <row r="187" spans="1:7" x14ac:dyDescent="0.2">
      <c r="A187" s="1">
        <v>44562</v>
      </c>
      <c r="B187">
        <v>75.959999999999994</v>
      </c>
      <c r="C187">
        <v>61.24</v>
      </c>
      <c r="D187">
        <v>76.42</v>
      </c>
      <c r="E187">
        <v>61.21</v>
      </c>
      <c r="F187" t="s">
        <v>188</v>
      </c>
      <c r="G187" s="2">
        <v>0.2414</v>
      </c>
    </row>
    <row r="188" spans="1:7" x14ac:dyDescent="0.2">
      <c r="A188" s="1">
        <v>44208</v>
      </c>
      <c r="B188">
        <v>61.19</v>
      </c>
      <c r="C188">
        <v>60.9</v>
      </c>
      <c r="D188">
        <v>63.35</v>
      </c>
      <c r="E188">
        <v>57.96</v>
      </c>
      <c r="F188" t="s">
        <v>189</v>
      </c>
      <c r="G188" s="2">
        <v>2.2599999999999999E-2</v>
      </c>
    </row>
    <row r="189" spans="1:7" x14ac:dyDescent="0.2">
      <c r="A189" s="1">
        <v>44207</v>
      </c>
      <c r="B189">
        <v>59.84</v>
      </c>
      <c r="C189">
        <v>65.069999999999993</v>
      </c>
      <c r="D189">
        <v>66.38</v>
      </c>
      <c r="E189">
        <v>59.54</v>
      </c>
      <c r="F189" t="s">
        <v>190</v>
      </c>
      <c r="G189" s="2">
        <v>-7.1800000000000003E-2</v>
      </c>
    </row>
    <row r="190" spans="1:7" x14ac:dyDescent="0.2">
      <c r="A190" s="1">
        <v>44206</v>
      </c>
      <c r="B190">
        <v>64.47</v>
      </c>
      <c r="C190">
        <v>59.41</v>
      </c>
      <c r="D190">
        <v>65.94</v>
      </c>
      <c r="E190">
        <v>59.41</v>
      </c>
      <c r="F190" t="s">
        <v>191</v>
      </c>
      <c r="G190" s="2">
        <v>9.6100000000000005E-2</v>
      </c>
    </row>
    <row r="191" spans="1:7" x14ac:dyDescent="0.2">
      <c r="A191" s="1">
        <v>44205</v>
      </c>
      <c r="B191">
        <v>58.82</v>
      </c>
      <c r="C191">
        <v>54.49</v>
      </c>
      <c r="D191">
        <v>60.48</v>
      </c>
      <c r="E191">
        <v>52.96</v>
      </c>
      <c r="F191" t="s">
        <v>192</v>
      </c>
      <c r="G191" s="2">
        <v>7.8899999999999998E-2</v>
      </c>
    </row>
    <row r="192" spans="1:7" x14ac:dyDescent="0.2">
      <c r="A192" s="1">
        <v>44204</v>
      </c>
      <c r="B192">
        <v>54.52</v>
      </c>
      <c r="C192">
        <v>57.55</v>
      </c>
      <c r="D192">
        <v>59.06</v>
      </c>
      <c r="E192">
        <v>52.1</v>
      </c>
      <c r="F192" t="s">
        <v>193</v>
      </c>
      <c r="G192" s="2">
        <v>-5.2999999999999999E-2</v>
      </c>
    </row>
    <row r="193" spans="1:7" x14ac:dyDescent="0.2">
      <c r="A193" s="1">
        <v>44203</v>
      </c>
      <c r="B193">
        <v>57.57</v>
      </c>
      <c r="C193">
        <v>64.33</v>
      </c>
      <c r="D193">
        <v>64.42</v>
      </c>
      <c r="E193">
        <v>54.6</v>
      </c>
      <c r="F193" t="s">
        <v>194</v>
      </c>
      <c r="G193" s="2">
        <v>-8.7300000000000003E-2</v>
      </c>
    </row>
    <row r="194" spans="1:7" x14ac:dyDescent="0.2">
      <c r="A194" s="1">
        <v>44202</v>
      </c>
      <c r="B194">
        <v>63.08</v>
      </c>
      <c r="C194">
        <v>59.45</v>
      </c>
      <c r="D194">
        <v>64.930000000000007</v>
      </c>
      <c r="E194">
        <v>59.45</v>
      </c>
      <c r="F194" t="s">
        <v>195</v>
      </c>
      <c r="G194" s="2">
        <v>8.0699999999999994E-2</v>
      </c>
    </row>
    <row r="195" spans="1:7" x14ac:dyDescent="0.2">
      <c r="A195" s="1">
        <v>44201</v>
      </c>
      <c r="B195">
        <v>58.37</v>
      </c>
      <c r="C195">
        <v>57.98</v>
      </c>
      <c r="D195">
        <v>64.02</v>
      </c>
      <c r="E195">
        <v>57.74</v>
      </c>
      <c r="F195" t="s">
        <v>196</v>
      </c>
      <c r="G195" s="2">
        <v>1.9699999999999999E-2</v>
      </c>
    </row>
    <row r="196" spans="1:7" x14ac:dyDescent="0.2">
      <c r="A196" s="1">
        <v>44200</v>
      </c>
      <c r="B196">
        <v>57.24</v>
      </c>
      <c r="C196">
        <v>56.32</v>
      </c>
      <c r="D196">
        <v>59.48</v>
      </c>
      <c r="E196">
        <v>54.3</v>
      </c>
      <c r="F196" t="s">
        <v>197</v>
      </c>
      <c r="G196" s="2">
        <v>2.53E-2</v>
      </c>
    </row>
    <row r="197" spans="1:7" x14ac:dyDescent="0.2">
      <c r="A197" s="1">
        <v>44199</v>
      </c>
      <c r="B197">
        <v>55.83</v>
      </c>
      <c r="C197">
        <v>56.47</v>
      </c>
      <c r="D197">
        <v>62.55</v>
      </c>
      <c r="E197">
        <v>54.45</v>
      </c>
      <c r="F197" t="s">
        <v>198</v>
      </c>
      <c r="G197" s="2">
        <v>2.69E-2</v>
      </c>
    </row>
    <row r="198" spans="1:7" x14ac:dyDescent="0.2">
      <c r="A198" s="1">
        <v>44198</v>
      </c>
      <c r="B198">
        <v>54.37</v>
      </c>
      <c r="C198">
        <v>45.58</v>
      </c>
      <c r="D198">
        <v>57.24</v>
      </c>
      <c r="E198">
        <v>44.29</v>
      </c>
      <c r="F198" t="s">
        <v>199</v>
      </c>
      <c r="G198" s="2">
        <v>0.21249999999999999</v>
      </c>
    </row>
    <row r="199" spans="1:7" x14ac:dyDescent="0.2">
      <c r="A199" s="1">
        <v>44197</v>
      </c>
      <c r="B199">
        <v>44.84</v>
      </c>
      <c r="C199">
        <v>41.45</v>
      </c>
      <c r="D199">
        <v>51.08</v>
      </c>
      <c r="E199">
        <v>41</v>
      </c>
      <c r="F199" t="s">
        <v>200</v>
      </c>
      <c r="G199" s="2">
        <v>8.7800000000000003E-2</v>
      </c>
    </row>
    <row r="200" spans="1:7" x14ac:dyDescent="0.2">
      <c r="A200" s="1">
        <v>43842</v>
      </c>
      <c r="B200">
        <v>41.22</v>
      </c>
      <c r="C200">
        <v>38.96</v>
      </c>
      <c r="D200">
        <v>44.47</v>
      </c>
      <c r="E200">
        <v>38.340000000000003</v>
      </c>
      <c r="F200" t="s">
        <v>201</v>
      </c>
      <c r="G200" s="2">
        <v>8.1000000000000003E-2</v>
      </c>
    </row>
    <row r="201" spans="1:7" x14ac:dyDescent="0.2">
      <c r="A201" s="1">
        <v>43841</v>
      </c>
      <c r="B201">
        <v>38.130000000000003</v>
      </c>
      <c r="C201">
        <v>33.14</v>
      </c>
      <c r="D201">
        <v>42.08</v>
      </c>
      <c r="E201">
        <v>32.53</v>
      </c>
      <c r="F201" t="s">
        <v>202</v>
      </c>
      <c r="G201" s="2">
        <v>0.16889999999999999</v>
      </c>
    </row>
    <row r="202" spans="1:7" x14ac:dyDescent="0.2">
      <c r="A202" s="1">
        <v>43840</v>
      </c>
      <c r="B202">
        <v>32.619999999999997</v>
      </c>
      <c r="C202">
        <v>33.79</v>
      </c>
      <c r="D202">
        <v>35.950000000000003</v>
      </c>
      <c r="E202">
        <v>31.11</v>
      </c>
      <c r="F202" t="s">
        <v>203</v>
      </c>
      <c r="G202" s="2">
        <v>-4.9799999999999997E-2</v>
      </c>
    </row>
    <row r="203" spans="1:7" x14ac:dyDescent="0.2">
      <c r="A203" s="1">
        <v>43839</v>
      </c>
      <c r="B203">
        <v>34.33</v>
      </c>
      <c r="C203">
        <v>39.75</v>
      </c>
      <c r="D203">
        <v>40.03</v>
      </c>
      <c r="E203">
        <v>33.76</v>
      </c>
      <c r="F203" t="s">
        <v>204</v>
      </c>
      <c r="G203" s="2">
        <v>-0.14050000000000001</v>
      </c>
    </row>
    <row r="204" spans="1:7" x14ac:dyDescent="0.2">
      <c r="A204" s="1">
        <v>43838</v>
      </c>
      <c r="B204">
        <v>39.94</v>
      </c>
      <c r="C204">
        <v>42.05</v>
      </c>
      <c r="D204">
        <v>46.42</v>
      </c>
      <c r="E204">
        <v>39.31</v>
      </c>
      <c r="F204" t="s">
        <v>205</v>
      </c>
      <c r="G204" s="2">
        <v>-5.0900000000000001E-2</v>
      </c>
    </row>
    <row r="205" spans="1:7" x14ac:dyDescent="0.2">
      <c r="A205" s="1">
        <v>43837</v>
      </c>
      <c r="B205">
        <v>42.08</v>
      </c>
      <c r="C205">
        <v>44.49</v>
      </c>
      <c r="D205">
        <v>45.38</v>
      </c>
      <c r="E205">
        <v>40.909999999999997</v>
      </c>
      <c r="F205" t="s">
        <v>206</v>
      </c>
      <c r="G205" s="2">
        <v>-5.8999999999999997E-2</v>
      </c>
    </row>
    <row r="206" spans="1:7" x14ac:dyDescent="0.2">
      <c r="A206" s="1">
        <v>43836</v>
      </c>
      <c r="B206">
        <v>44.72</v>
      </c>
      <c r="C206">
        <v>45.32</v>
      </c>
      <c r="D206">
        <v>55.36</v>
      </c>
      <c r="E206">
        <v>43.16</v>
      </c>
      <c r="F206" t="s">
        <v>207</v>
      </c>
      <c r="G206" s="2">
        <v>-1.6500000000000001E-2</v>
      </c>
    </row>
    <row r="207" spans="1:7" x14ac:dyDescent="0.2">
      <c r="A207" s="1">
        <v>43835</v>
      </c>
      <c r="B207">
        <v>45.47</v>
      </c>
      <c r="C207">
        <v>45.63</v>
      </c>
      <c r="D207">
        <v>47.15</v>
      </c>
      <c r="E207">
        <v>40.200000000000003</v>
      </c>
      <c r="F207" t="s">
        <v>208</v>
      </c>
      <c r="G207" s="2">
        <v>-2.1499999999999998E-2</v>
      </c>
    </row>
    <row r="208" spans="1:7" x14ac:dyDescent="0.2">
      <c r="A208" s="1">
        <v>43834</v>
      </c>
      <c r="B208">
        <v>46.47</v>
      </c>
      <c r="C208">
        <v>36.86</v>
      </c>
      <c r="D208">
        <v>47.68</v>
      </c>
      <c r="E208">
        <v>36.340000000000003</v>
      </c>
      <c r="F208" t="s">
        <v>209</v>
      </c>
      <c r="G208" s="2">
        <v>0.22389999999999999</v>
      </c>
    </row>
    <row r="209" spans="1:7" x14ac:dyDescent="0.2">
      <c r="A209" s="1">
        <v>43833</v>
      </c>
      <c r="B209">
        <v>37.97</v>
      </c>
      <c r="C209">
        <v>52.59</v>
      </c>
      <c r="D209">
        <v>54.15</v>
      </c>
      <c r="E209">
        <v>30.11</v>
      </c>
      <c r="F209" t="s">
        <v>210</v>
      </c>
      <c r="G209" s="2">
        <v>-0.26190000000000002</v>
      </c>
    </row>
    <row r="210" spans="1:7" x14ac:dyDescent="0.2">
      <c r="A210" s="1">
        <v>43832</v>
      </c>
      <c r="B210">
        <v>51.44</v>
      </c>
      <c r="C210">
        <v>61.38</v>
      </c>
      <c r="D210">
        <v>63.01</v>
      </c>
      <c r="E210">
        <v>48.01</v>
      </c>
      <c r="F210" t="s">
        <v>211</v>
      </c>
      <c r="G210" s="2">
        <v>-0.1719</v>
      </c>
    </row>
    <row r="211" spans="1:7" x14ac:dyDescent="0.2">
      <c r="A211" s="1">
        <v>43831</v>
      </c>
      <c r="B211">
        <v>62.12</v>
      </c>
      <c r="C211">
        <v>70.239999999999995</v>
      </c>
      <c r="D211">
        <v>71.37</v>
      </c>
      <c r="E211">
        <v>61.86</v>
      </c>
      <c r="F211" t="s">
        <v>212</v>
      </c>
      <c r="G211" s="2">
        <v>-0.10979999999999999</v>
      </c>
    </row>
    <row r="212" spans="1:7" x14ac:dyDescent="0.2">
      <c r="A212" s="1">
        <v>43477</v>
      </c>
      <c r="B212">
        <v>69.78</v>
      </c>
      <c r="C212">
        <v>68.5</v>
      </c>
      <c r="D212">
        <v>70.540000000000006</v>
      </c>
      <c r="E212">
        <v>67.52</v>
      </c>
      <c r="F212" t="s">
        <v>213</v>
      </c>
      <c r="G212" s="2">
        <v>2.4199999999999999E-2</v>
      </c>
    </row>
    <row r="213" spans="1:7" x14ac:dyDescent="0.2">
      <c r="A213" s="1">
        <v>43476</v>
      </c>
      <c r="B213">
        <v>68.13</v>
      </c>
      <c r="C213">
        <v>68.39</v>
      </c>
      <c r="D213">
        <v>73.12</v>
      </c>
      <c r="E213">
        <v>67.319999999999993</v>
      </c>
      <c r="F213" t="s">
        <v>214</v>
      </c>
      <c r="G213" s="2">
        <v>8.3000000000000001E-3</v>
      </c>
    </row>
    <row r="214" spans="1:7" x14ac:dyDescent="0.2">
      <c r="A214" s="1">
        <v>43475</v>
      </c>
      <c r="B214">
        <v>67.569999999999993</v>
      </c>
      <c r="C214">
        <v>70.83</v>
      </c>
      <c r="D214">
        <v>70.91</v>
      </c>
      <c r="E214">
        <v>66.31</v>
      </c>
      <c r="F214" t="s">
        <v>215</v>
      </c>
      <c r="G214" s="2">
        <v>-4.3099999999999999E-2</v>
      </c>
    </row>
    <row r="215" spans="1:7" x14ac:dyDescent="0.2">
      <c r="A215" s="1">
        <v>43474</v>
      </c>
      <c r="B215">
        <v>70.61</v>
      </c>
      <c r="C215">
        <v>67.89</v>
      </c>
      <c r="D215">
        <v>75.180000000000007</v>
      </c>
      <c r="E215">
        <v>67.63</v>
      </c>
      <c r="F215" t="s">
        <v>216</v>
      </c>
      <c r="G215" s="2">
        <v>3.1099999999999999E-2</v>
      </c>
    </row>
    <row r="216" spans="1:7" x14ac:dyDescent="0.2">
      <c r="A216" s="1">
        <v>43473</v>
      </c>
      <c r="B216">
        <v>68.48</v>
      </c>
      <c r="C216">
        <v>73.739999999999995</v>
      </c>
      <c r="D216">
        <v>74.27</v>
      </c>
      <c r="E216">
        <v>66.53</v>
      </c>
      <c r="F216" t="s">
        <v>217</v>
      </c>
      <c r="G216" s="2">
        <v>-7.9100000000000004E-2</v>
      </c>
    </row>
    <row r="217" spans="1:7" x14ac:dyDescent="0.2">
      <c r="A217" s="1">
        <v>43472</v>
      </c>
      <c r="B217">
        <v>74.36</v>
      </c>
      <c r="C217">
        <v>77.13</v>
      </c>
      <c r="D217">
        <v>77.930000000000007</v>
      </c>
      <c r="E217">
        <v>74.180000000000007</v>
      </c>
      <c r="F217" t="s">
        <v>218</v>
      </c>
      <c r="G217" s="2">
        <v>-2.9600000000000001E-2</v>
      </c>
    </row>
    <row r="218" spans="1:7" x14ac:dyDescent="0.2">
      <c r="A218" s="1">
        <v>43471</v>
      </c>
      <c r="B218">
        <v>76.63</v>
      </c>
      <c r="C218">
        <v>71.09</v>
      </c>
      <c r="D218">
        <v>77.760000000000005</v>
      </c>
      <c r="E218">
        <v>70.97</v>
      </c>
      <c r="F218" t="s">
        <v>219</v>
      </c>
      <c r="G218" s="2">
        <v>8.2799999999999999E-2</v>
      </c>
    </row>
    <row r="219" spans="1:7" x14ac:dyDescent="0.2">
      <c r="A219" s="1">
        <v>43470</v>
      </c>
      <c r="B219">
        <v>70.77</v>
      </c>
      <c r="C219">
        <v>79.94</v>
      </c>
      <c r="D219">
        <v>80.260000000000005</v>
      </c>
      <c r="E219">
        <v>70.63</v>
      </c>
      <c r="F219" t="s">
        <v>220</v>
      </c>
      <c r="G219" s="2">
        <v>-0.11849999999999999</v>
      </c>
    </row>
    <row r="220" spans="1:7" x14ac:dyDescent="0.2">
      <c r="A220" s="1">
        <v>43469</v>
      </c>
      <c r="B220">
        <v>80.28</v>
      </c>
      <c r="C220">
        <v>81.23</v>
      </c>
      <c r="D220">
        <v>83.49</v>
      </c>
      <c r="E220">
        <v>79.56</v>
      </c>
      <c r="F220" t="s">
        <v>221</v>
      </c>
      <c r="G220" s="2">
        <v>-6.4000000000000003E-3</v>
      </c>
    </row>
    <row r="221" spans="1:7" x14ac:dyDescent="0.2">
      <c r="A221" s="1">
        <v>43468</v>
      </c>
      <c r="B221">
        <v>80.8</v>
      </c>
      <c r="C221">
        <v>79.38</v>
      </c>
      <c r="D221">
        <v>82</v>
      </c>
      <c r="E221">
        <v>77.86</v>
      </c>
      <c r="F221" t="s">
        <v>222</v>
      </c>
      <c r="G221" s="2">
        <v>2.24E-2</v>
      </c>
    </row>
    <row r="222" spans="1:7" x14ac:dyDescent="0.2">
      <c r="A222" s="1">
        <v>43467</v>
      </c>
      <c r="B222">
        <v>79.03</v>
      </c>
      <c r="C222">
        <v>74.92</v>
      </c>
      <c r="D222">
        <v>79.75</v>
      </c>
      <c r="E222">
        <v>72.73</v>
      </c>
      <c r="F222" t="s">
        <v>223</v>
      </c>
      <c r="G222" s="2">
        <v>7.85E-2</v>
      </c>
    </row>
    <row r="223" spans="1:7" x14ac:dyDescent="0.2">
      <c r="A223" s="1">
        <v>43466</v>
      </c>
      <c r="B223">
        <v>73.28</v>
      </c>
      <c r="C223">
        <v>67.349999999999994</v>
      </c>
      <c r="D223">
        <v>73.489999999999995</v>
      </c>
      <c r="E223">
        <v>67.25</v>
      </c>
      <c r="F223" t="s">
        <v>224</v>
      </c>
      <c r="G223" s="2">
        <v>7.46E-2</v>
      </c>
    </row>
    <row r="224" spans="1:7" x14ac:dyDescent="0.2">
      <c r="A224" s="1">
        <v>43112</v>
      </c>
      <c r="B224">
        <v>68.19</v>
      </c>
      <c r="C224">
        <v>80.239999999999995</v>
      </c>
      <c r="D224">
        <v>81.95</v>
      </c>
      <c r="E224">
        <v>64.650000000000006</v>
      </c>
      <c r="F224" t="s">
        <v>225</v>
      </c>
      <c r="G224" s="2">
        <v>-0.14230000000000001</v>
      </c>
    </row>
    <row r="225" spans="1:7" x14ac:dyDescent="0.2">
      <c r="A225" s="1">
        <v>43111</v>
      </c>
      <c r="B225">
        <v>79.5</v>
      </c>
      <c r="C225">
        <v>79.83</v>
      </c>
      <c r="D225">
        <v>83.75</v>
      </c>
      <c r="E225">
        <v>74.7</v>
      </c>
      <c r="F225" t="s">
        <v>226</v>
      </c>
      <c r="G225" s="2">
        <v>-2.3E-3</v>
      </c>
    </row>
    <row r="226" spans="1:7" x14ac:dyDescent="0.2">
      <c r="A226" s="1">
        <v>43110</v>
      </c>
      <c r="B226">
        <v>79.680000000000007</v>
      </c>
      <c r="C226">
        <v>85.35</v>
      </c>
      <c r="D226">
        <v>86.89</v>
      </c>
      <c r="E226">
        <v>76.22</v>
      </c>
      <c r="F226" t="s">
        <v>227</v>
      </c>
      <c r="G226" s="2">
        <v>-6.2799999999999995E-2</v>
      </c>
    </row>
    <row r="227" spans="1:7" x14ac:dyDescent="0.2">
      <c r="A227" s="1">
        <v>43109</v>
      </c>
      <c r="B227">
        <v>85.02</v>
      </c>
      <c r="C227">
        <v>80.41</v>
      </c>
      <c r="D227">
        <v>87.36</v>
      </c>
      <c r="E227">
        <v>79.599999999999994</v>
      </c>
      <c r="F227" t="s">
        <v>228</v>
      </c>
      <c r="G227" s="2">
        <v>6.0499999999999998E-2</v>
      </c>
    </row>
    <row r="228" spans="1:7" x14ac:dyDescent="0.2">
      <c r="A228" s="1">
        <v>43108</v>
      </c>
      <c r="B228">
        <v>80.17</v>
      </c>
      <c r="C228">
        <v>80.89</v>
      </c>
      <c r="D228">
        <v>81.59</v>
      </c>
      <c r="E228">
        <v>76.510000000000005</v>
      </c>
      <c r="F228" t="s">
        <v>229</v>
      </c>
      <c r="G228" s="2">
        <v>-1.6400000000000001E-2</v>
      </c>
    </row>
    <row r="229" spans="1:7" x14ac:dyDescent="0.2">
      <c r="A229" s="1">
        <v>43107</v>
      </c>
      <c r="B229">
        <v>81.510000000000005</v>
      </c>
      <c r="C229">
        <v>81.89</v>
      </c>
      <c r="D229">
        <v>84.4</v>
      </c>
      <c r="E229">
        <v>80.709999999999994</v>
      </c>
      <c r="F229" t="s">
        <v>230</v>
      </c>
      <c r="G229" s="2">
        <v>-1.47E-2</v>
      </c>
    </row>
    <row r="230" spans="1:7" x14ac:dyDescent="0.2">
      <c r="A230" s="1">
        <v>43106</v>
      </c>
      <c r="B230">
        <v>82.73</v>
      </c>
      <c r="C230">
        <v>81.87</v>
      </c>
      <c r="D230">
        <v>83.79</v>
      </c>
      <c r="E230">
        <v>79.3</v>
      </c>
      <c r="F230" t="s">
        <v>231</v>
      </c>
      <c r="G230" s="2">
        <v>1.83E-2</v>
      </c>
    </row>
    <row r="231" spans="1:7" x14ac:dyDescent="0.2">
      <c r="A231" s="1">
        <v>43105</v>
      </c>
      <c r="B231">
        <v>81.239999999999995</v>
      </c>
      <c r="C231">
        <v>77.260000000000005</v>
      </c>
      <c r="D231">
        <v>82.65</v>
      </c>
      <c r="E231">
        <v>75.400000000000006</v>
      </c>
      <c r="F231" t="s">
        <v>232</v>
      </c>
      <c r="G231" s="2">
        <v>4.4900000000000002E-2</v>
      </c>
    </row>
    <row r="232" spans="1:7" x14ac:dyDescent="0.2">
      <c r="A232" s="1">
        <v>43104</v>
      </c>
      <c r="B232">
        <v>77.75</v>
      </c>
      <c r="C232">
        <v>74.27</v>
      </c>
      <c r="D232">
        <v>80.900000000000006</v>
      </c>
      <c r="E232">
        <v>72.150000000000006</v>
      </c>
      <c r="F232" t="s">
        <v>233</v>
      </c>
      <c r="G232" s="2">
        <v>4.2099999999999999E-2</v>
      </c>
    </row>
    <row r="233" spans="1:7" x14ac:dyDescent="0.2">
      <c r="A233" s="1">
        <v>43103</v>
      </c>
      <c r="B233">
        <v>74.61</v>
      </c>
      <c r="C233">
        <v>75.53</v>
      </c>
      <c r="D233">
        <v>76.98</v>
      </c>
      <c r="E233">
        <v>72.67</v>
      </c>
      <c r="F233" t="s">
        <v>234</v>
      </c>
      <c r="G233" s="2">
        <v>-1.49E-2</v>
      </c>
    </row>
    <row r="234" spans="1:7" x14ac:dyDescent="0.2">
      <c r="A234" s="1">
        <v>43102</v>
      </c>
      <c r="B234">
        <v>75.739999999999995</v>
      </c>
      <c r="C234">
        <v>87.5</v>
      </c>
      <c r="D234">
        <v>89.25</v>
      </c>
      <c r="E234">
        <v>73.900000000000006</v>
      </c>
      <c r="F234" t="s">
        <v>235</v>
      </c>
      <c r="G234" s="2">
        <v>-0.13239999999999999</v>
      </c>
    </row>
    <row r="235" spans="1:7" x14ac:dyDescent="0.2">
      <c r="A235" s="1">
        <v>43101</v>
      </c>
      <c r="B235">
        <v>87.3</v>
      </c>
      <c r="C235">
        <v>83.82</v>
      </c>
      <c r="D235">
        <v>89.3</v>
      </c>
      <c r="E235">
        <v>83.66</v>
      </c>
      <c r="F235" t="s">
        <v>236</v>
      </c>
      <c r="G235" s="2">
        <v>4.3799999999999999E-2</v>
      </c>
    </row>
    <row r="236" spans="1:7" x14ac:dyDescent="0.2">
      <c r="A236" s="1">
        <v>42747</v>
      </c>
      <c r="B236">
        <v>83.64</v>
      </c>
      <c r="C236">
        <v>83.44</v>
      </c>
      <c r="D236">
        <v>84.36</v>
      </c>
      <c r="E236">
        <v>82.17</v>
      </c>
      <c r="F236" t="s">
        <v>237</v>
      </c>
      <c r="G236" s="2">
        <v>4.1999999999999997E-3</v>
      </c>
    </row>
    <row r="237" spans="1:7" x14ac:dyDescent="0.2">
      <c r="A237" s="1">
        <v>42746</v>
      </c>
      <c r="B237">
        <v>83.29</v>
      </c>
      <c r="C237">
        <v>83.39</v>
      </c>
      <c r="D237">
        <v>84.14</v>
      </c>
      <c r="E237">
        <v>80.010000000000005</v>
      </c>
      <c r="F237" t="s">
        <v>238</v>
      </c>
      <c r="G237" s="2">
        <v>-6.9999999999999999E-4</v>
      </c>
    </row>
    <row r="238" spans="1:7" x14ac:dyDescent="0.2">
      <c r="A238" s="1">
        <v>42745</v>
      </c>
      <c r="B238">
        <v>83.35</v>
      </c>
      <c r="C238">
        <v>81.3</v>
      </c>
      <c r="D238">
        <v>84.24</v>
      </c>
      <c r="E238">
        <v>81.25</v>
      </c>
      <c r="F238" t="s">
        <v>239</v>
      </c>
      <c r="G238" s="2">
        <v>1.67E-2</v>
      </c>
    </row>
    <row r="239" spans="1:7" x14ac:dyDescent="0.2">
      <c r="A239" s="1">
        <v>42744</v>
      </c>
      <c r="B239">
        <v>81.98</v>
      </c>
      <c r="C239">
        <v>76.37</v>
      </c>
      <c r="D239">
        <v>82.45</v>
      </c>
      <c r="E239">
        <v>76.319999999999993</v>
      </c>
      <c r="F239" t="s">
        <v>240</v>
      </c>
      <c r="G239" s="2">
        <v>7.3999999999999996E-2</v>
      </c>
    </row>
    <row r="240" spans="1:7" x14ac:dyDescent="0.2">
      <c r="A240" s="1">
        <v>42743</v>
      </c>
      <c r="B240">
        <v>76.33</v>
      </c>
      <c r="C240">
        <v>80.16</v>
      </c>
      <c r="D240">
        <v>80.819999999999993</v>
      </c>
      <c r="E240">
        <v>76.05</v>
      </c>
      <c r="F240" t="s">
        <v>241</v>
      </c>
      <c r="G240" s="2">
        <v>-4.6399999999999997E-2</v>
      </c>
    </row>
    <row r="241" spans="1:7" x14ac:dyDescent="0.2">
      <c r="A241" s="1">
        <v>42742</v>
      </c>
      <c r="B241">
        <v>80.040000000000006</v>
      </c>
      <c r="C241">
        <v>80.790000000000006</v>
      </c>
      <c r="D241">
        <v>82.49</v>
      </c>
      <c r="E241">
        <v>78.27</v>
      </c>
      <c r="F241" t="s">
        <v>242</v>
      </c>
      <c r="G241" s="2">
        <v>-8.5000000000000006E-3</v>
      </c>
    </row>
    <row r="242" spans="1:7" x14ac:dyDescent="0.2">
      <c r="A242" s="1">
        <v>42741</v>
      </c>
      <c r="B242">
        <v>80.73</v>
      </c>
      <c r="C242">
        <v>80.37</v>
      </c>
      <c r="D242">
        <v>83.69</v>
      </c>
      <c r="E242">
        <v>79.260000000000005</v>
      </c>
      <c r="F242" t="s">
        <v>243</v>
      </c>
      <c r="G242" s="2">
        <v>2.8999999999999998E-3</v>
      </c>
    </row>
    <row r="243" spans="1:7" x14ac:dyDescent="0.2">
      <c r="A243" s="1">
        <v>42740</v>
      </c>
      <c r="B243">
        <v>80.5</v>
      </c>
      <c r="C243">
        <v>81.510000000000005</v>
      </c>
      <c r="D243">
        <v>83.23</v>
      </c>
      <c r="E243">
        <v>80.47</v>
      </c>
      <c r="F243" t="s">
        <v>244</v>
      </c>
      <c r="G243" s="2">
        <v>-1.41E-2</v>
      </c>
    </row>
    <row r="244" spans="1:7" x14ac:dyDescent="0.2">
      <c r="A244" s="1">
        <v>42739</v>
      </c>
      <c r="B244">
        <v>81.650000000000006</v>
      </c>
      <c r="C244">
        <v>82.02</v>
      </c>
      <c r="D244">
        <v>83.55</v>
      </c>
      <c r="E244">
        <v>80.3</v>
      </c>
      <c r="F244" t="s">
        <v>245</v>
      </c>
      <c r="G244" s="2">
        <v>-4.4000000000000003E-3</v>
      </c>
    </row>
    <row r="245" spans="1:7" x14ac:dyDescent="0.2">
      <c r="A245" s="1">
        <v>42738</v>
      </c>
      <c r="B245">
        <v>82.01</v>
      </c>
      <c r="C245">
        <v>81.7</v>
      </c>
      <c r="D245">
        <v>84.25</v>
      </c>
      <c r="E245">
        <v>80.31</v>
      </c>
      <c r="F245" t="s">
        <v>246</v>
      </c>
      <c r="G245" s="2">
        <v>8.5000000000000006E-3</v>
      </c>
    </row>
    <row r="246" spans="1:7" x14ac:dyDescent="0.2">
      <c r="A246" s="1">
        <v>42737</v>
      </c>
      <c r="B246">
        <v>81.319999999999993</v>
      </c>
      <c r="C246">
        <v>84</v>
      </c>
      <c r="D246">
        <v>84.16</v>
      </c>
      <c r="E246">
        <v>80.760000000000005</v>
      </c>
      <c r="F246" t="s">
        <v>247</v>
      </c>
      <c r="G246" s="2">
        <v>-3.0599999999999999E-2</v>
      </c>
    </row>
    <row r="247" spans="1:7" x14ac:dyDescent="0.2">
      <c r="A247" s="1">
        <v>42736</v>
      </c>
      <c r="B247">
        <v>83.89</v>
      </c>
      <c r="C247">
        <v>90.94</v>
      </c>
      <c r="D247">
        <v>91.34</v>
      </c>
      <c r="E247">
        <v>83.13</v>
      </c>
      <c r="F247" t="s">
        <v>248</v>
      </c>
      <c r="G247" s="2">
        <v>-7.0599999999999996E-2</v>
      </c>
    </row>
    <row r="248" spans="1:7" x14ac:dyDescent="0.2">
      <c r="A248" s="1">
        <v>42381</v>
      </c>
      <c r="B248">
        <v>90.26</v>
      </c>
      <c r="C248">
        <v>87.98</v>
      </c>
      <c r="D248">
        <v>93.21</v>
      </c>
      <c r="E248">
        <v>86.6</v>
      </c>
      <c r="F248" t="s">
        <v>249</v>
      </c>
      <c r="G248" s="2">
        <v>3.39E-2</v>
      </c>
    </row>
    <row r="249" spans="1:7" x14ac:dyDescent="0.2">
      <c r="A249" s="1">
        <v>42380</v>
      </c>
      <c r="B249">
        <v>87.3</v>
      </c>
      <c r="C249">
        <v>83.5</v>
      </c>
      <c r="D249">
        <v>88.19</v>
      </c>
      <c r="E249">
        <v>82.76</v>
      </c>
      <c r="F249" t="s">
        <v>250</v>
      </c>
      <c r="G249" s="2">
        <v>4.7800000000000002E-2</v>
      </c>
    </row>
    <row r="250" spans="1:7" x14ac:dyDescent="0.2">
      <c r="A250" s="1">
        <v>42379</v>
      </c>
      <c r="B250">
        <v>83.32</v>
      </c>
      <c r="C250">
        <v>86.94</v>
      </c>
      <c r="D250">
        <v>88.67</v>
      </c>
      <c r="E250">
        <v>82.99</v>
      </c>
      <c r="F250" t="s">
        <v>251</v>
      </c>
      <c r="G250" s="2">
        <v>-4.5400000000000003E-2</v>
      </c>
    </row>
    <row r="251" spans="1:7" x14ac:dyDescent="0.2">
      <c r="A251" s="1">
        <v>42378</v>
      </c>
      <c r="B251">
        <v>87.28</v>
      </c>
      <c r="C251">
        <v>86.72</v>
      </c>
      <c r="D251">
        <v>89.37</v>
      </c>
      <c r="E251">
        <v>82.29</v>
      </c>
      <c r="F251" t="s">
        <v>252</v>
      </c>
      <c r="G251" s="2">
        <v>1.6000000000000001E-3</v>
      </c>
    </row>
    <row r="252" spans="1:7" x14ac:dyDescent="0.2">
      <c r="A252" s="1">
        <v>42377</v>
      </c>
      <c r="B252">
        <v>87.14</v>
      </c>
      <c r="C252">
        <v>88.08</v>
      </c>
      <c r="D252">
        <v>88.94</v>
      </c>
      <c r="E252">
        <v>85.58</v>
      </c>
      <c r="F252" t="s">
        <v>253</v>
      </c>
      <c r="G252" s="2">
        <v>-2.0299999999999999E-2</v>
      </c>
    </row>
    <row r="253" spans="1:7" x14ac:dyDescent="0.2">
      <c r="A253" s="1">
        <v>42376</v>
      </c>
      <c r="B253">
        <v>88.95</v>
      </c>
      <c r="C253">
        <v>93.36</v>
      </c>
      <c r="D253">
        <v>95.55</v>
      </c>
      <c r="E253">
        <v>86.12</v>
      </c>
      <c r="F253" t="s">
        <v>254</v>
      </c>
      <c r="G253" s="2">
        <v>-5.11E-2</v>
      </c>
    </row>
    <row r="254" spans="1:7" x14ac:dyDescent="0.2">
      <c r="A254" s="1">
        <v>42375</v>
      </c>
      <c r="B254">
        <v>93.74</v>
      </c>
      <c r="C254">
        <v>88.43</v>
      </c>
      <c r="D254">
        <v>93.83</v>
      </c>
      <c r="E254">
        <v>87.61</v>
      </c>
      <c r="F254" t="s">
        <v>255</v>
      </c>
      <c r="G254" s="2">
        <v>5.2999999999999999E-2</v>
      </c>
    </row>
    <row r="255" spans="1:7" x14ac:dyDescent="0.2">
      <c r="A255" s="1">
        <v>42374</v>
      </c>
      <c r="B255">
        <v>89.02</v>
      </c>
      <c r="C255">
        <v>88.24</v>
      </c>
      <c r="D255">
        <v>90.46</v>
      </c>
      <c r="E255">
        <v>87.23</v>
      </c>
      <c r="F255" t="s">
        <v>256</v>
      </c>
      <c r="G255" s="2">
        <v>7.0000000000000001E-3</v>
      </c>
    </row>
    <row r="256" spans="1:7" x14ac:dyDescent="0.2">
      <c r="A256" s="1">
        <v>42373</v>
      </c>
      <c r="B256">
        <v>88.4</v>
      </c>
      <c r="C256">
        <v>82.4</v>
      </c>
      <c r="D256">
        <v>89.78</v>
      </c>
      <c r="E256">
        <v>81.99</v>
      </c>
      <c r="F256" t="s">
        <v>257</v>
      </c>
      <c r="G256" s="2">
        <v>5.7500000000000002E-2</v>
      </c>
    </row>
    <row r="257" spans="1:7" x14ac:dyDescent="0.2">
      <c r="A257" s="1">
        <v>42372</v>
      </c>
      <c r="B257">
        <v>83.59</v>
      </c>
      <c r="C257">
        <v>80.56</v>
      </c>
      <c r="D257">
        <v>85.1</v>
      </c>
      <c r="E257">
        <v>80.31</v>
      </c>
      <c r="F257" t="s">
        <v>258</v>
      </c>
      <c r="G257" s="2">
        <v>4.2900000000000001E-2</v>
      </c>
    </row>
    <row r="258" spans="1:7" x14ac:dyDescent="0.2">
      <c r="A258" s="1">
        <v>42371</v>
      </c>
      <c r="B258">
        <v>80.150000000000006</v>
      </c>
      <c r="C258">
        <v>76.66</v>
      </c>
      <c r="D258">
        <v>83.44</v>
      </c>
      <c r="E258">
        <v>73.55</v>
      </c>
      <c r="F258" t="s">
        <v>259</v>
      </c>
      <c r="G258" s="2">
        <v>2.9499999999999998E-2</v>
      </c>
    </row>
    <row r="259" spans="1:7" x14ac:dyDescent="0.2">
      <c r="A259" s="1">
        <v>42370</v>
      </c>
      <c r="B259">
        <v>77.849999999999994</v>
      </c>
      <c r="C259">
        <v>77.5</v>
      </c>
      <c r="D259">
        <v>79.92</v>
      </c>
      <c r="E259">
        <v>71.55</v>
      </c>
      <c r="F259" t="s">
        <v>260</v>
      </c>
      <c r="G259" s="2">
        <v>-1.2999999999999999E-3</v>
      </c>
    </row>
    <row r="260" spans="1:7" x14ac:dyDescent="0.2">
      <c r="A260" s="1">
        <v>42016</v>
      </c>
      <c r="B260">
        <v>77.95</v>
      </c>
      <c r="C260">
        <v>81.760000000000005</v>
      </c>
      <c r="D260">
        <v>82.13</v>
      </c>
      <c r="E260">
        <v>73.790000000000006</v>
      </c>
      <c r="F260" t="s">
        <v>261</v>
      </c>
      <c r="G260" s="2">
        <v>-4.5400000000000003E-2</v>
      </c>
    </row>
    <row r="261" spans="1:7" x14ac:dyDescent="0.2">
      <c r="A261" s="1">
        <v>42015</v>
      </c>
      <c r="B261">
        <v>81.66</v>
      </c>
      <c r="C261">
        <v>82.3</v>
      </c>
      <c r="D261">
        <v>87.43</v>
      </c>
      <c r="E261">
        <v>77.91</v>
      </c>
      <c r="F261" t="s">
        <v>262</v>
      </c>
      <c r="G261" s="2">
        <v>-1.3100000000000001E-2</v>
      </c>
    </row>
    <row r="262" spans="1:7" x14ac:dyDescent="0.2">
      <c r="A262" s="1">
        <v>42014</v>
      </c>
      <c r="B262">
        <v>82.74</v>
      </c>
      <c r="C262">
        <v>75.2</v>
      </c>
      <c r="D262">
        <v>83.88</v>
      </c>
      <c r="E262">
        <v>73.03</v>
      </c>
      <c r="F262" t="s">
        <v>263</v>
      </c>
      <c r="G262" s="2">
        <v>0.1128</v>
      </c>
    </row>
    <row r="263" spans="1:7" x14ac:dyDescent="0.2">
      <c r="A263" s="1">
        <v>42013</v>
      </c>
      <c r="B263">
        <v>74.349999999999994</v>
      </c>
      <c r="C263">
        <v>73.3</v>
      </c>
      <c r="D263">
        <v>75.47</v>
      </c>
      <c r="E263">
        <v>71.510000000000005</v>
      </c>
      <c r="F263" t="s">
        <v>264</v>
      </c>
      <c r="G263" s="2">
        <v>-1.18E-2</v>
      </c>
    </row>
    <row r="264" spans="1:7" x14ac:dyDescent="0.2">
      <c r="A264" s="1">
        <v>42012</v>
      </c>
      <c r="B264">
        <v>75.239999999999995</v>
      </c>
      <c r="C264">
        <v>78.7</v>
      </c>
      <c r="D264">
        <v>79.290000000000006</v>
      </c>
      <c r="E264">
        <v>66.55</v>
      </c>
      <c r="F264" t="s">
        <v>265</v>
      </c>
      <c r="G264" s="2">
        <v>-5.0099999999999999E-2</v>
      </c>
    </row>
    <row r="265" spans="1:7" x14ac:dyDescent="0.2">
      <c r="A265" s="1">
        <v>42011</v>
      </c>
      <c r="B265">
        <v>79.209999999999994</v>
      </c>
      <c r="C265">
        <v>83.28</v>
      </c>
      <c r="D265">
        <v>83.53</v>
      </c>
      <c r="E265">
        <v>78.930000000000007</v>
      </c>
      <c r="F265" t="s">
        <v>266</v>
      </c>
      <c r="G265" s="2">
        <v>-4.8000000000000001E-2</v>
      </c>
    </row>
    <row r="266" spans="1:7" x14ac:dyDescent="0.2">
      <c r="A266" s="1">
        <v>42010</v>
      </c>
      <c r="B266">
        <v>83.2</v>
      </c>
      <c r="C266">
        <v>85.25</v>
      </c>
      <c r="D266">
        <v>85.97</v>
      </c>
      <c r="E266">
        <v>82.8</v>
      </c>
      <c r="F266" t="s">
        <v>267</v>
      </c>
      <c r="G266" s="2">
        <v>-2.35E-2</v>
      </c>
    </row>
    <row r="267" spans="1:7" x14ac:dyDescent="0.2">
      <c r="A267" s="1">
        <v>42009</v>
      </c>
      <c r="B267">
        <v>85.2</v>
      </c>
      <c r="C267">
        <v>87.85</v>
      </c>
      <c r="D267">
        <v>90.09</v>
      </c>
      <c r="E267">
        <v>84.77</v>
      </c>
      <c r="F267" t="s">
        <v>268</v>
      </c>
      <c r="G267" s="2">
        <v>-2.4799999999999999E-2</v>
      </c>
    </row>
    <row r="268" spans="1:7" x14ac:dyDescent="0.2">
      <c r="A268" s="1">
        <v>42008</v>
      </c>
      <c r="B268">
        <v>87.37</v>
      </c>
      <c r="C268">
        <v>85.7</v>
      </c>
      <c r="D268">
        <v>88.67</v>
      </c>
      <c r="E268">
        <v>83.81</v>
      </c>
      <c r="F268" t="s">
        <v>269</v>
      </c>
      <c r="G268" s="2">
        <v>2.7900000000000001E-2</v>
      </c>
    </row>
    <row r="269" spans="1:7" x14ac:dyDescent="0.2">
      <c r="A269" s="1">
        <v>42007</v>
      </c>
      <c r="B269">
        <v>85</v>
      </c>
      <c r="C269">
        <v>88.34</v>
      </c>
      <c r="D269">
        <v>88.52</v>
      </c>
      <c r="E269">
        <v>82.68</v>
      </c>
      <c r="F269" t="s">
        <v>270</v>
      </c>
      <c r="G269" s="2">
        <v>-0.04</v>
      </c>
    </row>
    <row r="270" spans="1:7" x14ac:dyDescent="0.2">
      <c r="A270" s="1">
        <v>42006</v>
      </c>
      <c r="B270">
        <v>88.54</v>
      </c>
      <c r="C270">
        <v>87.85</v>
      </c>
      <c r="D270">
        <v>93.45</v>
      </c>
      <c r="E270">
        <v>87.5</v>
      </c>
      <c r="F270" t="s">
        <v>271</v>
      </c>
      <c r="G270" s="2">
        <v>1.2800000000000001E-2</v>
      </c>
    </row>
    <row r="271" spans="1:7" x14ac:dyDescent="0.2">
      <c r="A271" s="1">
        <v>42005</v>
      </c>
      <c r="B271">
        <v>87.42</v>
      </c>
      <c r="C271">
        <v>92.25</v>
      </c>
      <c r="D271">
        <v>93.05</v>
      </c>
      <c r="E271">
        <v>86.03</v>
      </c>
      <c r="F271" t="s">
        <v>272</v>
      </c>
      <c r="G271" s="2">
        <v>-5.4399999999999997E-2</v>
      </c>
    </row>
    <row r="273" spans="1:7" x14ac:dyDescent="0.2">
      <c r="A273" s="104" t="s">
        <v>273</v>
      </c>
      <c r="B273" s="104"/>
      <c r="C273" s="104"/>
      <c r="D273" s="104"/>
      <c r="E273" s="104"/>
      <c r="F273" s="104"/>
      <c r="G273" s="104"/>
    </row>
    <row r="274" spans="1:7" x14ac:dyDescent="0.2">
      <c r="A274" t="s">
        <v>0</v>
      </c>
      <c r="B274" t="s">
        <v>1</v>
      </c>
      <c r="C274" t="s">
        <v>2</v>
      </c>
      <c r="D274" t="s">
        <v>3</v>
      </c>
      <c r="E274" t="s">
        <v>4</v>
      </c>
      <c r="F274" t="s">
        <v>5</v>
      </c>
      <c r="G274" t="s">
        <v>6</v>
      </c>
    </row>
    <row r="275" spans="1:7" x14ac:dyDescent="0.2">
      <c r="A275" s="1">
        <v>46023</v>
      </c>
      <c r="B275">
        <v>691.66</v>
      </c>
      <c r="C275">
        <v>685.64</v>
      </c>
      <c r="D275">
        <v>696.07</v>
      </c>
      <c r="E275">
        <v>679.87</v>
      </c>
      <c r="F275" t="s">
        <v>274</v>
      </c>
      <c r="G275" s="2">
        <v>1.43E-2</v>
      </c>
    </row>
    <row r="276" spans="1:7" x14ac:dyDescent="0.2">
      <c r="A276" s="1">
        <v>45669</v>
      </c>
      <c r="B276">
        <v>681.92</v>
      </c>
      <c r="C276">
        <v>678.81</v>
      </c>
      <c r="D276">
        <v>691.66</v>
      </c>
      <c r="E276">
        <v>671.2</v>
      </c>
      <c r="F276" t="s">
        <v>275</v>
      </c>
      <c r="G276" s="2">
        <v>-2.2000000000000001E-3</v>
      </c>
    </row>
    <row r="277" spans="1:7" x14ac:dyDescent="0.2">
      <c r="A277" s="1">
        <v>45668</v>
      </c>
      <c r="B277">
        <v>683.39</v>
      </c>
      <c r="C277">
        <v>685.67</v>
      </c>
      <c r="D277">
        <v>685.8</v>
      </c>
      <c r="E277">
        <v>650.85</v>
      </c>
      <c r="F277" t="s">
        <v>275</v>
      </c>
      <c r="G277" s="2">
        <v>2E-3</v>
      </c>
    </row>
    <row r="278" spans="1:7" x14ac:dyDescent="0.2">
      <c r="A278" s="1">
        <v>45667</v>
      </c>
      <c r="B278">
        <v>682.06</v>
      </c>
      <c r="C278">
        <v>663.17</v>
      </c>
      <c r="D278">
        <v>689.7</v>
      </c>
      <c r="E278">
        <v>652.84</v>
      </c>
      <c r="F278" t="s">
        <v>276</v>
      </c>
      <c r="G278" s="2">
        <v>2.3800000000000002E-2</v>
      </c>
    </row>
    <row r="279" spans="1:7" x14ac:dyDescent="0.2">
      <c r="A279" s="1">
        <v>45666</v>
      </c>
      <c r="B279">
        <v>666.18</v>
      </c>
      <c r="C279">
        <v>637.5</v>
      </c>
      <c r="D279">
        <v>667.34</v>
      </c>
      <c r="E279">
        <v>634.91999999999996</v>
      </c>
      <c r="F279" t="s">
        <v>277</v>
      </c>
      <c r="G279" s="2">
        <v>3.2800000000000003E-2</v>
      </c>
    </row>
    <row r="280" spans="1:7" x14ac:dyDescent="0.2">
      <c r="A280" s="1">
        <v>45665</v>
      </c>
      <c r="B280">
        <v>645.04999999999995</v>
      </c>
      <c r="C280">
        <v>626.29999999999995</v>
      </c>
      <c r="D280">
        <v>649.48</v>
      </c>
      <c r="E280">
        <v>619.29</v>
      </c>
      <c r="F280" t="s">
        <v>278</v>
      </c>
      <c r="G280" s="2">
        <v>2.0500000000000001E-2</v>
      </c>
    </row>
    <row r="281" spans="1:7" x14ac:dyDescent="0.2">
      <c r="A281" s="1">
        <v>45664</v>
      </c>
      <c r="B281">
        <v>632.08000000000004</v>
      </c>
      <c r="C281">
        <v>616.36</v>
      </c>
      <c r="D281">
        <v>639.85</v>
      </c>
      <c r="E281">
        <v>615.52</v>
      </c>
      <c r="F281" t="s">
        <v>279</v>
      </c>
      <c r="G281" s="2">
        <v>2.3E-2</v>
      </c>
    </row>
    <row r="282" spans="1:7" x14ac:dyDescent="0.2">
      <c r="A282" s="1">
        <v>45663</v>
      </c>
      <c r="B282">
        <v>617.85</v>
      </c>
      <c r="C282">
        <v>587.76</v>
      </c>
      <c r="D282">
        <v>619.22</v>
      </c>
      <c r="E282">
        <v>585.05999999999995</v>
      </c>
      <c r="F282" t="s">
        <v>280</v>
      </c>
      <c r="G282" s="2">
        <v>4.8300000000000003E-2</v>
      </c>
    </row>
    <row r="283" spans="1:7" x14ac:dyDescent="0.2">
      <c r="A283" s="1">
        <v>45662</v>
      </c>
      <c r="B283">
        <v>589.39</v>
      </c>
      <c r="C283">
        <v>560.37</v>
      </c>
      <c r="D283">
        <v>595.54</v>
      </c>
      <c r="E283">
        <v>556.04</v>
      </c>
      <c r="F283" t="s">
        <v>281</v>
      </c>
      <c r="G283" s="2">
        <v>6.2799999999999995E-2</v>
      </c>
    </row>
    <row r="284" spans="1:7" x14ac:dyDescent="0.2">
      <c r="A284" s="1">
        <v>45661</v>
      </c>
      <c r="B284">
        <v>554.54</v>
      </c>
      <c r="C284">
        <v>557.45000000000005</v>
      </c>
      <c r="D284">
        <v>567.41999999999996</v>
      </c>
      <c r="E284">
        <v>481.8</v>
      </c>
      <c r="F284" t="s">
        <v>282</v>
      </c>
      <c r="G284" s="2">
        <v>-8.6999999999999994E-3</v>
      </c>
    </row>
    <row r="285" spans="1:7" x14ac:dyDescent="0.2">
      <c r="A285" s="1">
        <v>45660</v>
      </c>
      <c r="B285">
        <v>559.39</v>
      </c>
      <c r="C285">
        <v>596.17999999999995</v>
      </c>
      <c r="D285">
        <v>597.34</v>
      </c>
      <c r="E285">
        <v>546.87</v>
      </c>
      <c r="F285" t="s">
        <v>280</v>
      </c>
      <c r="G285" s="2">
        <v>-5.8599999999999999E-2</v>
      </c>
    </row>
    <row r="286" spans="1:7" x14ac:dyDescent="0.2">
      <c r="A286" s="1">
        <v>45659</v>
      </c>
      <c r="B286">
        <v>594.17999999999995</v>
      </c>
      <c r="C286">
        <v>592.66999999999996</v>
      </c>
      <c r="D286">
        <v>613.23</v>
      </c>
      <c r="E286">
        <v>582.44000000000005</v>
      </c>
      <c r="F286" t="s">
        <v>283</v>
      </c>
      <c r="G286" s="2">
        <v>-1.2699999999999999E-2</v>
      </c>
    </row>
    <row r="287" spans="1:7" x14ac:dyDescent="0.2">
      <c r="A287" s="1">
        <v>45658</v>
      </c>
      <c r="B287">
        <v>601.82000000000005</v>
      </c>
      <c r="C287">
        <v>589.39</v>
      </c>
      <c r="D287">
        <v>610.78</v>
      </c>
      <c r="E287">
        <v>575.35</v>
      </c>
      <c r="F287" t="s">
        <v>284</v>
      </c>
      <c r="G287" s="2">
        <v>2.69E-2</v>
      </c>
    </row>
    <row r="288" spans="1:7" x14ac:dyDescent="0.2">
      <c r="A288" s="1">
        <v>45303</v>
      </c>
      <c r="B288">
        <v>586.08000000000004</v>
      </c>
      <c r="C288">
        <v>602.97</v>
      </c>
      <c r="D288">
        <v>609.07000000000005</v>
      </c>
      <c r="E288">
        <v>580.91</v>
      </c>
      <c r="F288" t="s">
        <v>285</v>
      </c>
      <c r="G288" s="2">
        <v>-2.7300000000000001E-2</v>
      </c>
    </row>
    <row r="289" spans="1:7" x14ac:dyDescent="0.2">
      <c r="A289" s="1">
        <v>45302</v>
      </c>
      <c r="B289">
        <v>602.54999999999995</v>
      </c>
      <c r="C289">
        <v>571.32000000000005</v>
      </c>
      <c r="D289">
        <v>603.35</v>
      </c>
      <c r="E289">
        <v>567.89</v>
      </c>
      <c r="F289" t="s">
        <v>286</v>
      </c>
      <c r="G289" s="2">
        <v>5.96E-2</v>
      </c>
    </row>
    <row r="290" spans="1:7" x14ac:dyDescent="0.2">
      <c r="A290" s="1">
        <v>45301</v>
      </c>
      <c r="B290">
        <v>568.64</v>
      </c>
      <c r="C290">
        <v>573.4</v>
      </c>
      <c r="D290">
        <v>586.12</v>
      </c>
      <c r="E290">
        <v>565.27</v>
      </c>
      <c r="F290" t="s">
        <v>287</v>
      </c>
      <c r="G290" s="2">
        <v>-8.8999999999999999E-3</v>
      </c>
    </row>
    <row r="291" spans="1:7" x14ac:dyDescent="0.2">
      <c r="A291" s="1">
        <v>45300</v>
      </c>
      <c r="B291">
        <v>573.76</v>
      </c>
      <c r="C291">
        <v>560.47</v>
      </c>
      <c r="D291">
        <v>574.71</v>
      </c>
      <c r="E291">
        <v>539.44000000000005</v>
      </c>
      <c r="F291" t="s">
        <v>288</v>
      </c>
      <c r="G291" s="2">
        <v>1.7899999999999999E-2</v>
      </c>
    </row>
    <row r="292" spans="1:7" x14ac:dyDescent="0.2">
      <c r="A292" s="1">
        <v>45299</v>
      </c>
      <c r="B292">
        <v>563.67999999999995</v>
      </c>
      <c r="C292">
        <v>552.57000000000005</v>
      </c>
      <c r="D292">
        <v>564.20000000000005</v>
      </c>
      <c r="E292">
        <v>510.27</v>
      </c>
      <c r="F292" t="s">
        <v>289</v>
      </c>
      <c r="G292" s="2">
        <v>2.3400000000000001E-2</v>
      </c>
    </row>
    <row r="293" spans="1:7" x14ac:dyDescent="0.2">
      <c r="A293" s="1">
        <v>45298</v>
      </c>
      <c r="B293">
        <v>550.80999999999995</v>
      </c>
      <c r="C293">
        <v>545.63</v>
      </c>
      <c r="D293">
        <v>565.16</v>
      </c>
      <c r="E293">
        <v>537.45000000000005</v>
      </c>
      <c r="F293" t="s">
        <v>290</v>
      </c>
      <c r="G293" s="2">
        <v>1.21E-2</v>
      </c>
    </row>
    <row r="294" spans="1:7" x14ac:dyDescent="0.2">
      <c r="A294" s="1">
        <v>45297</v>
      </c>
      <c r="B294">
        <v>544.22</v>
      </c>
      <c r="C294">
        <v>529.02</v>
      </c>
      <c r="D294">
        <v>550.28</v>
      </c>
      <c r="E294">
        <v>522.6</v>
      </c>
      <c r="F294" t="s">
        <v>291</v>
      </c>
      <c r="G294" s="2">
        <v>3.2000000000000001E-2</v>
      </c>
    </row>
    <row r="295" spans="1:7" x14ac:dyDescent="0.2">
      <c r="A295" s="1">
        <v>45296</v>
      </c>
      <c r="B295">
        <v>527.37</v>
      </c>
      <c r="C295">
        <v>501.38</v>
      </c>
      <c r="D295">
        <v>533.07000000000005</v>
      </c>
      <c r="E295">
        <v>499.55</v>
      </c>
      <c r="F295" t="s">
        <v>292</v>
      </c>
      <c r="G295" s="2">
        <v>5.0599999999999999E-2</v>
      </c>
    </row>
    <row r="296" spans="1:7" x14ac:dyDescent="0.2">
      <c r="A296" s="1">
        <v>45295</v>
      </c>
      <c r="B296">
        <v>501.98</v>
      </c>
      <c r="C296">
        <v>523.83000000000004</v>
      </c>
      <c r="D296">
        <v>524.38</v>
      </c>
      <c r="E296">
        <v>493.86</v>
      </c>
      <c r="F296" t="s">
        <v>293</v>
      </c>
      <c r="G296" s="2">
        <v>-4.0300000000000002E-2</v>
      </c>
    </row>
    <row r="297" spans="1:7" x14ac:dyDescent="0.2">
      <c r="A297" s="1">
        <v>45294</v>
      </c>
      <c r="B297">
        <v>523.07000000000005</v>
      </c>
      <c r="C297">
        <v>508.98</v>
      </c>
      <c r="D297">
        <v>524.61</v>
      </c>
      <c r="E297">
        <v>504.91</v>
      </c>
      <c r="F297" t="s">
        <v>294</v>
      </c>
      <c r="G297" s="2">
        <v>2.9499999999999998E-2</v>
      </c>
    </row>
    <row r="298" spans="1:7" x14ac:dyDescent="0.2">
      <c r="A298" s="1">
        <v>45293</v>
      </c>
      <c r="B298">
        <v>508.08</v>
      </c>
      <c r="C298">
        <v>484.63</v>
      </c>
      <c r="D298">
        <v>510.13</v>
      </c>
      <c r="E298">
        <v>483.8</v>
      </c>
      <c r="F298" t="s">
        <v>295</v>
      </c>
      <c r="G298" s="2">
        <v>5.2200000000000003E-2</v>
      </c>
    </row>
    <row r="299" spans="1:7" x14ac:dyDescent="0.2">
      <c r="A299" s="1">
        <v>45292</v>
      </c>
      <c r="B299">
        <v>482.88</v>
      </c>
      <c r="C299">
        <v>472.16</v>
      </c>
      <c r="D299">
        <v>491.62</v>
      </c>
      <c r="E299">
        <v>466.43</v>
      </c>
      <c r="F299" t="s">
        <v>296</v>
      </c>
      <c r="G299" s="2">
        <v>1.5900000000000001E-2</v>
      </c>
    </row>
    <row r="300" spans="1:7" x14ac:dyDescent="0.2">
      <c r="A300" s="1">
        <v>44938</v>
      </c>
      <c r="B300">
        <v>475.31</v>
      </c>
      <c r="C300">
        <v>455.77</v>
      </c>
      <c r="D300">
        <v>477.55</v>
      </c>
      <c r="E300">
        <v>454.31</v>
      </c>
      <c r="F300" t="s">
        <v>297</v>
      </c>
      <c r="G300" s="2">
        <v>4.1399999999999999E-2</v>
      </c>
    </row>
    <row r="301" spans="1:7" x14ac:dyDescent="0.2">
      <c r="A301" s="1">
        <v>44937</v>
      </c>
      <c r="B301">
        <v>456.4</v>
      </c>
      <c r="C301">
        <v>419.2</v>
      </c>
      <c r="D301">
        <v>458.32</v>
      </c>
      <c r="E301">
        <v>418.65</v>
      </c>
      <c r="F301" t="s">
        <v>280</v>
      </c>
      <c r="G301" s="2">
        <v>9.1300000000000006E-2</v>
      </c>
    </row>
    <row r="302" spans="1:7" x14ac:dyDescent="0.2">
      <c r="A302" s="1">
        <v>44936</v>
      </c>
      <c r="B302">
        <v>418.2</v>
      </c>
      <c r="C302">
        <v>426.62</v>
      </c>
      <c r="D302">
        <v>438.14</v>
      </c>
      <c r="E302">
        <v>409.21</v>
      </c>
      <c r="F302" t="s">
        <v>298</v>
      </c>
      <c r="G302" s="2">
        <v>-2.1700000000000001E-2</v>
      </c>
    </row>
    <row r="303" spans="1:7" x14ac:dyDescent="0.2">
      <c r="A303" s="1">
        <v>44935</v>
      </c>
      <c r="B303">
        <v>427.48</v>
      </c>
      <c r="C303">
        <v>453.17</v>
      </c>
      <c r="D303">
        <v>453.67</v>
      </c>
      <c r="E303">
        <v>422.29</v>
      </c>
      <c r="F303" t="s">
        <v>293</v>
      </c>
      <c r="G303" s="2">
        <v>-5.0799999999999998E-2</v>
      </c>
    </row>
    <row r="304" spans="1:7" x14ac:dyDescent="0.2">
      <c r="A304" s="1">
        <v>44934</v>
      </c>
      <c r="B304">
        <v>450.35</v>
      </c>
      <c r="C304">
        <v>456.27</v>
      </c>
      <c r="D304">
        <v>457.25</v>
      </c>
      <c r="E304">
        <v>433.01</v>
      </c>
      <c r="F304" t="s">
        <v>299</v>
      </c>
      <c r="G304" s="2">
        <v>-1.6299999999999999E-2</v>
      </c>
    </row>
    <row r="305" spans="1:7" x14ac:dyDescent="0.2">
      <c r="A305" s="1">
        <v>44933</v>
      </c>
      <c r="B305">
        <v>457.79</v>
      </c>
      <c r="C305">
        <v>442.92</v>
      </c>
      <c r="D305">
        <v>459.44</v>
      </c>
      <c r="E305">
        <v>437.06</v>
      </c>
      <c r="F305" t="s">
        <v>300</v>
      </c>
      <c r="G305" s="2">
        <v>3.27E-2</v>
      </c>
    </row>
    <row r="306" spans="1:7" x14ac:dyDescent="0.2">
      <c r="A306" s="1">
        <v>44932</v>
      </c>
      <c r="B306">
        <v>443.28</v>
      </c>
      <c r="C306">
        <v>418.09</v>
      </c>
      <c r="D306">
        <v>444.3</v>
      </c>
      <c r="E306">
        <v>416.79</v>
      </c>
      <c r="F306" t="s">
        <v>301</v>
      </c>
      <c r="G306" s="2">
        <v>6.0900000000000003E-2</v>
      </c>
    </row>
    <row r="307" spans="1:7" x14ac:dyDescent="0.2">
      <c r="A307" s="1">
        <v>44931</v>
      </c>
      <c r="B307">
        <v>417.85</v>
      </c>
      <c r="C307">
        <v>415.47</v>
      </c>
      <c r="D307">
        <v>422.58</v>
      </c>
      <c r="E307">
        <v>403.74</v>
      </c>
      <c r="F307" t="s">
        <v>276</v>
      </c>
      <c r="G307" s="2">
        <v>4.5999999999999999E-3</v>
      </c>
    </row>
    <row r="308" spans="1:7" x14ac:dyDescent="0.2">
      <c r="A308" s="1">
        <v>44930</v>
      </c>
      <c r="B308">
        <v>415.93</v>
      </c>
      <c r="C308">
        <v>408.85</v>
      </c>
      <c r="D308">
        <v>415.94</v>
      </c>
      <c r="E308">
        <v>403.78</v>
      </c>
      <c r="F308" t="s">
        <v>281</v>
      </c>
      <c r="G308" s="2">
        <v>1.6E-2</v>
      </c>
    </row>
    <row r="309" spans="1:7" x14ac:dyDescent="0.2">
      <c r="A309" s="1">
        <v>44929</v>
      </c>
      <c r="B309">
        <v>409.39</v>
      </c>
      <c r="C309">
        <v>395.41</v>
      </c>
      <c r="D309">
        <v>409.7</v>
      </c>
      <c r="E309">
        <v>380.65</v>
      </c>
      <c r="F309" t="s">
        <v>302</v>
      </c>
      <c r="G309" s="2">
        <v>3.3099999999999997E-2</v>
      </c>
    </row>
    <row r="310" spans="1:7" x14ac:dyDescent="0.2">
      <c r="A310" s="1">
        <v>44928</v>
      </c>
      <c r="B310">
        <v>396.26</v>
      </c>
      <c r="C310">
        <v>405.21</v>
      </c>
      <c r="D310">
        <v>418.31</v>
      </c>
      <c r="E310">
        <v>393.64</v>
      </c>
      <c r="F310" t="s">
        <v>303</v>
      </c>
      <c r="G310" s="2">
        <v>-2.5100000000000001E-2</v>
      </c>
    </row>
    <row r="311" spans="1:7" x14ac:dyDescent="0.2">
      <c r="A311" s="1">
        <v>44927</v>
      </c>
      <c r="B311">
        <v>406.48</v>
      </c>
      <c r="C311">
        <v>384.37</v>
      </c>
      <c r="D311">
        <v>408.16</v>
      </c>
      <c r="E311">
        <v>377.83</v>
      </c>
      <c r="F311" t="s">
        <v>304</v>
      </c>
      <c r="G311" s="2">
        <v>6.2899999999999998E-2</v>
      </c>
    </row>
    <row r="312" spans="1:7" x14ac:dyDescent="0.2">
      <c r="A312" s="1">
        <v>44573</v>
      </c>
      <c r="B312">
        <v>382.43</v>
      </c>
      <c r="C312">
        <v>408.77</v>
      </c>
      <c r="D312">
        <v>410.49</v>
      </c>
      <c r="E312">
        <v>374.77</v>
      </c>
      <c r="F312" t="s">
        <v>305</v>
      </c>
      <c r="G312" s="2">
        <v>-6.1899999999999997E-2</v>
      </c>
    </row>
    <row r="313" spans="1:7" x14ac:dyDescent="0.2">
      <c r="A313" s="1">
        <v>44572</v>
      </c>
      <c r="B313">
        <v>407.68</v>
      </c>
      <c r="C313">
        <v>390.14</v>
      </c>
      <c r="D313">
        <v>407.68</v>
      </c>
      <c r="E313">
        <v>368.79</v>
      </c>
      <c r="F313" t="s">
        <v>301</v>
      </c>
      <c r="G313" s="2">
        <v>5.5599999999999997E-2</v>
      </c>
    </row>
    <row r="314" spans="1:7" x14ac:dyDescent="0.2">
      <c r="A314" s="1">
        <v>44571</v>
      </c>
      <c r="B314">
        <v>386.21</v>
      </c>
      <c r="C314">
        <v>361.08</v>
      </c>
      <c r="D314">
        <v>389.52</v>
      </c>
      <c r="E314">
        <v>348.11</v>
      </c>
      <c r="F314" t="s">
        <v>306</v>
      </c>
      <c r="G314" s="2">
        <v>8.1299999999999997E-2</v>
      </c>
    </row>
    <row r="315" spans="1:7" x14ac:dyDescent="0.2">
      <c r="A315" s="1">
        <v>44570</v>
      </c>
      <c r="B315">
        <v>357.18</v>
      </c>
      <c r="C315">
        <v>392.89</v>
      </c>
      <c r="D315">
        <v>411.73</v>
      </c>
      <c r="E315">
        <v>357.04</v>
      </c>
      <c r="F315" t="s">
        <v>298</v>
      </c>
      <c r="G315" s="2">
        <v>-9.6199999999999994E-2</v>
      </c>
    </row>
    <row r="316" spans="1:7" x14ac:dyDescent="0.2">
      <c r="A316" s="1">
        <v>44569</v>
      </c>
      <c r="B316">
        <v>395.18</v>
      </c>
      <c r="C316">
        <v>409.15</v>
      </c>
      <c r="D316">
        <v>431.73</v>
      </c>
      <c r="E316">
        <v>395.04</v>
      </c>
      <c r="F316" t="s">
        <v>307</v>
      </c>
      <c r="G316" s="2">
        <v>-4.0800000000000003E-2</v>
      </c>
    </row>
    <row r="317" spans="1:7" x14ac:dyDescent="0.2">
      <c r="A317" s="1">
        <v>44568</v>
      </c>
      <c r="B317">
        <v>411.99</v>
      </c>
      <c r="C317">
        <v>376.56</v>
      </c>
      <c r="D317">
        <v>413.03</v>
      </c>
      <c r="E317">
        <v>371.04</v>
      </c>
      <c r="F317" t="s">
        <v>307</v>
      </c>
      <c r="G317" s="2">
        <v>9.2100000000000001E-2</v>
      </c>
    </row>
    <row r="318" spans="1:7" x14ac:dyDescent="0.2">
      <c r="A318" s="1">
        <v>44567</v>
      </c>
      <c r="B318">
        <v>377.25</v>
      </c>
      <c r="C318">
        <v>415.17</v>
      </c>
      <c r="D318">
        <v>417.44</v>
      </c>
      <c r="E318">
        <v>362.17</v>
      </c>
      <c r="F318" t="s">
        <v>308</v>
      </c>
      <c r="G318" s="2">
        <v>-8.6400000000000005E-2</v>
      </c>
    </row>
    <row r="319" spans="1:7" x14ac:dyDescent="0.2">
      <c r="A319" s="1">
        <v>44566</v>
      </c>
      <c r="B319">
        <v>412.93</v>
      </c>
      <c r="C319">
        <v>412.07</v>
      </c>
      <c r="D319">
        <v>429.66</v>
      </c>
      <c r="E319">
        <v>380.54</v>
      </c>
      <c r="F319" t="s">
        <v>309</v>
      </c>
      <c r="G319" s="2">
        <v>2.3E-3</v>
      </c>
    </row>
    <row r="320" spans="1:7" x14ac:dyDescent="0.2">
      <c r="A320" s="1">
        <v>44565</v>
      </c>
      <c r="B320">
        <v>412</v>
      </c>
      <c r="C320">
        <v>453.31</v>
      </c>
      <c r="D320">
        <v>457.83</v>
      </c>
      <c r="E320">
        <v>411.21</v>
      </c>
      <c r="F320" t="s">
        <v>310</v>
      </c>
      <c r="G320" s="2">
        <v>-8.7800000000000003E-2</v>
      </c>
    </row>
    <row r="321" spans="1:7" x14ac:dyDescent="0.2">
      <c r="A321" s="1">
        <v>44564</v>
      </c>
      <c r="B321">
        <v>451.64</v>
      </c>
      <c r="C321">
        <v>435.04</v>
      </c>
      <c r="D321">
        <v>462.07</v>
      </c>
      <c r="E321">
        <v>415.12</v>
      </c>
      <c r="F321" t="s">
        <v>311</v>
      </c>
      <c r="G321" s="2">
        <v>3.44E-2</v>
      </c>
    </row>
    <row r="322" spans="1:7" x14ac:dyDescent="0.2">
      <c r="A322" s="1">
        <v>44563</v>
      </c>
      <c r="B322">
        <v>436.63</v>
      </c>
      <c r="C322">
        <v>450.68</v>
      </c>
      <c r="D322">
        <v>458.12</v>
      </c>
      <c r="E322">
        <v>410.64</v>
      </c>
      <c r="F322" t="s">
        <v>312</v>
      </c>
      <c r="G322" s="2">
        <v>-2.9499999999999998E-2</v>
      </c>
    </row>
    <row r="323" spans="1:7" x14ac:dyDescent="0.2">
      <c r="A323" s="1">
        <v>44562</v>
      </c>
      <c r="B323">
        <v>449.91</v>
      </c>
      <c r="C323">
        <v>476.3</v>
      </c>
      <c r="D323">
        <v>479.98</v>
      </c>
      <c r="E323">
        <v>420.76</v>
      </c>
      <c r="F323" t="s">
        <v>313</v>
      </c>
      <c r="G323" s="2">
        <v>-5.2699999999999997E-2</v>
      </c>
    </row>
    <row r="324" spans="1:7" x14ac:dyDescent="0.2">
      <c r="A324" s="1">
        <v>44208</v>
      </c>
      <c r="B324">
        <v>474.96</v>
      </c>
      <c r="C324">
        <v>461.64</v>
      </c>
      <c r="D324">
        <v>479</v>
      </c>
      <c r="E324">
        <v>448.92</v>
      </c>
      <c r="F324" t="s">
        <v>314</v>
      </c>
      <c r="G324" s="2">
        <v>4.2599999999999999E-2</v>
      </c>
    </row>
    <row r="325" spans="1:7" x14ac:dyDescent="0.2">
      <c r="A325" s="1">
        <v>44207</v>
      </c>
      <c r="B325">
        <v>455.56</v>
      </c>
      <c r="C325">
        <v>460.3</v>
      </c>
      <c r="D325">
        <v>473.54</v>
      </c>
      <c r="E325">
        <v>455.3</v>
      </c>
      <c r="F325" t="s">
        <v>315</v>
      </c>
      <c r="G325" s="2">
        <v>-8.0000000000000002E-3</v>
      </c>
    </row>
    <row r="326" spans="1:7" x14ac:dyDescent="0.2">
      <c r="A326" s="1">
        <v>44206</v>
      </c>
      <c r="B326">
        <v>459.25</v>
      </c>
      <c r="C326">
        <v>430.98</v>
      </c>
      <c r="D326">
        <v>459.56</v>
      </c>
      <c r="E326">
        <v>426.36</v>
      </c>
      <c r="F326" t="s">
        <v>316</v>
      </c>
      <c r="G326" s="2">
        <v>7.0199999999999999E-2</v>
      </c>
    </row>
    <row r="327" spans="1:7" x14ac:dyDescent="0.2">
      <c r="A327" s="1">
        <v>44205</v>
      </c>
      <c r="B327">
        <v>429.14</v>
      </c>
      <c r="C327">
        <v>452.56</v>
      </c>
      <c r="D327">
        <v>454.05</v>
      </c>
      <c r="E327">
        <v>428.78</v>
      </c>
      <c r="F327" t="s">
        <v>301</v>
      </c>
      <c r="G327" s="2">
        <v>-4.9700000000000001E-2</v>
      </c>
    </row>
    <row r="328" spans="1:7" x14ac:dyDescent="0.2">
      <c r="A328" s="1">
        <v>44204</v>
      </c>
      <c r="B328">
        <v>451.56</v>
      </c>
      <c r="C328">
        <v>440.34</v>
      </c>
      <c r="D328">
        <v>453.07</v>
      </c>
      <c r="E328">
        <v>436.1</v>
      </c>
      <c r="F328" t="s">
        <v>317</v>
      </c>
      <c r="G328" s="2">
        <v>2.98E-2</v>
      </c>
    </row>
    <row r="329" spans="1:7" x14ac:dyDescent="0.2">
      <c r="A329" s="1">
        <v>44203</v>
      </c>
      <c r="B329">
        <v>438.51</v>
      </c>
      <c r="C329">
        <v>428.87</v>
      </c>
      <c r="D329">
        <v>441.8</v>
      </c>
      <c r="E329">
        <v>421.97</v>
      </c>
      <c r="F329" t="s">
        <v>278</v>
      </c>
      <c r="G329" s="2">
        <v>2.4400000000000002E-2</v>
      </c>
    </row>
    <row r="330" spans="1:7" x14ac:dyDescent="0.2">
      <c r="A330" s="1">
        <v>44202</v>
      </c>
      <c r="B330">
        <v>428.06</v>
      </c>
      <c r="C330">
        <v>422.57</v>
      </c>
      <c r="D330">
        <v>428.78</v>
      </c>
      <c r="E330">
        <v>414.7</v>
      </c>
      <c r="F330" t="s">
        <v>318</v>
      </c>
      <c r="G330" s="2">
        <v>1.9099999999999999E-2</v>
      </c>
    </row>
    <row r="331" spans="1:7" x14ac:dyDescent="0.2">
      <c r="A331" s="1">
        <v>44201</v>
      </c>
      <c r="B331">
        <v>420.04</v>
      </c>
      <c r="C331">
        <v>419.43</v>
      </c>
      <c r="D331">
        <v>422.81</v>
      </c>
      <c r="E331">
        <v>404</v>
      </c>
      <c r="F331" t="s">
        <v>319</v>
      </c>
      <c r="G331" s="2">
        <v>6.6E-3</v>
      </c>
    </row>
    <row r="332" spans="1:7" x14ac:dyDescent="0.2">
      <c r="A332" s="1">
        <v>44200</v>
      </c>
      <c r="B332">
        <v>417.3</v>
      </c>
      <c r="C332">
        <v>398.4</v>
      </c>
      <c r="D332">
        <v>420.72</v>
      </c>
      <c r="E332">
        <v>398.18</v>
      </c>
      <c r="F332" t="s">
        <v>320</v>
      </c>
      <c r="G332" s="2">
        <v>5.2900000000000003E-2</v>
      </c>
    </row>
    <row r="333" spans="1:7" x14ac:dyDescent="0.2">
      <c r="A333" s="1">
        <v>44199</v>
      </c>
      <c r="B333">
        <v>396.33</v>
      </c>
      <c r="C333">
        <v>385.59</v>
      </c>
      <c r="D333">
        <v>398.12</v>
      </c>
      <c r="E333">
        <v>371.88</v>
      </c>
      <c r="F333" t="s">
        <v>321</v>
      </c>
      <c r="G333" s="2">
        <v>4.2000000000000003E-2</v>
      </c>
    </row>
    <row r="334" spans="1:7" x14ac:dyDescent="0.2">
      <c r="A334" s="1">
        <v>44198</v>
      </c>
      <c r="B334">
        <v>380.36</v>
      </c>
      <c r="C334">
        <v>373.72</v>
      </c>
      <c r="D334">
        <v>394.17</v>
      </c>
      <c r="E334">
        <v>370.38</v>
      </c>
      <c r="F334" t="s">
        <v>322</v>
      </c>
      <c r="G334" s="2">
        <v>2.7799999999999998E-2</v>
      </c>
    </row>
    <row r="335" spans="1:7" x14ac:dyDescent="0.2">
      <c r="A335" s="1">
        <v>44197</v>
      </c>
      <c r="B335">
        <v>370.07</v>
      </c>
      <c r="C335">
        <v>375.31</v>
      </c>
      <c r="D335">
        <v>385.85</v>
      </c>
      <c r="E335">
        <v>364.82</v>
      </c>
      <c r="F335" t="s">
        <v>281</v>
      </c>
      <c r="G335" s="2">
        <v>-1.0200000000000001E-2</v>
      </c>
    </row>
    <row r="336" spans="1:7" x14ac:dyDescent="0.2">
      <c r="A336" s="1">
        <v>43842</v>
      </c>
      <c r="B336">
        <v>373.88</v>
      </c>
      <c r="C336">
        <v>365.57</v>
      </c>
      <c r="D336">
        <v>378.46</v>
      </c>
      <c r="E336">
        <v>362.03</v>
      </c>
      <c r="F336" t="s">
        <v>323</v>
      </c>
      <c r="G336" s="2">
        <v>3.2599999999999997E-2</v>
      </c>
    </row>
    <row r="337" spans="1:7" x14ac:dyDescent="0.2">
      <c r="A337" s="1">
        <v>43841</v>
      </c>
      <c r="B337">
        <v>362.06</v>
      </c>
      <c r="C337">
        <v>330.2</v>
      </c>
      <c r="D337">
        <v>364.38</v>
      </c>
      <c r="E337">
        <v>327.24</v>
      </c>
      <c r="F337" t="s">
        <v>324</v>
      </c>
      <c r="G337" s="2">
        <v>0.10879999999999999</v>
      </c>
    </row>
    <row r="338" spans="1:7" x14ac:dyDescent="0.2">
      <c r="A338" s="1">
        <v>43840</v>
      </c>
      <c r="B338">
        <v>326.54000000000002</v>
      </c>
      <c r="C338">
        <v>337.69</v>
      </c>
      <c r="D338">
        <v>354.02</v>
      </c>
      <c r="E338">
        <v>322.60000000000002</v>
      </c>
      <c r="F338" t="s">
        <v>325</v>
      </c>
      <c r="G338" s="2">
        <v>-2.4899999999999999E-2</v>
      </c>
    </row>
    <row r="339" spans="1:7" x14ac:dyDescent="0.2">
      <c r="A339" s="1">
        <v>43839</v>
      </c>
      <c r="B339">
        <v>334.89</v>
      </c>
      <c r="C339">
        <v>350.21</v>
      </c>
      <c r="D339">
        <v>358.75</v>
      </c>
      <c r="E339">
        <v>319.8</v>
      </c>
      <c r="F339" t="s">
        <v>326</v>
      </c>
      <c r="G339" s="2">
        <v>-4.1300000000000003E-2</v>
      </c>
    </row>
    <row r="340" spans="1:7" x14ac:dyDescent="0.2">
      <c r="A340" s="1">
        <v>43838</v>
      </c>
      <c r="B340">
        <v>349.31</v>
      </c>
      <c r="C340">
        <v>328.32</v>
      </c>
      <c r="D340">
        <v>351.3</v>
      </c>
      <c r="E340">
        <v>327.73</v>
      </c>
      <c r="F340" t="s">
        <v>288</v>
      </c>
      <c r="G340" s="2">
        <v>6.9800000000000001E-2</v>
      </c>
    </row>
    <row r="341" spans="1:7" x14ac:dyDescent="0.2">
      <c r="A341" s="1">
        <v>43837</v>
      </c>
      <c r="B341">
        <v>326.52</v>
      </c>
      <c r="C341">
        <v>309.57</v>
      </c>
      <c r="D341">
        <v>327.23</v>
      </c>
      <c r="E341">
        <v>309.07</v>
      </c>
      <c r="F341" t="s">
        <v>316</v>
      </c>
      <c r="G341" s="2">
        <v>5.8900000000000001E-2</v>
      </c>
    </row>
    <row r="342" spans="1:7" x14ac:dyDescent="0.2">
      <c r="A342" s="1">
        <v>43836</v>
      </c>
      <c r="B342">
        <v>308.36</v>
      </c>
      <c r="C342">
        <v>303.62</v>
      </c>
      <c r="D342">
        <v>323.41000000000003</v>
      </c>
      <c r="E342">
        <v>296.74</v>
      </c>
      <c r="F342" t="s">
        <v>327</v>
      </c>
      <c r="G342" s="2">
        <v>1.3299999999999999E-2</v>
      </c>
    </row>
    <row r="343" spans="1:7" x14ac:dyDescent="0.2">
      <c r="A343" s="1">
        <v>43835</v>
      </c>
      <c r="B343">
        <v>304.32</v>
      </c>
      <c r="C343">
        <v>285.31</v>
      </c>
      <c r="D343">
        <v>306.83999999999997</v>
      </c>
      <c r="E343">
        <v>272.99</v>
      </c>
      <c r="F343" t="s">
        <v>328</v>
      </c>
      <c r="G343" s="2">
        <v>4.7600000000000003E-2</v>
      </c>
    </row>
    <row r="344" spans="1:7" x14ac:dyDescent="0.2">
      <c r="A344" s="1">
        <v>43834</v>
      </c>
      <c r="B344">
        <v>290.48</v>
      </c>
      <c r="C344">
        <v>247.98</v>
      </c>
      <c r="D344">
        <v>294.88</v>
      </c>
      <c r="E344">
        <v>243.9</v>
      </c>
      <c r="F344" t="s">
        <v>329</v>
      </c>
      <c r="G344" s="2">
        <v>0.127</v>
      </c>
    </row>
    <row r="345" spans="1:7" x14ac:dyDescent="0.2">
      <c r="A345" s="1">
        <v>43833</v>
      </c>
      <c r="B345">
        <v>257.75</v>
      </c>
      <c r="C345">
        <v>298.20999999999998</v>
      </c>
      <c r="D345">
        <v>313.83999999999997</v>
      </c>
      <c r="E345">
        <v>218.26</v>
      </c>
      <c r="F345" t="s">
        <v>330</v>
      </c>
      <c r="G345" s="2">
        <v>-0.13</v>
      </c>
    </row>
    <row r="346" spans="1:7" x14ac:dyDescent="0.2">
      <c r="A346" s="1">
        <v>43832</v>
      </c>
      <c r="B346">
        <v>296.26</v>
      </c>
      <c r="C346">
        <v>323.35000000000002</v>
      </c>
      <c r="D346">
        <v>339.08</v>
      </c>
      <c r="E346">
        <v>285.54000000000002</v>
      </c>
      <c r="F346" t="s">
        <v>331</v>
      </c>
      <c r="G346" s="2">
        <v>-7.9200000000000007E-2</v>
      </c>
    </row>
    <row r="347" spans="1:7" x14ac:dyDescent="0.2">
      <c r="A347" s="1">
        <v>43831</v>
      </c>
      <c r="B347">
        <v>321.73</v>
      </c>
      <c r="C347">
        <v>323.54000000000002</v>
      </c>
      <c r="D347">
        <v>332.95</v>
      </c>
      <c r="E347">
        <v>320.36</v>
      </c>
      <c r="F347" t="s">
        <v>281</v>
      </c>
      <c r="G347" s="2">
        <v>-4.0000000000000002E-4</v>
      </c>
    </row>
    <row r="348" spans="1:7" x14ac:dyDescent="0.2">
      <c r="A348" s="1">
        <v>43477</v>
      </c>
      <c r="B348">
        <v>321.86</v>
      </c>
      <c r="C348">
        <v>314.58999999999997</v>
      </c>
      <c r="D348">
        <v>323.8</v>
      </c>
      <c r="E348">
        <v>307.13</v>
      </c>
      <c r="F348" t="s">
        <v>332</v>
      </c>
      <c r="G348" s="2">
        <v>2.4E-2</v>
      </c>
    </row>
    <row r="349" spans="1:7" x14ac:dyDescent="0.2">
      <c r="A349" s="1">
        <v>43476</v>
      </c>
      <c r="B349">
        <v>314.31</v>
      </c>
      <c r="C349">
        <v>304.92</v>
      </c>
      <c r="D349">
        <v>315.48</v>
      </c>
      <c r="E349">
        <v>304.74</v>
      </c>
      <c r="F349" t="s">
        <v>290</v>
      </c>
      <c r="G349" s="2">
        <v>3.6200000000000003E-2</v>
      </c>
    </row>
    <row r="350" spans="1:7" x14ac:dyDescent="0.2">
      <c r="A350" s="1">
        <v>43475</v>
      </c>
      <c r="B350">
        <v>303.33</v>
      </c>
      <c r="C350">
        <v>297.74</v>
      </c>
      <c r="D350">
        <v>304.55</v>
      </c>
      <c r="E350">
        <v>284.82</v>
      </c>
      <c r="F350" t="s">
        <v>333</v>
      </c>
      <c r="G350" s="2">
        <v>2.2100000000000002E-2</v>
      </c>
    </row>
    <row r="351" spans="1:7" x14ac:dyDescent="0.2">
      <c r="A351" s="1">
        <v>43474</v>
      </c>
      <c r="B351">
        <v>296.77</v>
      </c>
      <c r="C351">
        <v>290.57</v>
      </c>
      <c r="D351">
        <v>302.63</v>
      </c>
      <c r="E351">
        <v>289.27</v>
      </c>
      <c r="F351" t="s">
        <v>334</v>
      </c>
      <c r="G351" s="2">
        <v>1.4800000000000001E-2</v>
      </c>
    </row>
    <row r="352" spans="1:7" x14ac:dyDescent="0.2">
      <c r="A352" s="1">
        <v>43473</v>
      </c>
      <c r="B352">
        <v>292.45</v>
      </c>
      <c r="C352">
        <v>297.60000000000002</v>
      </c>
      <c r="D352">
        <v>300.87</v>
      </c>
      <c r="E352">
        <v>281.72000000000003</v>
      </c>
      <c r="F352" t="s">
        <v>335</v>
      </c>
      <c r="G352" s="2">
        <v>-1.67E-2</v>
      </c>
    </row>
    <row r="353" spans="1:7" x14ac:dyDescent="0.2">
      <c r="A353" s="1">
        <v>43472</v>
      </c>
      <c r="B353">
        <v>297.43</v>
      </c>
      <c r="C353">
        <v>296.68</v>
      </c>
      <c r="D353">
        <v>302.23</v>
      </c>
      <c r="E353">
        <v>294.33</v>
      </c>
      <c r="F353" t="s">
        <v>336</v>
      </c>
      <c r="G353" s="2">
        <v>1.5100000000000001E-2</v>
      </c>
    </row>
    <row r="354" spans="1:7" x14ac:dyDescent="0.2">
      <c r="A354" s="1">
        <v>43471</v>
      </c>
      <c r="B354">
        <v>293</v>
      </c>
      <c r="C354">
        <v>275.31</v>
      </c>
      <c r="D354">
        <v>296.31</v>
      </c>
      <c r="E354">
        <v>273.08999999999997</v>
      </c>
      <c r="F354" t="s">
        <v>315</v>
      </c>
      <c r="G354" s="2">
        <v>6.4399999999999999E-2</v>
      </c>
    </row>
    <row r="355" spans="1:7" x14ac:dyDescent="0.2">
      <c r="A355" s="1">
        <v>43470</v>
      </c>
      <c r="B355">
        <v>275.27</v>
      </c>
      <c r="C355">
        <v>294.72000000000003</v>
      </c>
      <c r="D355">
        <v>294.95</v>
      </c>
      <c r="E355">
        <v>275.24</v>
      </c>
      <c r="F355" t="s">
        <v>337</v>
      </c>
      <c r="G355" s="2">
        <v>-6.3799999999999996E-2</v>
      </c>
    </row>
    <row r="356" spans="1:7" x14ac:dyDescent="0.2">
      <c r="A356" s="1">
        <v>43469</v>
      </c>
      <c r="B356">
        <v>294.02</v>
      </c>
      <c r="C356">
        <v>284.7</v>
      </c>
      <c r="D356">
        <v>294.45</v>
      </c>
      <c r="E356">
        <v>284.39999999999998</v>
      </c>
      <c r="F356" t="s">
        <v>338</v>
      </c>
      <c r="G356" s="2">
        <v>4.0899999999999999E-2</v>
      </c>
    </row>
    <row r="357" spans="1:7" x14ac:dyDescent="0.2">
      <c r="A357" s="1">
        <v>43468</v>
      </c>
      <c r="B357">
        <v>282.48</v>
      </c>
      <c r="C357">
        <v>280.44</v>
      </c>
      <c r="D357">
        <v>285.18</v>
      </c>
      <c r="E357">
        <v>272.42</v>
      </c>
      <c r="F357" t="s">
        <v>339</v>
      </c>
      <c r="G357" s="2">
        <v>1.3599999999999999E-2</v>
      </c>
    </row>
    <row r="358" spans="1:7" x14ac:dyDescent="0.2">
      <c r="A358" s="1">
        <v>43467</v>
      </c>
      <c r="B358">
        <v>278.68</v>
      </c>
      <c r="C358">
        <v>270.14999999999998</v>
      </c>
      <c r="D358">
        <v>281.31</v>
      </c>
      <c r="E358">
        <v>267.83</v>
      </c>
      <c r="F358" t="s">
        <v>300</v>
      </c>
      <c r="G358" s="2">
        <v>3.2399999999999998E-2</v>
      </c>
    </row>
    <row r="359" spans="1:7" x14ac:dyDescent="0.2">
      <c r="A359" s="1">
        <v>43466</v>
      </c>
      <c r="B359">
        <v>269.93</v>
      </c>
      <c r="C359">
        <v>245.98</v>
      </c>
      <c r="D359">
        <v>270.47000000000003</v>
      </c>
      <c r="E359">
        <v>243.67</v>
      </c>
      <c r="F359" t="s">
        <v>340</v>
      </c>
      <c r="G359" s="2">
        <v>8.0100000000000005E-2</v>
      </c>
    </row>
    <row r="360" spans="1:7" x14ac:dyDescent="0.2">
      <c r="A360" s="1">
        <v>43112</v>
      </c>
      <c r="B360">
        <v>249.92</v>
      </c>
      <c r="C360">
        <v>280.27999999999997</v>
      </c>
      <c r="D360">
        <v>280.39999999999998</v>
      </c>
      <c r="E360">
        <v>233.76</v>
      </c>
      <c r="F360" t="s">
        <v>341</v>
      </c>
      <c r="G360" s="2">
        <v>-9.3299999999999994E-2</v>
      </c>
    </row>
    <row r="361" spans="1:7" x14ac:dyDescent="0.2">
      <c r="A361" s="1">
        <v>43111</v>
      </c>
      <c r="B361">
        <v>275.64999999999998</v>
      </c>
      <c r="C361">
        <v>271.60000000000002</v>
      </c>
      <c r="D361">
        <v>281.22000000000003</v>
      </c>
      <c r="E361">
        <v>263.07</v>
      </c>
      <c r="F361" t="s">
        <v>306</v>
      </c>
      <c r="G361" s="2">
        <v>1.8499999999999999E-2</v>
      </c>
    </row>
    <row r="362" spans="1:7" x14ac:dyDescent="0.2">
      <c r="A362" s="1">
        <v>43110</v>
      </c>
      <c r="B362">
        <v>270.63</v>
      </c>
      <c r="C362">
        <v>292.11</v>
      </c>
      <c r="D362">
        <v>293.20999999999998</v>
      </c>
      <c r="E362">
        <v>259.85000000000002</v>
      </c>
      <c r="F362" t="s">
        <v>342</v>
      </c>
      <c r="G362" s="2">
        <v>-6.9099999999999995E-2</v>
      </c>
    </row>
    <row r="363" spans="1:7" x14ac:dyDescent="0.2">
      <c r="A363" s="1">
        <v>43109</v>
      </c>
      <c r="B363">
        <v>290.72000000000003</v>
      </c>
      <c r="C363">
        <v>289.83999999999997</v>
      </c>
      <c r="D363">
        <v>293.94</v>
      </c>
      <c r="E363">
        <v>286.70999999999998</v>
      </c>
      <c r="F363" t="s">
        <v>343</v>
      </c>
      <c r="G363" s="2">
        <v>1.4E-3</v>
      </c>
    </row>
    <row r="364" spans="1:7" x14ac:dyDescent="0.2">
      <c r="A364" s="1">
        <v>43108</v>
      </c>
      <c r="B364">
        <v>290.31</v>
      </c>
      <c r="C364">
        <v>281.56</v>
      </c>
      <c r="D364">
        <v>291.74</v>
      </c>
      <c r="E364">
        <v>279.16000000000003</v>
      </c>
      <c r="F364" t="s">
        <v>322</v>
      </c>
      <c r="G364" s="2">
        <v>3.1899999999999998E-2</v>
      </c>
    </row>
    <row r="365" spans="1:7" x14ac:dyDescent="0.2">
      <c r="A365" s="1">
        <v>43107</v>
      </c>
      <c r="B365">
        <v>281.33</v>
      </c>
      <c r="C365">
        <v>269.51</v>
      </c>
      <c r="D365">
        <v>284.37</v>
      </c>
      <c r="E365">
        <v>269.24</v>
      </c>
      <c r="F365" t="s">
        <v>344</v>
      </c>
      <c r="G365" s="2">
        <v>3.6999999999999998E-2</v>
      </c>
    </row>
    <row r="366" spans="1:7" x14ac:dyDescent="0.2">
      <c r="A366" s="1">
        <v>43106</v>
      </c>
      <c r="B366">
        <v>271.27999999999997</v>
      </c>
      <c r="C366">
        <v>272.41000000000003</v>
      </c>
      <c r="D366">
        <v>279.48</v>
      </c>
      <c r="E366">
        <v>268.49</v>
      </c>
      <c r="F366" t="s">
        <v>303</v>
      </c>
      <c r="G366" s="2">
        <v>1.2999999999999999E-3</v>
      </c>
    </row>
    <row r="367" spans="1:7" x14ac:dyDescent="0.2">
      <c r="A367" s="1">
        <v>43105</v>
      </c>
      <c r="B367">
        <v>270.94</v>
      </c>
      <c r="C367">
        <v>263.87</v>
      </c>
      <c r="D367">
        <v>274.25</v>
      </c>
      <c r="E367">
        <v>259.05</v>
      </c>
      <c r="F367" t="s">
        <v>277</v>
      </c>
      <c r="G367" s="2">
        <v>2.4299999999999999E-2</v>
      </c>
    </row>
    <row r="368" spans="1:7" x14ac:dyDescent="0.2">
      <c r="A368" s="1">
        <v>43104</v>
      </c>
      <c r="B368">
        <v>264.51</v>
      </c>
      <c r="C368">
        <v>262.55</v>
      </c>
      <c r="D368">
        <v>271.3</v>
      </c>
      <c r="E368">
        <v>254.67</v>
      </c>
      <c r="F368" t="s">
        <v>298</v>
      </c>
      <c r="G368" s="2">
        <v>5.1999999999999998E-3</v>
      </c>
    </row>
    <row r="369" spans="1:7" x14ac:dyDescent="0.2">
      <c r="A369" s="1">
        <v>43103</v>
      </c>
      <c r="B369">
        <v>263.14999999999998</v>
      </c>
      <c r="C369">
        <v>271.41000000000003</v>
      </c>
      <c r="D369">
        <v>280.41000000000003</v>
      </c>
      <c r="E369">
        <v>257.83</v>
      </c>
      <c r="F369" t="s">
        <v>345</v>
      </c>
      <c r="G369" s="2">
        <v>-3.1300000000000001E-2</v>
      </c>
    </row>
    <row r="370" spans="1:7" x14ac:dyDescent="0.2">
      <c r="A370" s="1">
        <v>43102</v>
      </c>
      <c r="B370">
        <v>271.64999999999998</v>
      </c>
      <c r="C370">
        <v>281.07</v>
      </c>
      <c r="D370">
        <v>283.06</v>
      </c>
      <c r="E370">
        <v>252.92</v>
      </c>
      <c r="F370" t="s">
        <v>346</v>
      </c>
      <c r="G370" s="2">
        <v>-3.6400000000000002E-2</v>
      </c>
    </row>
    <row r="371" spans="1:7" x14ac:dyDescent="0.2">
      <c r="A371" s="1">
        <v>43101</v>
      </c>
      <c r="B371">
        <v>281.89999999999998</v>
      </c>
      <c r="C371">
        <v>267.83999999999997</v>
      </c>
      <c r="D371">
        <v>286.63</v>
      </c>
      <c r="E371">
        <v>267.39999999999998</v>
      </c>
      <c r="F371" t="s">
        <v>298</v>
      </c>
      <c r="G371" s="2">
        <v>5.6399999999999999E-2</v>
      </c>
    </row>
    <row r="372" spans="1:7" x14ac:dyDescent="0.2">
      <c r="A372" s="1">
        <v>42747</v>
      </c>
      <c r="B372">
        <v>266.86</v>
      </c>
      <c r="C372">
        <v>264.76</v>
      </c>
      <c r="D372">
        <v>268.60000000000002</v>
      </c>
      <c r="E372">
        <v>260.76</v>
      </c>
      <c r="F372" t="s">
        <v>347</v>
      </c>
      <c r="G372" s="2">
        <v>7.0000000000000001E-3</v>
      </c>
    </row>
    <row r="373" spans="1:7" x14ac:dyDescent="0.2">
      <c r="A373" s="1">
        <v>42746</v>
      </c>
      <c r="B373">
        <v>265.01</v>
      </c>
      <c r="C373">
        <v>258.04000000000002</v>
      </c>
      <c r="D373">
        <v>266.05</v>
      </c>
      <c r="E373">
        <v>255.63</v>
      </c>
      <c r="F373" t="s">
        <v>300</v>
      </c>
      <c r="G373" s="2">
        <v>3.0599999999999999E-2</v>
      </c>
    </row>
    <row r="374" spans="1:7" x14ac:dyDescent="0.2">
      <c r="A374" s="1">
        <v>42745</v>
      </c>
      <c r="B374">
        <v>257.14999999999998</v>
      </c>
      <c r="C374">
        <v>251.49</v>
      </c>
      <c r="D374">
        <v>257.89</v>
      </c>
      <c r="E374">
        <v>251.29</v>
      </c>
      <c r="F374" t="s">
        <v>348</v>
      </c>
      <c r="G374" s="2">
        <v>2.3599999999999999E-2</v>
      </c>
    </row>
    <row r="375" spans="1:7" x14ac:dyDescent="0.2">
      <c r="A375" s="1">
        <v>42744</v>
      </c>
      <c r="B375">
        <v>251.23</v>
      </c>
      <c r="C375">
        <v>247.92</v>
      </c>
      <c r="D375">
        <v>251.32</v>
      </c>
      <c r="E375">
        <v>244.95</v>
      </c>
      <c r="F375" t="s">
        <v>332</v>
      </c>
      <c r="G375" s="2">
        <v>1.5100000000000001E-2</v>
      </c>
    </row>
    <row r="376" spans="1:7" x14ac:dyDescent="0.2">
      <c r="A376" s="1">
        <v>42743</v>
      </c>
      <c r="B376">
        <v>247.49</v>
      </c>
      <c r="C376">
        <v>247.46</v>
      </c>
      <c r="D376">
        <v>248.91</v>
      </c>
      <c r="E376">
        <v>241.83</v>
      </c>
      <c r="F376" t="s">
        <v>349</v>
      </c>
      <c r="G376" s="2">
        <v>2.8999999999999998E-3</v>
      </c>
    </row>
    <row r="377" spans="1:7" x14ac:dyDescent="0.2">
      <c r="A377" s="1">
        <v>42742</v>
      </c>
      <c r="B377">
        <v>246.77</v>
      </c>
      <c r="C377">
        <v>242.88</v>
      </c>
      <c r="D377">
        <v>248</v>
      </c>
      <c r="E377">
        <v>240.34</v>
      </c>
      <c r="F377" t="s">
        <v>285</v>
      </c>
      <c r="G377" s="2">
        <v>2.06E-2</v>
      </c>
    </row>
    <row r="378" spans="1:7" x14ac:dyDescent="0.2">
      <c r="A378" s="1">
        <v>42741</v>
      </c>
      <c r="B378">
        <v>241.8</v>
      </c>
      <c r="C378">
        <v>241.97</v>
      </c>
      <c r="D378">
        <v>245.01</v>
      </c>
      <c r="E378">
        <v>239.96</v>
      </c>
      <c r="F378" t="s">
        <v>350</v>
      </c>
      <c r="G378" s="2">
        <v>1.5E-3</v>
      </c>
    </row>
    <row r="379" spans="1:7" x14ac:dyDescent="0.2">
      <c r="A379" s="1">
        <v>42740</v>
      </c>
      <c r="B379">
        <v>241.44</v>
      </c>
      <c r="C379">
        <v>238.68</v>
      </c>
      <c r="D379">
        <v>242.08</v>
      </c>
      <c r="E379">
        <v>235.43</v>
      </c>
      <c r="F379" t="s">
        <v>351</v>
      </c>
      <c r="G379" s="2">
        <v>1.41E-2</v>
      </c>
    </row>
    <row r="380" spans="1:7" x14ac:dyDescent="0.2">
      <c r="A380" s="1">
        <v>42739</v>
      </c>
      <c r="B380">
        <v>238.08</v>
      </c>
      <c r="C380">
        <v>235.8</v>
      </c>
      <c r="D380">
        <v>239.53</v>
      </c>
      <c r="E380">
        <v>232.51</v>
      </c>
      <c r="F380" t="s">
        <v>319</v>
      </c>
      <c r="G380" s="2">
        <v>9.9000000000000008E-3</v>
      </c>
    </row>
    <row r="381" spans="1:7" x14ac:dyDescent="0.2">
      <c r="A381" s="1">
        <v>42738</v>
      </c>
      <c r="B381">
        <v>235.74</v>
      </c>
      <c r="C381">
        <v>238.39</v>
      </c>
      <c r="D381">
        <v>240.32</v>
      </c>
      <c r="E381">
        <v>231.61</v>
      </c>
      <c r="F381" t="s">
        <v>352</v>
      </c>
      <c r="G381" s="2">
        <v>-3.0999999999999999E-3</v>
      </c>
    </row>
    <row r="382" spans="1:7" x14ac:dyDescent="0.2">
      <c r="A382" s="1">
        <v>42737</v>
      </c>
      <c r="B382">
        <v>236.47</v>
      </c>
      <c r="C382">
        <v>228.25</v>
      </c>
      <c r="D382">
        <v>237.31</v>
      </c>
      <c r="E382">
        <v>226.82</v>
      </c>
      <c r="F382" t="s">
        <v>300</v>
      </c>
      <c r="G382" s="2">
        <v>3.9300000000000002E-2</v>
      </c>
    </row>
    <row r="383" spans="1:7" x14ac:dyDescent="0.2">
      <c r="A383" s="1">
        <v>42736</v>
      </c>
      <c r="B383">
        <v>227.53</v>
      </c>
      <c r="C383">
        <v>225.04</v>
      </c>
      <c r="D383">
        <v>229.71</v>
      </c>
      <c r="E383">
        <v>223.88</v>
      </c>
      <c r="F383" t="s">
        <v>279</v>
      </c>
      <c r="G383" s="2">
        <v>1.7899999999999999E-2</v>
      </c>
    </row>
    <row r="384" spans="1:7" x14ac:dyDescent="0.2">
      <c r="A384" s="1">
        <v>42381</v>
      </c>
      <c r="B384">
        <v>223.53</v>
      </c>
      <c r="C384">
        <v>220.73</v>
      </c>
      <c r="D384">
        <v>228.34</v>
      </c>
      <c r="E384">
        <v>219.15</v>
      </c>
      <c r="F384" t="s">
        <v>326</v>
      </c>
      <c r="G384" s="2">
        <v>1.43E-2</v>
      </c>
    </row>
    <row r="385" spans="1:7" x14ac:dyDescent="0.2">
      <c r="A385" s="1">
        <v>42380</v>
      </c>
      <c r="B385">
        <v>220.38</v>
      </c>
      <c r="C385">
        <v>212.93</v>
      </c>
      <c r="D385">
        <v>221.82</v>
      </c>
      <c r="E385">
        <v>208.38</v>
      </c>
      <c r="F385" t="s">
        <v>353</v>
      </c>
      <c r="G385" s="2">
        <v>3.6799999999999999E-2</v>
      </c>
    </row>
    <row r="386" spans="1:7" x14ac:dyDescent="0.2">
      <c r="A386" s="1">
        <v>42379</v>
      </c>
      <c r="B386">
        <v>212.55</v>
      </c>
      <c r="C386">
        <v>215.82</v>
      </c>
      <c r="D386">
        <v>216.7</v>
      </c>
      <c r="E386">
        <v>211.21</v>
      </c>
      <c r="F386" t="s">
        <v>354</v>
      </c>
      <c r="G386" s="2">
        <v>-1.7299999999999999E-2</v>
      </c>
    </row>
    <row r="387" spans="1:7" x14ac:dyDescent="0.2">
      <c r="A387" s="1">
        <v>42378</v>
      </c>
      <c r="B387">
        <v>216.3</v>
      </c>
      <c r="C387">
        <v>217.37</v>
      </c>
      <c r="D387">
        <v>219.22</v>
      </c>
      <c r="E387">
        <v>212.31</v>
      </c>
      <c r="F387" t="s">
        <v>312</v>
      </c>
      <c r="G387" s="2">
        <v>-5.0000000000000001E-3</v>
      </c>
    </row>
    <row r="388" spans="1:7" x14ac:dyDescent="0.2">
      <c r="A388" s="1">
        <v>42377</v>
      </c>
      <c r="B388">
        <v>217.38</v>
      </c>
      <c r="C388">
        <v>217.19</v>
      </c>
      <c r="D388">
        <v>219.6</v>
      </c>
      <c r="E388">
        <v>214.25</v>
      </c>
      <c r="F388" t="s">
        <v>355</v>
      </c>
      <c r="G388" s="2">
        <v>1.1999999999999999E-3</v>
      </c>
    </row>
    <row r="389" spans="1:7" x14ac:dyDescent="0.2">
      <c r="A389" s="1">
        <v>42376</v>
      </c>
      <c r="B389">
        <v>217.12</v>
      </c>
      <c r="C389">
        <v>209.36</v>
      </c>
      <c r="D389">
        <v>217.54</v>
      </c>
      <c r="E389">
        <v>207.06</v>
      </c>
      <c r="F389" t="s">
        <v>356</v>
      </c>
      <c r="G389" s="2">
        <v>3.6499999999999998E-2</v>
      </c>
    </row>
    <row r="390" spans="1:7" x14ac:dyDescent="0.2">
      <c r="A390" s="1">
        <v>42375</v>
      </c>
      <c r="B390">
        <v>209.47</v>
      </c>
      <c r="C390">
        <v>209.12</v>
      </c>
      <c r="D390">
        <v>212.52</v>
      </c>
      <c r="E390">
        <v>198.65</v>
      </c>
      <c r="F390" t="s">
        <v>357</v>
      </c>
      <c r="G390" s="2">
        <v>-1.8E-3</v>
      </c>
    </row>
    <row r="391" spans="1:7" x14ac:dyDescent="0.2">
      <c r="A391" s="1">
        <v>42374</v>
      </c>
      <c r="B391">
        <v>209.84</v>
      </c>
      <c r="C391">
        <v>206.92</v>
      </c>
      <c r="D391">
        <v>210.69</v>
      </c>
      <c r="E391">
        <v>202.78</v>
      </c>
      <c r="F391" t="s">
        <v>358</v>
      </c>
      <c r="G391" s="2">
        <v>1.7000000000000001E-2</v>
      </c>
    </row>
    <row r="392" spans="1:7" x14ac:dyDescent="0.2">
      <c r="A392" s="1">
        <v>42373</v>
      </c>
      <c r="B392">
        <v>206.33</v>
      </c>
      <c r="C392">
        <v>204.35</v>
      </c>
      <c r="D392">
        <v>210.92</v>
      </c>
      <c r="E392">
        <v>203.09</v>
      </c>
      <c r="F392" t="s">
        <v>328</v>
      </c>
      <c r="G392" s="2">
        <v>3.8999999999999998E-3</v>
      </c>
    </row>
    <row r="393" spans="1:7" x14ac:dyDescent="0.2">
      <c r="A393" s="1">
        <v>42372</v>
      </c>
      <c r="B393">
        <v>205.52</v>
      </c>
      <c r="C393">
        <v>195.01</v>
      </c>
      <c r="D393">
        <v>206.87</v>
      </c>
      <c r="E393">
        <v>194.45</v>
      </c>
      <c r="F393" t="s">
        <v>359</v>
      </c>
      <c r="G393" s="2">
        <v>6.1800000000000001E-2</v>
      </c>
    </row>
    <row r="394" spans="1:7" x14ac:dyDescent="0.2">
      <c r="A394" s="1">
        <v>42371</v>
      </c>
      <c r="B394">
        <v>193.56</v>
      </c>
      <c r="C394">
        <v>192.53</v>
      </c>
      <c r="D394">
        <v>196.68</v>
      </c>
      <c r="E394">
        <v>181.09</v>
      </c>
      <c r="F394" t="s">
        <v>346</v>
      </c>
      <c r="G394" s="2">
        <v>-8.0000000000000004E-4</v>
      </c>
    </row>
    <row r="395" spans="1:7" x14ac:dyDescent="0.2">
      <c r="A395" s="1">
        <v>42370</v>
      </c>
      <c r="B395">
        <v>193.72</v>
      </c>
      <c r="C395">
        <v>200.49</v>
      </c>
      <c r="D395">
        <v>201.9</v>
      </c>
      <c r="E395">
        <v>181.02</v>
      </c>
      <c r="F395" t="s">
        <v>360</v>
      </c>
      <c r="G395" s="2">
        <v>-4.9799999999999997E-2</v>
      </c>
    </row>
    <row r="396" spans="1:7" x14ac:dyDescent="0.2">
      <c r="A396" s="1">
        <v>42016</v>
      </c>
      <c r="B396">
        <v>203.87</v>
      </c>
      <c r="C396">
        <v>209.44</v>
      </c>
      <c r="D396">
        <v>211</v>
      </c>
      <c r="E396">
        <v>199.83</v>
      </c>
      <c r="F396" t="s">
        <v>346</v>
      </c>
      <c r="G396" s="2">
        <v>-2.3099999999999999E-2</v>
      </c>
    </row>
    <row r="397" spans="1:7" x14ac:dyDescent="0.2">
      <c r="A397" s="1">
        <v>42015</v>
      </c>
      <c r="B397">
        <v>208.69</v>
      </c>
      <c r="C397">
        <v>208.32</v>
      </c>
      <c r="D397">
        <v>211.66</v>
      </c>
      <c r="E397">
        <v>202.18</v>
      </c>
      <c r="F397" t="s">
        <v>352</v>
      </c>
      <c r="G397" s="2">
        <v>3.7000000000000002E-3</v>
      </c>
    </row>
    <row r="398" spans="1:7" x14ac:dyDescent="0.2">
      <c r="A398" s="1">
        <v>42014</v>
      </c>
      <c r="B398">
        <v>207.93</v>
      </c>
      <c r="C398">
        <v>192.08</v>
      </c>
      <c r="D398">
        <v>209.44</v>
      </c>
      <c r="E398">
        <v>189.12</v>
      </c>
      <c r="F398" t="s">
        <v>361</v>
      </c>
      <c r="G398" s="2">
        <v>8.5099999999999995E-2</v>
      </c>
    </row>
    <row r="399" spans="1:7" x14ac:dyDescent="0.2">
      <c r="A399" s="1">
        <v>42013</v>
      </c>
      <c r="B399">
        <v>191.63</v>
      </c>
      <c r="C399">
        <v>193.12</v>
      </c>
      <c r="D399">
        <v>202.89</v>
      </c>
      <c r="E399">
        <v>186.93</v>
      </c>
      <c r="F399" t="s">
        <v>362</v>
      </c>
      <c r="G399" s="2">
        <v>-3.0599999999999999E-2</v>
      </c>
    </row>
    <row r="400" spans="1:7" x14ac:dyDescent="0.2">
      <c r="A400" s="1">
        <v>42012</v>
      </c>
      <c r="B400">
        <v>197.67</v>
      </c>
      <c r="C400">
        <v>210.46</v>
      </c>
      <c r="D400">
        <v>211.31</v>
      </c>
      <c r="E400">
        <v>182.4</v>
      </c>
      <c r="F400" t="s">
        <v>363</v>
      </c>
      <c r="G400" s="2">
        <v>-6.0999999999999999E-2</v>
      </c>
    </row>
    <row r="401" spans="1:7" x14ac:dyDescent="0.2">
      <c r="A401" s="1">
        <v>42011</v>
      </c>
      <c r="B401">
        <v>210.5</v>
      </c>
      <c r="C401">
        <v>207.73</v>
      </c>
      <c r="D401">
        <v>213.18</v>
      </c>
      <c r="E401">
        <v>204.11</v>
      </c>
      <c r="F401" t="s">
        <v>364</v>
      </c>
      <c r="G401" s="2">
        <v>2.2599999999999999E-2</v>
      </c>
    </row>
    <row r="402" spans="1:7" x14ac:dyDescent="0.2">
      <c r="A402" s="1">
        <v>42010</v>
      </c>
      <c r="B402">
        <v>205.85</v>
      </c>
      <c r="C402">
        <v>211.94</v>
      </c>
      <c r="D402">
        <v>213.34</v>
      </c>
      <c r="E402">
        <v>205.28</v>
      </c>
      <c r="F402" t="s">
        <v>361</v>
      </c>
      <c r="G402" s="2">
        <v>-2.5100000000000001E-2</v>
      </c>
    </row>
    <row r="403" spans="1:7" x14ac:dyDescent="0.2">
      <c r="A403" s="1">
        <v>42009</v>
      </c>
      <c r="B403">
        <v>211.14</v>
      </c>
      <c r="C403">
        <v>209.4</v>
      </c>
      <c r="D403">
        <v>213.78</v>
      </c>
      <c r="E403">
        <v>206.76</v>
      </c>
      <c r="F403" t="s">
        <v>365</v>
      </c>
      <c r="G403" s="2">
        <v>1.29E-2</v>
      </c>
    </row>
    <row r="404" spans="1:7" x14ac:dyDescent="0.2">
      <c r="A404" s="1">
        <v>42008</v>
      </c>
      <c r="B404">
        <v>208.46</v>
      </c>
      <c r="C404">
        <v>206.39</v>
      </c>
      <c r="D404">
        <v>212.48</v>
      </c>
      <c r="E404">
        <v>204.51</v>
      </c>
      <c r="F404" t="s">
        <v>335</v>
      </c>
      <c r="G404" s="2">
        <v>9.7999999999999997E-3</v>
      </c>
    </row>
    <row r="405" spans="1:7" x14ac:dyDescent="0.2">
      <c r="A405" s="1">
        <v>42007</v>
      </c>
      <c r="B405">
        <v>206.43</v>
      </c>
      <c r="C405">
        <v>210.78</v>
      </c>
      <c r="D405">
        <v>212.06</v>
      </c>
      <c r="E405">
        <v>204.12</v>
      </c>
      <c r="F405" t="s">
        <v>366</v>
      </c>
      <c r="G405" s="2">
        <v>-2.01E-2</v>
      </c>
    </row>
    <row r="406" spans="1:7" x14ac:dyDescent="0.2">
      <c r="A406" s="1">
        <v>42006</v>
      </c>
      <c r="B406">
        <v>210.66</v>
      </c>
      <c r="C406">
        <v>200.05</v>
      </c>
      <c r="D406">
        <v>212.24</v>
      </c>
      <c r="E406">
        <v>197.86</v>
      </c>
      <c r="F406" t="s">
        <v>367</v>
      </c>
      <c r="G406" s="2">
        <v>5.62E-2</v>
      </c>
    </row>
    <row r="407" spans="1:7" x14ac:dyDescent="0.2">
      <c r="A407" s="1">
        <v>42005</v>
      </c>
      <c r="B407">
        <v>199.45</v>
      </c>
      <c r="C407">
        <v>206.38</v>
      </c>
      <c r="D407">
        <v>206.88</v>
      </c>
      <c r="E407">
        <v>198.55</v>
      </c>
      <c r="F407" t="s">
        <v>368</v>
      </c>
      <c r="G407" s="2">
        <v>-2.9600000000000001E-2</v>
      </c>
    </row>
    <row r="409" spans="1:7" x14ac:dyDescent="0.2">
      <c r="A409" s="104" t="s">
        <v>369</v>
      </c>
      <c r="B409" s="104"/>
      <c r="C409" s="104"/>
      <c r="D409" s="104"/>
      <c r="E409" s="104"/>
      <c r="F409" s="104"/>
      <c r="G409" s="104"/>
    </row>
    <row r="410" spans="1:7" x14ac:dyDescent="0.2">
      <c r="A410" t="s">
        <v>0</v>
      </c>
      <c r="B410" t="s">
        <v>1</v>
      </c>
      <c r="C410" t="s">
        <v>2</v>
      </c>
      <c r="D410" t="s">
        <v>3</v>
      </c>
      <c r="E410" t="s">
        <v>4</v>
      </c>
      <c r="F410" t="s">
        <v>5</v>
      </c>
      <c r="G410" t="s">
        <v>6</v>
      </c>
    </row>
    <row r="411" spans="1:7" x14ac:dyDescent="0.2">
      <c r="A411" s="1">
        <v>46023</v>
      </c>
      <c r="B411">
        <v>312.47000000000003</v>
      </c>
      <c r="C411">
        <v>322.27</v>
      </c>
      <c r="D411">
        <v>337.25</v>
      </c>
      <c r="E411">
        <v>306.14</v>
      </c>
      <c r="F411" t="s">
        <v>370</v>
      </c>
      <c r="G411" s="2">
        <v>-3.0300000000000001E-2</v>
      </c>
    </row>
    <row r="412" spans="1:7" x14ac:dyDescent="0.2">
      <c r="A412" s="1">
        <v>45669</v>
      </c>
      <c r="B412">
        <v>322.22000000000003</v>
      </c>
      <c r="C412">
        <v>312.95</v>
      </c>
      <c r="D412">
        <v>330.86</v>
      </c>
      <c r="E412">
        <v>298.45999999999998</v>
      </c>
      <c r="F412" t="s">
        <v>371</v>
      </c>
      <c r="G412" s="2">
        <v>2.92E-2</v>
      </c>
    </row>
    <row r="413" spans="1:7" x14ac:dyDescent="0.2">
      <c r="A413" s="1">
        <v>45668</v>
      </c>
      <c r="B413">
        <v>313.08</v>
      </c>
      <c r="C413">
        <v>311</v>
      </c>
      <c r="D413">
        <v>322.25</v>
      </c>
      <c r="E413">
        <v>292.81</v>
      </c>
      <c r="F413" t="s">
        <v>372</v>
      </c>
      <c r="G413" s="2">
        <v>6.3E-3</v>
      </c>
    </row>
    <row r="414" spans="1:7" x14ac:dyDescent="0.2">
      <c r="A414" s="1">
        <v>45667</v>
      </c>
      <c r="B414">
        <v>311.12</v>
      </c>
      <c r="C414">
        <v>313.97000000000003</v>
      </c>
      <c r="D414">
        <v>314.58999999999997</v>
      </c>
      <c r="E414">
        <v>290.54000000000002</v>
      </c>
      <c r="F414" t="s">
        <v>373</v>
      </c>
      <c r="G414" s="2">
        <v>-1.37E-2</v>
      </c>
    </row>
    <row r="415" spans="1:7" x14ac:dyDescent="0.2">
      <c r="A415" s="1">
        <v>45666</v>
      </c>
      <c r="B415">
        <v>315.43</v>
      </c>
      <c r="C415">
        <v>300.26</v>
      </c>
      <c r="D415">
        <v>318.01</v>
      </c>
      <c r="E415">
        <v>291.44</v>
      </c>
      <c r="F415" t="s">
        <v>374</v>
      </c>
      <c r="G415" s="2">
        <v>4.65E-2</v>
      </c>
    </row>
    <row r="416" spans="1:7" x14ac:dyDescent="0.2">
      <c r="A416" s="1">
        <v>45665</v>
      </c>
      <c r="B416">
        <v>301.42</v>
      </c>
      <c r="C416">
        <v>290.39999999999998</v>
      </c>
      <c r="D416">
        <v>302.95</v>
      </c>
      <c r="E416">
        <v>284.24</v>
      </c>
      <c r="F416" t="s">
        <v>375</v>
      </c>
      <c r="G416" s="2">
        <v>1.7500000000000002E-2</v>
      </c>
    </row>
    <row r="417" spans="1:7" x14ac:dyDescent="0.2">
      <c r="A417" s="1">
        <v>45664</v>
      </c>
      <c r="B417">
        <v>296.24</v>
      </c>
      <c r="C417">
        <v>290.89</v>
      </c>
      <c r="D417">
        <v>301.29000000000002</v>
      </c>
      <c r="E417">
        <v>280.31</v>
      </c>
      <c r="F417" t="s">
        <v>376</v>
      </c>
      <c r="G417" s="2">
        <v>2.18E-2</v>
      </c>
    </row>
    <row r="418" spans="1:7" x14ac:dyDescent="0.2">
      <c r="A418" s="1">
        <v>45663</v>
      </c>
      <c r="B418">
        <v>289.91000000000003</v>
      </c>
      <c r="C418">
        <v>263.02</v>
      </c>
      <c r="D418">
        <v>292.64999999999998</v>
      </c>
      <c r="E418">
        <v>260.31</v>
      </c>
      <c r="F418" t="s">
        <v>377</v>
      </c>
      <c r="G418" s="2">
        <v>9.8100000000000007E-2</v>
      </c>
    </row>
    <row r="419" spans="1:7" x14ac:dyDescent="0.2">
      <c r="A419" s="1">
        <v>45662</v>
      </c>
      <c r="B419">
        <v>264</v>
      </c>
      <c r="C419">
        <v>242.84</v>
      </c>
      <c r="D419">
        <v>269.52</v>
      </c>
      <c r="E419">
        <v>242.17</v>
      </c>
      <c r="F419" t="s">
        <v>378</v>
      </c>
      <c r="G419" s="2">
        <v>7.9200000000000007E-2</v>
      </c>
    </row>
    <row r="420" spans="1:7" x14ac:dyDescent="0.2">
      <c r="A420" s="1">
        <v>45661</v>
      </c>
      <c r="B420">
        <v>244.62</v>
      </c>
      <c r="C420">
        <v>242.62</v>
      </c>
      <c r="D420">
        <v>247.24</v>
      </c>
      <c r="E420">
        <v>202.16</v>
      </c>
      <c r="F420" t="s">
        <v>379</v>
      </c>
      <c r="G420" s="2">
        <v>-2.8E-3</v>
      </c>
    </row>
    <row r="421" spans="1:7" x14ac:dyDescent="0.2">
      <c r="A421" s="1">
        <v>45660</v>
      </c>
      <c r="B421">
        <v>245.3</v>
      </c>
      <c r="C421">
        <v>264</v>
      </c>
      <c r="D421">
        <v>266.32</v>
      </c>
      <c r="E421">
        <v>224.23</v>
      </c>
      <c r="F421" t="s">
        <v>380</v>
      </c>
      <c r="G421" s="2">
        <v>-7.3099999999999998E-2</v>
      </c>
    </row>
    <row r="422" spans="1:7" x14ac:dyDescent="0.2">
      <c r="A422" s="1">
        <v>45659</v>
      </c>
      <c r="B422">
        <v>264.64999999999998</v>
      </c>
      <c r="C422">
        <v>261.83</v>
      </c>
      <c r="D422">
        <v>280.25</v>
      </c>
      <c r="E422">
        <v>253.35</v>
      </c>
      <c r="F422" t="s">
        <v>381</v>
      </c>
      <c r="G422" s="2">
        <v>-9.9000000000000008E-3</v>
      </c>
    </row>
    <row r="423" spans="1:7" x14ac:dyDescent="0.2">
      <c r="A423" s="1">
        <v>45658</v>
      </c>
      <c r="B423">
        <v>267.3</v>
      </c>
      <c r="C423">
        <v>240.92</v>
      </c>
      <c r="D423">
        <v>270.82</v>
      </c>
      <c r="E423">
        <v>238.74</v>
      </c>
      <c r="F423" t="s">
        <v>382</v>
      </c>
      <c r="G423" s="2">
        <v>0.11509999999999999</v>
      </c>
    </row>
    <row r="424" spans="1:7" x14ac:dyDescent="0.2">
      <c r="A424" s="1">
        <v>45303</v>
      </c>
      <c r="B424">
        <v>239.71</v>
      </c>
      <c r="C424">
        <v>249.55</v>
      </c>
      <c r="D424">
        <v>250.25</v>
      </c>
      <c r="E424">
        <v>229.53</v>
      </c>
      <c r="F424" t="s">
        <v>383</v>
      </c>
      <c r="G424" s="2">
        <v>-4.0099999999999997E-2</v>
      </c>
    </row>
    <row r="425" spans="1:7" x14ac:dyDescent="0.2">
      <c r="A425" s="1">
        <v>45302</v>
      </c>
      <c r="B425">
        <v>249.72</v>
      </c>
      <c r="C425">
        <v>223.56</v>
      </c>
      <c r="D425">
        <v>254.31</v>
      </c>
      <c r="E425">
        <v>219.17</v>
      </c>
      <c r="F425" t="s">
        <v>384</v>
      </c>
      <c r="G425" s="2">
        <v>0.12529999999999999</v>
      </c>
    </row>
    <row r="426" spans="1:7" x14ac:dyDescent="0.2">
      <c r="A426" s="1">
        <v>45301</v>
      </c>
      <c r="B426">
        <v>221.92</v>
      </c>
      <c r="C426">
        <v>208.9</v>
      </c>
      <c r="D426">
        <v>226.75</v>
      </c>
      <c r="E426">
        <v>204.34</v>
      </c>
      <c r="F426" t="s">
        <v>385</v>
      </c>
      <c r="G426" s="2">
        <v>5.2499999999999998E-2</v>
      </c>
    </row>
    <row r="427" spans="1:7" x14ac:dyDescent="0.2">
      <c r="A427" s="1">
        <v>45300</v>
      </c>
      <c r="B427">
        <v>210.86</v>
      </c>
      <c r="C427">
        <v>222.3</v>
      </c>
      <c r="D427">
        <v>224.1</v>
      </c>
      <c r="E427">
        <v>200.61</v>
      </c>
      <c r="F427" t="s">
        <v>386</v>
      </c>
      <c r="G427" s="2">
        <v>-6.2E-2</v>
      </c>
    </row>
    <row r="428" spans="1:7" x14ac:dyDescent="0.2">
      <c r="A428" s="1">
        <v>45299</v>
      </c>
      <c r="B428">
        <v>224.8</v>
      </c>
      <c r="C428">
        <v>213.2</v>
      </c>
      <c r="D428">
        <v>225.48</v>
      </c>
      <c r="E428">
        <v>190.9</v>
      </c>
      <c r="F428" t="s">
        <v>387</v>
      </c>
      <c r="G428" s="2">
        <v>5.6399999999999999E-2</v>
      </c>
    </row>
    <row r="429" spans="1:7" x14ac:dyDescent="0.2">
      <c r="A429" s="1">
        <v>45298</v>
      </c>
      <c r="B429">
        <v>212.8</v>
      </c>
      <c r="C429">
        <v>202.84</v>
      </c>
      <c r="D429">
        <v>217.56</v>
      </c>
      <c r="E429">
        <v>202.1</v>
      </c>
      <c r="F429" t="s">
        <v>388</v>
      </c>
      <c r="G429" s="2">
        <v>5.21E-2</v>
      </c>
    </row>
    <row r="430" spans="1:7" x14ac:dyDescent="0.2">
      <c r="A430" s="1">
        <v>45297</v>
      </c>
      <c r="B430">
        <v>202.26</v>
      </c>
      <c r="C430">
        <v>202.31</v>
      </c>
      <c r="D430">
        <v>202.6</v>
      </c>
      <c r="E430">
        <v>190.88</v>
      </c>
      <c r="F430" t="s">
        <v>389</v>
      </c>
      <c r="G430" s="2">
        <v>-1.8E-3</v>
      </c>
    </row>
    <row r="431" spans="1:7" x14ac:dyDescent="0.2">
      <c r="A431" s="1">
        <v>45296</v>
      </c>
      <c r="B431">
        <v>202.63</v>
      </c>
      <c r="C431">
        <v>192.27</v>
      </c>
      <c r="D431">
        <v>205.88</v>
      </c>
      <c r="E431">
        <v>188.46</v>
      </c>
      <c r="F431" t="s">
        <v>390</v>
      </c>
      <c r="G431" s="2">
        <v>5.6800000000000003E-2</v>
      </c>
    </row>
    <row r="432" spans="1:7" x14ac:dyDescent="0.2">
      <c r="A432" s="1">
        <v>45295</v>
      </c>
      <c r="B432">
        <v>191.74</v>
      </c>
      <c r="C432">
        <v>199.99</v>
      </c>
      <c r="D432">
        <v>200.94</v>
      </c>
      <c r="E432">
        <v>179.2</v>
      </c>
      <c r="F432" t="s">
        <v>391</v>
      </c>
      <c r="G432" s="2">
        <v>-4.2700000000000002E-2</v>
      </c>
    </row>
    <row r="433" spans="1:7" x14ac:dyDescent="0.2">
      <c r="A433" s="1">
        <v>45294</v>
      </c>
      <c r="B433">
        <v>200.3</v>
      </c>
      <c r="C433">
        <v>185.7</v>
      </c>
      <c r="D433">
        <v>200.72</v>
      </c>
      <c r="E433">
        <v>184.27</v>
      </c>
      <c r="F433" t="s">
        <v>392</v>
      </c>
      <c r="G433" s="2">
        <v>7.6499999999999999E-2</v>
      </c>
    </row>
    <row r="434" spans="1:7" x14ac:dyDescent="0.2">
      <c r="A434" s="1">
        <v>45293</v>
      </c>
      <c r="B434">
        <v>186.06</v>
      </c>
      <c r="C434">
        <v>173.64</v>
      </c>
      <c r="D434">
        <v>186.43</v>
      </c>
      <c r="E434">
        <v>171.43</v>
      </c>
      <c r="F434" t="s">
        <v>393</v>
      </c>
      <c r="G434" s="2">
        <v>6.7100000000000007E-2</v>
      </c>
    </row>
    <row r="435" spans="1:7" x14ac:dyDescent="0.2">
      <c r="A435" s="1">
        <v>45292</v>
      </c>
      <c r="B435">
        <v>174.36</v>
      </c>
      <c r="C435">
        <v>169.09</v>
      </c>
      <c r="D435">
        <v>178.3</v>
      </c>
      <c r="E435">
        <v>164.3</v>
      </c>
      <c r="F435" t="s">
        <v>394</v>
      </c>
      <c r="G435" s="2">
        <v>2.5000000000000001E-2</v>
      </c>
    </row>
    <row r="436" spans="1:7" x14ac:dyDescent="0.2">
      <c r="A436" s="1">
        <v>44938</v>
      </c>
      <c r="B436">
        <v>170.1</v>
      </c>
      <c r="C436">
        <v>155.82</v>
      </c>
      <c r="D436">
        <v>170.69</v>
      </c>
      <c r="E436">
        <v>155.82</v>
      </c>
      <c r="F436" t="s">
        <v>395</v>
      </c>
      <c r="G436" s="2">
        <v>8.9800000000000005E-2</v>
      </c>
    </row>
    <row r="437" spans="1:7" x14ac:dyDescent="0.2">
      <c r="A437" s="1">
        <v>44937</v>
      </c>
      <c r="B437">
        <v>156.08000000000001</v>
      </c>
      <c r="C437">
        <v>139.25</v>
      </c>
      <c r="D437">
        <v>156.13</v>
      </c>
      <c r="E437">
        <v>138.47</v>
      </c>
      <c r="F437" t="s">
        <v>396</v>
      </c>
      <c r="G437" s="2">
        <v>0.12239999999999999</v>
      </c>
    </row>
    <row r="438" spans="1:7" x14ac:dyDescent="0.2">
      <c r="A438" s="1">
        <v>44936</v>
      </c>
      <c r="B438">
        <v>139.06</v>
      </c>
      <c r="C438">
        <v>144.83000000000001</v>
      </c>
      <c r="D438">
        <v>153.11000000000001</v>
      </c>
      <c r="E438">
        <v>135.19</v>
      </c>
      <c r="F438" t="s">
        <v>397</v>
      </c>
      <c r="G438" s="2">
        <v>-4.1099999999999998E-2</v>
      </c>
    </row>
    <row r="439" spans="1:7" x14ac:dyDescent="0.2">
      <c r="A439" s="1">
        <v>44935</v>
      </c>
      <c r="B439">
        <v>145.02000000000001</v>
      </c>
      <c r="C439">
        <v>146.09</v>
      </c>
      <c r="D439">
        <v>150.25</v>
      </c>
      <c r="E439">
        <v>142.65</v>
      </c>
      <c r="F439" t="s">
        <v>398</v>
      </c>
      <c r="G439" s="2">
        <v>-8.9999999999999993E-3</v>
      </c>
    </row>
    <row r="440" spans="1:7" x14ac:dyDescent="0.2">
      <c r="A440" s="1">
        <v>44934</v>
      </c>
      <c r="B440">
        <v>146.33000000000001</v>
      </c>
      <c r="C440">
        <v>157.43</v>
      </c>
      <c r="D440">
        <v>158</v>
      </c>
      <c r="E440">
        <v>145.46</v>
      </c>
      <c r="F440" t="s">
        <v>399</v>
      </c>
      <c r="G440" s="2">
        <v>-7.3599999999999999E-2</v>
      </c>
    </row>
    <row r="441" spans="1:7" x14ac:dyDescent="0.2">
      <c r="A441" s="1">
        <v>44933</v>
      </c>
      <c r="B441">
        <v>157.96</v>
      </c>
      <c r="C441">
        <v>146.19</v>
      </c>
      <c r="D441">
        <v>159.38</v>
      </c>
      <c r="E441">
        <v>141.44</v>
      </c>
      <c r="F441" t="s">
        <v>400</v>
      </c>
      <c r="G441" s="2">
        <v>8.6099999999999996E-2</v>
      </c>
    </row>
    <row r="442" spans="1:7" x14ac:dyDescent="0.2">
      <c r="A442" s="1">
        <v>44932</v>
      </c>
      <c r="B442">
        <v>145.44</v>
      </c>
      <c r="C442">
        <v>136.52000000000001</v>
      </c>
      <c r="D442">
        <v>146</v>
      </c>
      <c r="E442">
        <v>135.44999999999999</v>
      </c>
      <c r="F442" t="s">
        <v>401</v>
      </c>
      <c r="G442" s="2">
        <v>7.17E-2</v>
      </c>
    </row>
    <row r="443" spans="1:7" x14ac:dyDescent="0.2">
      <c r="A443" s="1">
        <v>44931</v>
      </c>
      <c r="B443">
        <v>135.71</v>
      </c>
      <c r="C443">
        <v>142.26</v>
      </c>
      <c r="D443">
        <v>143.37</v>
      </c>
      <c r="E443">
        <v>131.81</v>
      </c>
      <c r="F443" t="s">
        <v>402</v>
      </c>
      <c r="G443" s="2">
        <v>-1.83E-2</v>
      </c>
    </row>
    <row r="444" spans="1:7" x14ac:dyDescent="0.2">
      <c r="A444" s="1">
        <v>44930</v>
      </c>
      <c r="B444">
        <v>138.24</v>
      </c>
      <c r="C444">
        <v>129.91</v>
      </c>
      <c r="D444">
        <v>141.78</v>
      </c>
      <c r="E444">
        <v>126.22</v>
      </c>
      <c r="F444" t="s">
        <v>403</v>
      </c>
      <c r="G444" s="2">
        <v>6.0900000000000003E-2</v>
      </c>
    </row>
    <row r="445" spans="1:7" x14ac:dyDescent="0.2">
      <c r="A445" s="1">
        <v>44929</v>
      </c>
      <c r="B445">
        <v>130.31</v>
      </c>
      <c r="C445">
        <v>142.1</v>
      </c>
      <c r="D445">
        <v>144.04</v>
      </c>
      <c r="E445">
        <v>123.11</v>
      </c>
      <c r="F445" t="s">
        <v>404</v>
      </c>
      <c r="G445" s="2">
        <v>-9.0999999999999998E-2</v>
      </c>
    </row>
    <row r="446" spans="1:7" x14ac:dyDescent="0.2">
      <c r="A446" s="1">
        <v>44928</v>
      </c>
      <c r="B446">
        <v>143.35</v>
      </c>
      <c r="C446">
        <v>138.21</v>
      </c>
      <c r="D446">
        <v>144.34</v>
      </c>
      <c r="E446">
        <v>137.43</v>
      </c>
      <c r="F446" t="s">
        <v>405</v>
      </c>
      <c r="G446" s="2">
        <v>2.4199999999999999E-2</v>
      </c>
    </row>
    <row r="447" spans="1:7" x14ac:dyDescent="0.2">
      <c r="A447" s="1">
        <v>44927</v>
      </c>
      <c r="B447">
        <v>139.96</v>
      </c>
      <c r="C447">
        <v>135.24</v>
      </c>
      <c r="D447">
        <v>143.49</v>
      </c>
      <c r="E447">
        <v>133.55000000000001</v>
      </c>
      <c r="F447" t="s">
        <v>406</v>
      </c>
      <c r="G447" s="2">
        <v>4.3700000000000003E-2</v>
      </c>
    </row>
    <row r="448" spans="1:7" x14ac:dyDescent="0.2">
      <c r="A448" s="1">
        <v>44573</v>
      </c>
      <c r="B448">
        <v>134.1</v>
      </c>
      <c r="C448">
        <v>138.18</v>
      </c>
      <c r="D448">
        <v>138.66</v>
      </c>
      <c r="E448">
        <v>128.41</v>
      </c>
      <c r="F448" t="s">
        <v>407</v>
      </c>
      <c r="G448" s="2">
        <v>-2.9499999999999998E-2</v>
      </c>
    </row>
    <row r="449" spans="1:7" x14ac:dyDescent="0.2">
      <c r="A449" s="1">
        <v>44572</v>
      </c>
      <c r="B449">
        <v>138.18</v>
      </c>
      <c r="C449">
        <v>126.87</v>
      </c>
      <c r="D449">
        <v>138.18</v>
      </c>
      <c r="E449">
        <v>125.91</v>
      </c>
      <c r="F449" t="s">
        <v>408</v>
      </c>
      <c r="G449" s="2">
        <v>9.7699999999999995E-2</v>
      </c>
    </row>
    <row r="450" spans="1:7" x14ac:dyDescent="0.2">
      <c r="A450" s="1">
        <v>44571</v>
      </c>
      <c r="B450">
        <v>125.88</v>
      </c>
      <c r="C450">
        <v>105.62</v>
      </c>
      <c r="D450">
        <v>127.43</v>
      </c>
      <c r="E450">
        <v>101.28</v>
      </c>
      <c r="F450" t="s">
        <v>409</v>
      </c>
      <c r="G450" s="2">
        <v>0.2046</v>
      </c>
    </row>
    <row r="451" spans="1:7" x14ac:dyDescent="0.2">
      <c r="A451" s="1">
        <v>44570</v>
      </c>
      <c r="B451">
        <v>104.5</v>
      </c>
      <c r="C451">
        <v>113.29</v>
      </c>
      <c r="D451">
        <v>121.55</v>
      </c>
      <c r="E451">
        <v>104.4</v>
      </c>
      <c r="F451" t="s">
        <v>410</v>
      </c>
      <c r="G451" s="2">
        <v>-8.1199999999999994E-2</v>
      </c>
    </row>
    <row r="452" spans="1:7" x14ac:dyDescent="0.2">
      <c r="A452" s="1">
        <v>44569</v>
      </c>
      <c r="B452">
        <v>113.73</v>
      </c>
      <c r="C452">
        <v>114.5</v>
      </c>
      <c r="D452">
        <v>124.24</v>
      </c>
      <c r="E452">
        <v>111.02</v>
      </c>
      <c r="F452" t="s">
        <v>411</v>
      </c>
      <c r="G452" s="2">
        <v>-1.41E-2</v>
      </c>
    </row>
    <row r="453" spans="1:7" x14ac:dyDescent="0.2">
      <c r="A453" s="1">
        <v>44568</v>
      </c>
      <c r="B453">
        <v>115.36</v>
      </c>
      <c r="C453">
        <v>112.65</v>
      </c>
      <c r="D453">
        <v>116.5</v>
      </c>
      <c r="E453">
        <v>106.06</v>
      </c>
      <c r="F453" t="s">
        <v>412</v>
      </c>
      <c r="G453" s="2">
        <v>2.4400000000000002E-2</v>
      </c>
    </row>
    <row r="454" spans="1:7" x14ac:dyDescent="0.2">
      <c r="A454" s="1">
        <v>44567</v>
      </c>
      <c r="B454">
        <v>112.61</v>
      </c>
      <c r="C454">
        <v>132.87</v>
      </c>
      <c r="D454">
        <v>132.87</v>
      </c>
      <c r="E454">
        <v>110.93</v>
      </c>
      <c r="F454" t="s">
        <v>413</v>
      </c>
      <c r="G454" s="2">
        <v>-0.1484</v>
      </c>
    </row>
    <row r="455" spans="1:7" x14ac:dyDescent="0.2">
      <c r="A455" s="1">
        <v>44566</v>
      </c>
      <c r="B455">
        <v>132.22999999999999</v>
      </c>
      <c r="C455">
        <v>119.88</v>
      </c>
      <c r="D455">
        <v>133.15</v>
      </c>
      <c r="E455">
        <v>115.02</v>
      </c>
      <c r="F455" t="s">
        <v>414</v>
      </c>
      <c r="G455" s="2">
        <v>0.10780000000000001</v>
      </c>
    </row>
    <row r="456" spans="1:7" x14ac:dyDescent="0.2">
      <c r="A456" s="1">
        <v>44565</v>
      </c>
      <c r="B456">
        <v>119.36</v>
      </c>
      <c r="C456">
        <v>137.4</v>
      </c>
      <c r="D456">
        <v>137.41</v>
      </c>
      <c r="E456">
        <v>118.9</v>
      </c>
      <c r="F456" t="s">
        <v>415</v>
      </c>
      <c r="G456" s="2">
        <v>-0.1244</v>
      </c>
    </row>
    <row r="457" spans="1:7" x14ac:dyDescent="0.2">
      <c r="A457" s="1">
        <v>44564</v>
      </c>
      <c r="B457">
        <v>136.32</v>
      </c>
      <c r="C457">
        <v>140.04</v>
      </c>
      <c r="D457">
        <v>143.93</v>
      </c>
      <c r="E457">
        <v>127.27</v>
      </c>
      <c r="F457" t="s">
        <v>416</v>
      </c>
      <c r="G457" s="2">
        <v>-3.8600000000000002E-2</v>
      </c>
    </row>
    <row r="458" spans="1:7" x14ac:dyDescent="0.2">
      <c r="A458" s="1">
        <v>44563</v>
      </c>
      <c r="B458">
        <v>141.80000000000001</v>
      </c>
      <c r="C458">
        <v>148.69</v>
      </c>
      <c r="D458">
        <v>159.03</v>
      </c>
      <c r="E458">
        <v>139.78</v>
      </c>
      <c r="F458" t="s">
        <v>417</v>
      </c>
      <c r="G458" s="2">
        <v>-4.58E-2</v>
      </c>
    </row>
    <row r="459" spans="1:7" x14ac:dyDescent="0.2">
      <c r="A459" s="1">
        <v>44562</v>
      </c>
      <c r="B459">
        <v>148.6</v>
      </c>
      <c r="C459">
        <v>159.86000000000001</v>
      </c>
      <c r="D459">
        <v>169.81</v>
      </c>
      <c r="E459">
        <v>139.57</v>
      </c>
      <c r="F459" t="s">
        <v>418</v>
      </c>
      <c r="G459" s="2">
        <v>-6.1600000000000002E-2</v>
      </c>
    </row>
    <row r="460" spans="1:7" x14ac:dyDescent="0.2">
      <c r="A460" s="1">
        <v>44208</v>
      </c>
      <c r="B460">
        <v>158.35</v>
      </c>
      <c r="C460">
        <v>161</v>
      </c>
      <c r="D460">
        <v>163.38999999999999</v>
      </c>
      <c r="E460">
        <v>151.84</v>
      </c>
      <c r="F460" t="s">
        <v>419</v>
      </c>
      <c r="G460" s="2">
        <v>-3.0000000000000001E-3</v>
      </c>
    </row>
    <row r="461" spans="1:7" x14ac:dyDescent="0.2">
      <c r="A461" s="1">
        <v>44207</v>
      </c>
      <c r="B461">
        <v>158.83000000000001</v>
      </c>
      <c r="C461">
        <v>172.04</v>
      </c>
      <c r="D461">
        <v>172.33</v>
      </c>
      <c r="E461">
        <v>158.29</v>
      </c>
      <c r="F461" t="s">
        <v>420</v>
      </c>
      <c r="G461" s="2">
        <v>-6.5100000000000005E-2</v>
      </c>
    </row>
    <row r="462" spans="1:7" x14ac:dyDescent="0.2">
      <c r="A462" s="1">
        <v>44206</v>
      </c>
      <c r="B462">
        <v>169.89</v>
      </c>
      <c r="C462">
        <v>164</v>
      </c>
      <c r="D462">
        <v>172.96</v>
      </c>
      <c r="E462">
        <v>160.06</v>
      </c>
      <c r="F462" t="s">
        <v>421</v>
      </c>
      <c r="G462" s="2">
        <v>3.7900000000000003E-2</v>
      </c>
    </row>
    <row r="463" spans="1:7" x14ac:dyDescent="0.2">
      <c r="A463" s="1">
        <v>44205</v>
      </c>
      <c r="B463">
        <v>163.69</v>
      </c>
      <c r="C463">
        <v>160.22</v>
      </c>
      <c r="D463">
        <v>169.3</v>
      </c>
      <c r="E463">
        <v>150.49</v>
      </c>
      <c r="F463" t="s">
        <v>422</v>
      </c>
      <c r="G463" s="2">
        <v>2.3400000000000001E-2</v>
      </c>
    </row>
    <row r="464" spans="1:7" x14ac:dyDescent="0.2">
      <c r="A464" s="1">
        <v>44204</v>
      </c>
      <c r="B464">
        <v>159.94999999999999</v>
      </c>
      <c r="C464">
        <v>152.03</v>
      </c>
      <c r="D464">
        <v>163.83000000000001</v>
      </c>
      <c r="E464">
        <v>149.52000000000001</v>
      </c>
      <c r="F464" t="s">
        <v>423</v>
      </c>
      <c r="G464" s="2">
        <v>5.3800000000000001E-2</v>
      </c>
    </row>
    <row r="465" spans="1:7" x14ac:dyDescent="0.2">
      <c r="A465" s="1">
        <v>44203</v>
      </c>
      <c r="B465">
        <v>151.78</v>
      </c>
      <c r="C465">
        <v>156.26</v>
      </c>
      <c r="D465">
        <v>159.16</v>
      </c>
      <c r="E465">
        <v>145.71</v>
      </c>
      <c r="F465" t="s">
        <v>424</v>
      </c>
      <c r="G465" s="2">
        <v>-2.4199999999999999E-2</v>
      </c>
    </row>
    <row r="466" spans="1:7" x14ac:dyDescent="0.2">
      <c r="A466" s="1">
        <v>44202</v>
      </c>
      <c r="B466">
        <v>155.54</v>
      </c>
      <c r="C466">
        <v>165.87</v>
      </c>
      <c r="D466">
        <v>167.44</v>
      </c>
      <c r="E466">
        <v>147.56</v>
      </c>
      <c r="F466" t="s">
        <v>425</v>
      </c>
      <c r="G466" s="2">
        <v>-5.2999999999999999E-2</v>
      </c>
    </row>
    <row r="467" spans="1:7" x14ac:dyDescent="0.2">
      <c r="A467" s="1">
        <v>44201</v>
      </c>
      <c r="B467">
        <v>164.24</v>
      </c>
      <c r="C467">
        <v>154.85</v>
      </c>
      <c r="D467">
        <v>165.7</v>
      </c>
      <c r="E467">
        <v>152.13999999999999</v>
      </c>
      <c r="F467" t="s">
        <v>426</v>
      </c>
      <c r="G467" s="2">
        <v>6.7799999999999999E-2</v>
      </c>
    </row>
    <row r="468" spans="1:7" x14ac:dyDescent="0.2">
      <c r="A468" s="1">
        <v>44200</v>
      </c>
      <c r="B468">
        <v>153.81</v>
      </c>
      <c r="C468">
        <v>151.9</v>
      </c>
      <c r="D468">
        <v>157.25</v>
      </c>
      <c r="E468">
        <v>146.68</v>
      </c>
      <c r="F468" t="s">
        <v>427</v>
      </c>
      <c r="G468" s="2">
        <v>1.04E-2</v>
      </c>
    </row>
    <row r="469" spans="1:7" x14ac:dyDescent="0.2">
      <c r="A469" s="1">
        <v>44199</v>
      </c>
      <c r="B469">
        <v>152.22999999999999</v>
      </c>
      <c r="C469">
        <v>149.52000000000001</v>
      </c>
      <c r="D469">
        <v>161.69</v>
      </c>
      <c r="E469">
        <v>147.97</v>
      </c>
      <c r="F469" t="s">
        <v>428</v>
      </c>
      <c r="G469" s="2">
        <v>3.44E-2</v>
      </c>
    </row>
    <row r="470" spans="1:7" x14ac:dyDescent="0.2">
      <c r="A470" s="1">
        <v>44198</v>
      </c>
      <c r="B470">
        <v>147.16999999999999</v>
      </c>
      <c r="C470">
        <v>129.4</v>
      </c>
      <c r="D470">
        <v>154.9</v>
      </c>
      <c r="E470">
        <v>128.47999999999999</v>
      </c>
      <c r="F470" t="s">
        <v>429</v>
      </c>
      <c r="G470" s="2">
        <v>0.14380000000000001</v>
      </c>
    </row>
    <row r="471" spans="1:7" x14ac:dyDescent="0.2">
      <c r="A471" s="1">
        <v>44197</v>
      </c>
      <c r="B471">
        <v>128.66999999999999</v>
      </c>
      <c r="C471">
        <v>127.5</v>
      </c>
      <c r="D471">
        <v>142.75</v>
      </c>
      <c r="E471">
        <v>123.77</v>
      </c>
      <c r="F471" t="s">
        <v>430</v>
      </c>
      <c r="G471" s="2">
        <v>1.26E-2</v>
      </c>
    </row>
    <row r="472" spans="1:7" x14ac:dyDescent="0.2">
      <c r="A472" s="1">
        <v>43842</v>
      </c>
      <c r="B472">
        <v>127.07</v>
      </c>
      <c r="C472">
        <v>120.34</v>
      </c>
      <c r="D472">
        <v>127.33</v>
      </c>
      <c r="E472">
        <v>118.11</v>
      </c>
      <c r="F472" t="s">
        <v>431</v>
      </c>
      <c r="G472" s="2">
        <v>7.8E-2</v>
      </c>
    </row>
    <row r="473" spans="1:7" x14ac:dyDescent="0.2">
      <c r="A473" s="1">
        <v>43841</v>
      </c>
      <c r="B473">
        <v>117.88</v>
      </c>
      <c r="C473">
        <v>99.39</v>
      </c>
      <c r="D473">
        <v>123.5</v>
      </c>
      <c r="E473">
        <v>97.86</v>
      </c>
      <c r="F473" t="s">
        <v>432</v>
      </c>
      <c r="G473" s="2">
        <v>0.2024</v>
      </c>
    </row>
    <row r="474" spans="1:7" x14ac:dyDescent="0.2">
      <c r="A474" s="1">
        <v>43840</v>
      </c>
      <c r="B474">
        <v>98.04</v>
      </c>
      <c r="C474">
        <v>97.12</v>
      </c>
      <c r="D474">
        <v>104.45</v>
      </c>
      <c r="E474">
        <v>95.09</v>
      </c>
      <c r="F474" t="s">
        <v>433</v>
      </c>
      <c r="G474" s="2">
        <v>1.84E-2</v>
      </c>
    </row>
    <row r="475" spans="1:7" x14ac:dyDescent="0.2">
      <c r="A475" s="1">
        <v>43839</v>
      </c>
      <c r="B475">
        <v>96.27</v>
      </c>
      <c r="C475">
        <v>99.55</v>
      </c>
      <c r="D475">
        <v>105.21</v>
      </c>
      <c r="E475">
        <v>91.38</v>
      </c>
      <c r="F475" t="s">
        <v>434</v>
      </c>
      <c r="G475" s="2">
        <v>-3.9100000000000003E-2</v>
      </c>
    </row>
    <row r="476" spans="1:7" x14ac:dyDescent="0.2">
      <c r="A476" s="1">
        <v>43838</v>
      </c>
      <c r="B476">
        <v>100.19</v>
      </c>
      <c r="C476">
        <v>97.02</v>
      </c>
      <c r="D476">
        <v>106.43</v>
      </c>
      <c r="E476">
        <v>95.03</v>
      </c>
      <c r="F476" t="s">
        <v>435</v>
      </c>
      <c r="G476" s="2">
        <v>3.6700000000000003E-2</v>
      </c>
    </row>
    <row r="477" spans="1:7" x14ac:dyDescent="0.2">
      <c r="A477" s="1">
        <v>43837</v>
      </c>
      <c r="B477">
        <v>96.64</v>
      </c>
      <c r="C477">
        <v>94.89</v>
      </c>
      <c r="D477">
        <v>101.29</v>
      </c>
      <c r="E477">
        <v>90.78</v>
      </c>
      <c r="F477" t="s">
        <v>436</v>
      </c>
      <c r="G477" s="2">
        <v>2.7400000000000001E-2</v>
      </c>
    </row>
    <row r="478" spans="1:7" x14ac:dyDescent="0.2">
      <c r="A478" s="1">
        <v>43836</v>
      </c>
      <c r="B478">
        <v>94.06</v>
      </c>
      <c r="C478">
        <v>97.75</v>
      </c>
      <c r="D478">
        <v>115.77</v>
      </c>
      <c r="E478">
        <v>92</v>
      </c>
      <c r="F478" t="s">
        <v>437</v>
      </c>
      <c r="G478" s="2">
        <v>-3.3399999999999999E-2</v>
      </c>
    </row>
    <row r="479" spans="1:7" x14ac:dyDescent="0.2">
      <c r="A479" s="1">
        <v>43835</v>
      </c>
      <c r="B479">
        <v>97.31</v>
      </c>
      <c r="C479">
        <v>93.5</v>
      </c>
      <c r="D479">
        <v>102.95</v>
      </c>
      <c r="E479">
        <v>82.4</v>
      </c>
      <c r="F479" t="s">
        <v>438</v>
      </c>
      <c r="G479" s="2">
        <v>1.6199999999999999E-2</v>
      </c>
    </row>
    <row r="480" spans="1:7" x14ac:dyDescent="0.2">
      <c r="A480" s="1">
        <v>43834</v>
      </c>
      <c r="B480">
        <v>95.76</v>
      </c>
      <c r="C480">
        <v>85.1</v>
      </c>
      <c r="D480">
        <v>104.39</v>
      </c>
      <c r="E480">
        <v>82.77</v>
      </c>
      <c r="F480" t="s">
        <v>439</v>
      </c>
      <c r="G480" s="2">
        <v>6.3600000000000004E-2</v>
      </c>
    </row>
    <row r="481" spans="1:7" x14ac:dyDescent="0.2">
      <c r="A481" s="1">
        <v>43833</v>
      </c>
      <c r="B481">
        <v>90.03</v>
      </c>
      <c r="C481">
        <v>116.63</v>
      </c>
      <c r="D481">
        <v>122.95</v>
      </c>
      <c r="E481">
        <v>76.91</v>
      </c>
      <c r="F481" t="s">
        <v>440</v>
      </c>
      <c r="G481" s="2">
        <v>-0.22459999999999999</v>
      </c>
    </row>
    <row r="482" spans="1:7" x14ac:dyDescent="0.2">
      <c r="A482" s="1">
        <v>43832</v>
      </c>
      <c r="B482">
        <v>116.11</v>
      </c>
      <c r="C482">
        <v>132.66</v>
      </c>
      <c r="D482">
        <v>139.29</v>
      </c>
      <c r="E482">
        <v>112.66</v>
      </c>
      <c r="F482" t="s">
        <v>441</v>
      </c>
      <c r="G482" s="2">
        <v>-0.12280000000000001</v>
      </c>
    </row>
    <row r="483" spans="1:7" x14ac:dyDescent="0.2">
      <c r="A483" s="1">
        <v>43831</v>
      </c>
      <c r="B483">
        <v>132.36000000000001</v>
      </c>
      <c r="C483">
        <v>139.79</v>
      </c>
      <c r="D483">
        <v>141.1</v>
      </c>
      <c r="E483">
        <v>129.71</v>
      </c>
      <c r="F483" t="s">
        <v>442</v>
      </c>
      <c r="G483" s="2">
        <v>-5.0500000000000003E-2</v>
      </c>
    </row>
    <row r="484" spans="1:7" x14ac:dyDescent="0.2">
      <c r="A484" s="1">
        <v>43477</v>
      </c>
      <c r="B484">
        <v>139.4</v>
      </c>
      <c r="C484">
        <v>132.31</v>
      </c>
      <c r="D484">
        <v>140.08000000000001</v>
      </c>
      <c r="E484">
        <v>128.59</v>
      </c>
      <c r="F484" t="s">
        <v>443</v>
      </c>
      <c r="G484" s="2">
        <v>5.8000000000000003E-2</v>
      </c>
    </row>
    <row r="485" spans="1:7" x14ac:dyDescent="0.2">
      <c r="A485" s="1">
        <v>43476</v>
      </c>
      <c r="B485">
        <v>131.76</v>
      </c>
      <c r="C485">
        <v>126.2</v>
      </c>
      <c r="D485">
        <v>132.43</v>
      </c>
      <c r="E485">
        <v>126.02</v>
      </c>
      <c r="F485" t="s">
        <v>444</v>
      </c>
      <c r="G485" s="2">
        <v>5.4800000000000001E-2</v>
      </c>
    </row>
    <row r="486" spans="1:7" x14ac:dyDescent="0.2">
      <c r="A486" s="1">
        <v>43475</v>
      </c>
      <c r="B486">
        <v>124.92</v>
      </c>
      <c r="C486">
        <v>118.4</v>
      </c>
      <c r="D486">
        <v>127.42</v>
      </c>
      <c r="E486">
        <v>110.52</v>
      </c>
      <c r="F486" t="s">
        <v>445</v>
      </c>
      <c r="G486" s="2">
        <v>6.1400000000000003E-2</v>
      </c>
    </row>
    <row r="487" spans="1:7" x14ac:dyDescent="0.2">
      <c r="A487" s="1">
        <v>43474</v>
      </c>
      <c r="B487">
        <v>117.69</v>
      </c>
      <c r="C487">
        <v>108.98</v>
      </c>
      <c r="D487">
        <v>120.4</v>
      </c>
      <c r="E487">
        <v>107.32</v>
      </c>
      <c r="F487" t="s">
        <v>446</v>
      </c>
      <c r="G487" s="2">
        <v>7.1300000000000002E-2</v>
      </c>
    </row>
    <row r="488" spans="1:7" x14ac:dyDescent="0.2">
      <c r="A488" s="1">
        <v>43473</v>
      </c>
      <c r="B488">
        <v>109.86</v>
      </c>
      <c r="C488">
        <v>115.33</v>
      </c>
      <c r="D488">
        <v>116.8</v>
      </c>
      <c r="E488">
        <v>104.34</v>
      </c>
      <c r="F488" t="s">
        <v>447</v>
      </c>
      <c r="G488" s="2">
        <v>-5.2900000000000003E-2</v>
      </c>
    </row>
    <row r="489" spans="1:7" x14ac:dyDescent="0.2">
      <c r="A489" s="1">
        <v>43472</v>
      </c>
      <c r="B489">
        <v>116</v>
      </c>
      <c r="C489">
        <v>113.23</v>
      </c>
      <c r="D489">
        <v>117.24</v>
      </c>
      <c r="E489">
        <v>112.15</v>
      </c>
      <c r="F489" t="s">
        <v>448</v>
      </c>
      <c r="G489" s="2">
        <v>3.7600000000000001E-2</v>
      </c>
    </row>
    <row r="490" spans="1:7" x14ac:dyDescent="0.2">
      <c r="A490" s="1">
        <v>43471</v>
      </c>
      <c r="B490">
        <v>111.8</v>
      </c>
      <c r="C490">
        <v>105.8</v>
      </c>
      <c r="D490">
        <v>112.43</v>
      </c>
      <c r="E490">
        <v>105.3</v>
      </c>
      <c r="F490" t="s">
        <v>449</v>
      </c>
      <c r="G490" s="2">
        <v>5.5100000000000003E-2</v>
      </c>
    </row>
    <row r="491" spans="1:7" x14ac:dyDescent="0.2">
      <c r="A491" s="1">
        <v>43470</v>
      </c>
      <c r="B491">
        <v>105.96</v>
      </c>
      <c r="C491">
        <v>115.72</v>
      </c>
      <c r="D491">
        <v>117</v>
      </c>
      <c r="E491">
        <v>104.84</v>
      </c>
      <c r="F491" t="s">
        <v>450</v>
      </c>
      <c r="G491" s="2">
        <v>-8.6900000000000005E-2</v>
      </c>
    </row>
    <row r="492" spans="1:7" x14ac:dyDescent="0.2">
      <c r="A492" s="1">
        <v>43469</v>
      </c>
      <c r="B492">
        <v>116.05</v>
      </c>
      <c r="C492">
        <v>102.15</v>
      </c>
      <c r="D492">
        <v>117.15</v>
      </c>
      <c r="E492">
        <v>102.12</v>
      </c>
      <c r="F492" t="s">
        <v>451</v>
      </c>
      <c r="G492" s="2">
        <v>0.1464</v>
      </c>
    </row>
    <row r="493" spans="1:7" x14ac:dyDescent="0.2">
      <c r="A493" s="1">
        <v>43468</v>
      </c>
      <c r="B493">
        <v>101.23</v>
      </c>
      <c r="C493">
        <v>105.1</v>
      </c>
      <c r="D493">
        <v>108.4</v>
      </c>
      <c r="E493">
        <v>98.09</v>
      </c>
      <c r="F493" t="s">
        <v>452</v>
      </c>
      <c r="G493" s="2">
        <v>-0.03</v>
      </c>
    </row>
    <row r="494" spans="1:7" x14ac:dyDescent="0.2">
      <c r="A494" s="1">
        <v>43467</v>
      </c>
      <c r="B494">
        <v>104.36</v>
      </c>
      <c r="C494">
        <v>104</v>
      </c>
      <c r="D494">
        <v>107.27</v>
      </c>
      <c r="E494">
        <v>100.06</v>
      </c>
      <c r="F494" t="s">
        <v>453</v>
      </c>
      <c r="G494" s="2">
        <v>8.3000000000000001E-3</v>
      </c>
    </row>
    <row r="495" spans="1:7" x14ac:dyDescent="0.2">
      <c r="A495" s="1">
        <v>43466</v>
      </c>
      <c r="B495">
        <v>103.5</v>
      </c>
      <c r="C495">
        <v>95.95</v>
      </c>
      <c r="D495">
        <v>105.24</v>
      </c>
      <c r="E495">
        <v>95.94</v>
      </c>
      <c r="F495" t="s">
        <v>454</v>
      </c>
      <c r="G495" s="2">
        <v>6.0199999999999997E-2</v>
      </c>
    </row>
    <row r="496" spans="1:7" x14ac:dyDescent="0.2">
      <c r="A496" s="1">
        <v>43112</v>
      </c>
      <c r="B496">
        <v>97.62</v>
      </c>
      <c r="C496">
        <v>112.38</v>
      </c>
      <c r="D496">
        <v>112.89</v>
      </c>
      <c r="E496">
        <v>91.11</v>
      </c>
      <c r="F496" t="s">
        <v>455</v>
      </c>
      <c r="G496" s="2">
        <v>-0.122</v>
      </c>
    </row>
    <row r="497" spans="1:7" x14ac:dyDescent="0.2">
      <c r="A497" s="1">
        <v>43111</v>
      </c>
      <c r="B497">
        <v>111.19</v>
      </c>
      <c r="C497">
        <v>109.62</v>
      </c>
      <c r="D497">
        <v>112.93</v>
      </c>
      <c r="E497">
        <v>105.98</v>
      </c>
      <c r="F497" t="s">
        <v>456</v>
      </c>
      <c r="G497" s="2">
        <v>1.9900000000000001E-2</v>
      </c>
    </row>
    <row r="498" spans="1:7" x14ac:dyDescent="0.2">
      <c r="A498" s="1">
        <v>43110</v>
      </c>
      <c r="B498">
        <v>109.02</v>
      </c>
      <c r="C498">
        <v>113.37</v>
      </c>
      <c r="D498">
        <v>116.81</v>
      </c>
      <c r="E498">
        <v>102.73</v>
      </c>
      <c r="F498" t="s">
        <v>457</v>
      </c>
      <c r="G498" s="2">
        <v>-3.39E-2</v>
      </c>
    </row>
    <row r="499" spans="1:7" x14ac:dyDescent="0.2">
      <c r="A499" s="1">
        <v>43109</v>
      </c>
      <c r="B499">
        <v>112.84</v>
      </c>
      <c r="C499">
        <v>114.34</v>
      </c>
      <c r="D499">
        <v>119.24</v>
      </c>
      <c r="E499">
        <v>112.52</v>
      </c>
      <c r="F499" t="s">
        <v>458</v>
      </c>
      <c r="G499" s="2">
        <v>-1.52E-2</v>
      </c>
    </row>
    <row r="500" spans="1:7" x14ac:dyDescent="0.2">
      <c r="A500" s="1">
        <v>43108</v>
      </c>
      <c r="B500">
        <v>114.58</v>
      </c>
      <c r="C500">
        <v>115.75</v>
      </c>
      <c r="D500">
        <v>118.29</v>
      </c>
      <c r="E500">
        <v>112.97</v>
      </c>
      <c r="F500" t="s">
        <v>459</v>
      </c>
      <c r="G500" s="2">
        <v>-3.2000000000000002E-3</v>
      </c>
    </row>
    <row r="501" spans="1:7" x14ac:dyDescent="0.2">
      <c r="A501" s="1">
        <v>43107</v>
      </c>
      <c r="B501">
        <v>114.95</v>
      </c>
      <c r="C501">
        <v>103.72</v>
      </c>
      <c r="D501">
        <v>117.61</v>
      </c>
      <c r="E501">
        <v>102.2</v>
      </c>
      <c r="F501" t="s">
        <v>460</v>
      </c>
      <c r="G501" s="2">
        <v>0.1032</v>
      </c>
    </row>
    <row r="502" spans="1:7" x14ac:dyDescent="0.2">
      <c r="A502" s="1">
        <v>43106</v>
      </c>
      <c r="B502">
        <v>104.2</v>
      </c>
      <c r="C502">
        <v>108.34</v>
      </c>
      <c r="D502">
        <v>111.91</v>
      </c>
      <c r="E502">
        <v>103.11</v>
      </c>
      <c r="F502" t="s">
        <v>461</v>
      </c>
      <c r="G502" s="2">
        <v>-2.63E-2</v>
      </c>
    </row>
    <row r="503" spans="1:7" x14ac:dyDescent="0.2">
      <c r="A503" s="1">
        <v>43105</v>
      </c>
      <c r="B503">
        <v>107.01</v>
      </c>
      <c r="C503">
        <v>108.45</v>
      </c>
      <c r="D503">
        <v>114.73</v>
      </c>
      <c r="E503">
        <v>104.96</v>
      </c>
      <c r="F503" t="s">
        <v>462</v>
      </c>
      <c r="G503" s="2">
        <v>-1.6299999999999999E-2</v>
      </c>
    </row>
    <row r="504" spans="1:7" x14ac:dyDescent="0.2">
      <c r="A504" s="1">
        <v>43104</v>
      </c>
      <c r="B504">
        <v>108.78</v>
      </c>
      <c r="C504">
        <v>109.96</v>
      </c>
      <c r="D504">
        <v>115.15</v>
      </c>
      <c r="E504">
        <v>106.08</v>
      </c>
      <c r="F504" t="s">
        <v>463</v>
      </c>
      <c r="G504" s="2">
        <v>-1.0800000000000001E-2</v>
      </c>
    </row>
    <row r="505" spans="1:7" x14ac:dyDescent="0.2">
      <c r="A505" s="1">
        <v>43103</v>
      </c>
      <c r="B505">
        <v>109.97</v>
      </c>
      <c r="C505">
        <v>115.48</v>
      </c>
      <c r="D505">
        <v>118.75</v>
      </c>
      <c r="E505">
        <v>106.65</v>
      </c>
      <c r="F505" t="s">
        <v>464</v>
      </c>
      <c r="G505" s="2">
        <v>-4.7899999999999998E-2</v>
      </c>
    </row>
    <row r="506" spans="1:7" x14ac:dyDescent="0.2">
      <c r="A506" s="1">
        <v>43102</v>
      </c>
      <c r="B506">
        <v>115.5</v>
      </c>
      <c r="C506">
        <v>115.77</v>
      </c>
      <c r="D506">
        <v>119.33</v>
      </c>
      <c r="E506">
        <v>103.98</v>
      </c>
      <c r="F506" t="s">
        <v>465</v>
      </c>
      <c r="G506" s="2">
        <v>-1.5E-3</v>
      </c>
    </row>
    <row r="507" spans="1:7" x14ac:dyDescent="0.2">
      <c r="A507" s="1">
        <v>43101</v>
      </c>
      <c r="B507">
        <v>115.67</v>
      </c>
      <c r="C507">
        <v>107.63</v>
      </c>
      <c r="D507">
        <v>117.35</v>
      </c>
      <c r="E507">
        <v>106.81</v>
      </c>
      <c r="F507" t="s">
        <v>466</v>
      </c>
      <c r="G507" s="2">
        <v>8.1600000000000006E-2</v>
      </c>
    </row>
    <row r="508" spans="1:7" x14ac:dyDescent="0.2">
      <c r="A508" s="1">
        <v>42747</v>
      </c>
      <c r="B508">
        <v>106.94</v>
      </c>
      <c r="C508">
        <v>104.9</v>
      </c>
      <c r="D508">
        <v>108.46</v>
      </c>
      <c r="E508">
        <v>102.2</v>
      </c>
      <c r="F508" t="s">
        <v>467</v>
      </c>
      <c r="G508" s="2">
        <v>2.3199999999999998E-2</v>
      </c>
    </row>
    <row r="509" spans="1:7" x14ac:dyDescent="0.2">
      <c r="A509" s="1">
        <v>42746</v>
      </c>
      <c r="B509">
        <v>104.52</v>
      </c>
      <c r="C509">
        <v>101.1</v>
      </c>
      <c r="D509">
        <v>106.66</v>
      </c>
      <c r="E509">
        <v>95.95</v>
      </c>
      <c r="F509" t="s">
        <v>468</v>
      </c>
      <c r="G509" s="2">
        <v>3.8899999999999997E-2</v>
      </c>
    </row>
    <row r="510" spans="1:7" x14ac:dyDescent="0.2">
      <c r="A510" s="1">
        <v>42745</v>
      </c>
      <c r="B510">
        <v>100.61</v>
      </c>
      <c r="C510">
        <v>95.77</v>
      </c>
      <c r="D510">
        <v>102.42</v>
      </c>
      <c r="E510">
        <v>94.96</v>
      </c>
      <c r="F510" t="s">
        <v>469</v>
      </c>
      <c r="G510" s="2">
        <v>5.3400000000000003E-2</v>
      </c>
    </row>
    <row r="511" spans="1:7" x14ac:dyDescent="0.2">
      <c r="A511" s="1">
        <v>42744</v>
      </c>
      <c r="B511">
        <v>95.51</v>
      </c>
      <c r="C511">
        <v>91.25</v>
      </c>
      <c r="D511">
        <v>95.88</v>
      </c>
      <c r="E511">
        <v>88.08</v>
      </c>
      <c r="F511" t="s">
        <v>470</v>
      </c>
      <c r="G511" s="2">
        <v>5.0799999999999998E-2</v>
      </c>
    </row>
    <row r="512" spans="1:7" x14ac:dyDescent="0.2">
      <c r="A512" s="1">
        <v>42743</v>
      </c>
      <c r="B512">
        <v>90.89</v>
      </c>
      <c r="C512">
        <v>92.49</v>
      </c>
      <c r="D512">
        <v>95.22</v>
      </c>
      <c r="E512">
        <v>90.16</v>
      </c>
      <c r="F512" t="s">
        <v>471</v>
      </c>
      <c r="G512" s="2">
        <v>-9.9000000000000008E-3</v>
      </c>
    </row>
    <row r="513" spans="1:7" x14ac:dyDescent="0.2">
      <c r="A513" s="1">
        <v>42742</v>
      </c>
      <c r="B513">
        <v>91.8</v>
      </c>
      <c r="C513">
        <v>91.56</v>
      </c>
      <c r="D513">
        <v>94.51</v>
      </c>
      <c r="E513">
        <v>90.32</v>
      </c>
      <c r="F513" t="s">
        <v>472</v>
      </c>
      <c r="G513" s="2">
        <v>4.4000000000000003E-3</v>
      </c>
    </row>
    <row r="514" spans="1:7" x14ac:dyDescent="0.2">
      <c r="A514" s="1">
        <v>42741</v>
      </c>
      <c r="B514">
        <v>91.4</v>
      </c>
      <c r="C514">
        <v>82.46</v>
      </c>
      <c r="D514">
        <v>92.65</v>
      </c>
      <c r="E514">
        <v>81.650000000000006</v>
      </c>
      <c r="F514" t="s">
        <v>473</v>
      </c>
      <c r="G514" s="2">
        <v>0.11260000000000001</v>
      </c>
    </row>
    <row r="515" spans="1:7" x14ac:dyDescent="0.2">
      <c r="A515" s="1">
        <v>42740</v>
      </c>
      <c r="B515">
        <v>82.15</v>
      </c>
      <c r="C515">
        <v>87.36</v>
      </c>
      <c r="D515">
        <v>88.09</v>
      </c>
      <c r="E515">
        <v>81.64</v>
      </c>
      <c r="F515" t="s">
        <v>474</v>
      </c>
      <c r="G515" s="2">
        <v>-5.57E-2</v>
      </c>
    </row>
    <row r="516" spans="1:7" x14ac:dyDescent="0.2">
      <c r="A516" s="1">
        <v>42739</v>
      </c>
      <c r="B516">
        <v>87</v>
      </c>
      <c r="C516">
        <v>87.99</v>
      </c>
      <c r="D516">
        <v>89.13</v>
      </c>
      <c r="E516">
        <v>84.36</v>
      </c>
      <c r="F516" t="s">
        <v>475</v>
      </c>
      <c r="G516" s="2">
        <v>-9.5999999999999992E-3</v>
      </c>
    </row>
    <row r="517" spans="1:7" x14ac:dyDescent="0.2">
      <c r="A517" s="1">
        <v>42738</v>
      </c>
      <c r="B517">
        <v>87.84</v>
      </c>
      <c r="C517">
        <v>92.79</v>
      </c>
      <c r="D517">
        <v>93.98</v>
      </c>
      <c r="E517">
        <v>85.23</v>
      </c>
      <c r="F517" t="s">
        <v>476</v>
      </c>
      <c r="G517" s="2">
        <v>-3.0700000000000002E-2</v>
      </c>
    </row>
    <row r="518" spans="1:7" x14ac:dyDescent="0.2">
      <c r="A518" s="1">
        <v>42737</v>
      </c>
      <c r="B518">
        <v>90.62</v>
      </c>
      <c r="C518">
        <v>85.54</v>
      </c>
      <c r="D518">
        <v>91.34</v>
      </c>
      <c r="E518">
        <v>84.16</v>
      </c>
      <c r="F518" t="s">
        <v>477</v>
      </c>
      <c r="G518" s="2">
        <v>7.0800000000000002E-2</v>
      </c>
    </row>
    <row r="519" spans="1:7" x14ac:dyDescent="0.2">
      <c r="A519" s="1">
        <v>42736</v>
      </c>
      <c r="B519">
        <v>84.63</v>
      </c>
      <c r="C519">
        <v>87.34</v>
      </c>
      <c r="D519">
        <v>88.17</v>
      </c>
      <c r="E519">
        <v>83.03</v>
      </c>
      <c r="F519" t="s">
        <v>478</v>
      </c>
      <c r="G519" s="2">
        <v>-1.9199999999999998E-2</v>
      </c>
    </row>
    <row r="520" spans="1:7" x14ac:dyDescent="0.2">
      <c r="A520" s="1">
        <v>42381</v>
      </c>
      <c r="B520">
        <v>86.29</v>
      </c>
      <c r="C520">
        <v>80.650000000000006</v>
      </c>
      <c r="D520">
        <v>87.39</v>
      </c>
      <c r="E520">
        <v>80.650000000000006</v>
      </c>
      <c r="F520" t="s">
        <v>479</v>
      </c>
      <c r="G520" s="2">
        <v>7.6300000000000007E-2</v>
      </c>
    </row>
    <row r="521" spans="1:7" x14ac:dyDescent="0.2">
      <c r="A521" s="1">
        <v>42380</v>
      </c>
      <c r="B521">
        <v>80.17</v>
      </c>
      <c r="C521">
        <v>69.48</v>
      </c>
      <c r="D521">
        <v>80.53</v>
      </c>
      <c r="E521">
        <v>67.64</v>
      </c>
      <c r="F521" t="s">
        <v>480</v>
      </c>
      <c r="G521" s="2">
        <v>0.1575</v>
      </c>
    </row>
    <row r="522" spans="1:7" x14ac:dyDescent="0.2">
      <c r="A522" s="1">
        <v>42379</v>
      </c>
      <c r="B522">
        <v>69.260000000000005</v>
      </c>
      <c r="C522">
        <v>66.349999999999994</v>
      </c>
      <c r="D522">
        <v>69.77</v>
      </c>
      <c r="E522">
        <v>66.099999999999994</v>
      </c>
      <c r="F522" t="s">
        <v>481</v>
      </c>
      <c r="G522" s="2">
        <v>4.0099999999999997E-2</v>
      </c>
    </row>
    <row r="523" spans="1:7" x14ac:dyDescent="0.2">
      <c r="A523" s="1">
        <v>42378</v>
      </c>
      <c r="B523">
        <v>66.59</v>
      </c>
      <c r="C523">
        <v>67.64</v>
      </c>
      <c r="D523">
        <v>67.900000000000006</v>
      </c>
      <c r="E523">
        <v>65.11</v>
      </c>
      <c r="F523" t="s">
        <v>482</v>
      </c>
      <c r="G523" s="2">
        <v>-1.35E-2</v>
      </c>
    </row>
    <row r="524" spans="1:7" x14ac:dyDescent="0.2">
      <c r="A524" s="1">
        <v>42377</v>
      </c>
      <c r="B524">
        <v>67.5</v>
      </c>
      <c r="C524">
        <v>64.150000000000006</v>
      </c>
      <c r="D524">
        <v>67.77</v>
      </c>
      <c r="E524">
        <v>63.38</v>
      </c>
      <c r="F524" t="s">
        <v>483</v>
      </c>
      <c r="G524" s="2">
        <v>5.5199999999999999E-2</v>
      </c>
    </row>
    <row r="525" spans="1:7" x14ac:dyDescent="0.2">
      <c r="A525" s="1">
        <v>42376</v>
      </c>
      <c r="B525">
        <v>63.97</v>
      </c>
      <c r="C525">
        <v>61.52</v>
      </c>
      <c r="D525">
        <v>64.98</v>
      </c>
      <c r="E525">
        <v>58.76</v>
      </c>
      <c r="F525" t="s">
        <v>484</v>
      </c>
      <c r="G525" s="2">
        <v>2.9399999999999999E-2</v>
      </c>
    </row>
    <row r="526" spans="1:7" x14ac:dyDescent="0.2">
      <c r="A526" s="1">
        <v>42375</v>
      </c>
      <c r="B526">
        <v>62.14</v>
      </c>
      <c r="C526">
        <v>64.760000000000005</v>
      </c>
      <c r="D526">
        <v>65.92</v>
      </c>
      <c r="E526">
        <v>57.05</v>
      </c>
      <c r="F526" t="s">
        <v>485</v>
      </c>
      <c r="G526" s="2">
        <v>-4.8000000000000001E-2</v>
      </c>
    </row>
    <row r="527" spans="1:7" x14ac:dyDescent="0.2">
      <c r="A527" s="1">
        <v>42374</v>
      </c>
      <c r="B527">
        <v>65.27</v>
      </c>
      <c r="C527">
        <v>63.69</v>
      </c>
      <c r="D527">
        <v>66.2</v>
      </c>
      <c r="E527">
        <v>60.59</v>
      </c>
      <c r="F527" t="s">
        <v>486</v>
      </c>
      <c r="G527" s="2">
        <v>3.2800000000000003E-2</v>
      </c>
    </row>
    <row r="528" spans="1:7" x14ac:dyDescent="0.2">
      <c r="A528" s="1">
        <v>42373</v>
      </c>
      <c r="B528">
        <v>63.2</v>
      </c>
      <c r="C528">
        <v>59.02</v>
      </c>
      <c r="D528">
        <v>64.66</v>
      </c>
      <c r="E528">
        <v>57.06</v>
      </c>
      <c r="F528" t="s">
        <v>487</v>
      </c>
      <c r="G528" s="2">
        <v>6.7199999999999996E-2</v>
      </c>
    </row>
    <row r="529" spans="1:7" x14ac:dyDescent="0.2">
      <c r="A529" s="1">
        <v>42372</v>
      </c>
      <c r="B529">
        <v>59.22</v>
      </c>
      <c r="C529">
        <v>56.76</v>
      </c>
      <c r="D529">
        <v>60.97</v>
      </c>
      <c r="E529">
        <v>56.67</v>
      </c>
      <c r="F529" t="s">
        <v>488</v>
      </c>
      <c r="G529" s="2">
        <v>5.1900000000000002E-2</v>
      </c>
    </row>
    <row r="530" spans="1:7" x14ac:dyDescent="0.2">
      <c r="A530" s="1">
        <v>42371</v>
      </c>
      <c r="B530">
        <v>56.3</v>
      </c>
      <c r="C530">
        <v>59.16</v>
      </c>
      <c r="D530">
        <v>59.65</v>
      </c>
      <c r="E530">
        <v>52.5</v>
      </c>
      <c r="F530" t="s">
        <v>489</v>
      </c>
      <c r="G530" s="2">
        <v>-5.3800000000000001E-2</v>
      </c>
    </row>
    <row r="531" spans="1:7" x14ac:dyDescent="0.2">
      <c r="A531" s="1">
        <v>42370</v>
      </c>
      <c r="B531">
        <v>59.5</v>
      </c>
      <c r="C531">
        <v>63.95</v>
      </c>
      <c r="D531">
        <v>64.13</v>
      </c>
      <c r="E531">
        <v>54.66</v>
      </c>
      <c r="F531" t="s">
        <v>490</v>
      </c>
      <c r="G531" s="2">
        <v>-9.8900000000000002E-2</v>
      </c>
    </row>
    <row r="532" spans="1:7" x14ac:dyDescent="0.2">
      <c r="A532" s="1">
        <v>42016</v>
      </c>
      <c r="B532">
        <v>66.03</v>
      </c>
      <c r="C532">
        <v>67.34</v>
      </c>
      <c r="D532">
        <v>68</v>
      </c>
      <c r="E532">
        <v>63.51</v>
      </c>
      <c r="F532" t="s">
        <v>491</v>
      </c>
      <c r="G532" s="2">
        <v>-9.7000000000000003E-3</v>
      </c>
    </row>
    <row r="533" spans="1:7" x14ac:dyDescent="0.2">
      <c r="A533" s="1">
        <v>42015</v>
      </c>
      <c r="B533">
        <v>66.680000000000007</v>
      </c>
      <c r="C533">
        <v>64.45</v>
      </c>
      <c r="D533">
        <v>69.03</v>
      </c>
      <c r="E533">
        <v>64.39</v>
      </c>
      <c r="F533" t="s">
        <v>492</v>
      </c>
      <c r="G533" s="2">
        <v>3.78E-2</v>
      </c>
    </row>
    <row r="534" spans="1:7" x14ac:dyDescent="0.2">
      <c r="A534" s="1">
        <v>42014</v>
      </c>
      <c r="B534">
        <v>64.25</v>
      </c>
      <c r="C534">
        <v>61.12</v>
      </c>
      <c r="D534">
        <v>65.83</v>
      </c>
      <c r="E534">
        <v>58.53</v>
      </c>
      <c r="F534" t="s">
        <v>493</v>
      </c>
      <c r="G534" s="2">
        <v>5.3800000000000001E-2</v>
      </c>
    </row>
    <row r="535" spans="1:7" x14ac:dyDescent="0.2">
      <c r="A535" s="1">
        <v>42013</v>
      </c>
      <c r="B535">
        <v>60.97</v>
      </c>
      <c r="C535">
        <v>62.85</v>
      </c>
      <c r="D535">
        <v>64.64</v>
      </c>
      <c r="E535">
        <v>58.73</v>
      </c>
      <c r="F535" t="s">
        <v>494</v>
      </c>
      <c r="G535" s="2">
        <v>-4.8800000000000003E-2</v>
      </c>
    </row>
    <row r="536" spans="1:7" x14ac:dyDescent="0.2">
      <c r="A536" s="1">
        <v>42012</v>
      </c>
      <c r="B536">
        <v>64.099999999999994</v>
      </c>
      <c r="C536">
        <v>68.59</v>
      </c>
      <c r="D536">
        <v>69.42</v>
      </c>
      <c r="E536">
        <v>50.07</v>
      </c>
      <c r="F536" t="s">
        <v>495</v>
      </c>
      <c r="G536" s="2">
        <v>-6.4600000000000005E-2</v>
      </c>
    </row>
    <row r="537" spans="1:7" x14ac:dyDescent="0.2">
      <c r="A537" s="1">
        <v>42011</v>
      </c>
      <c r="B537">
        <v>68.53</v>
      </c>
      <c r="C537">
        <v>68.12</v>
      </c>
      <c r="D537">
        <v>70.61</v>
      </c>
      <c r="E537">
        <v>65.209999999999994</v>
      </c>
      <c r="F537" t="s">
        <v>496</v>
      </c>
      <c r="G537" s="2">
        <v>1.14E-2</v>
      </c>
    </row>
    <row r="538" spans="1:7" x14ac:dyDescent="0.2">
      <c r="A538" s="1">
        <v>42010</v>
      </c>
      <c r="B538">
        <v>67.760000000000005</v>
      </c>
      <c r="C538">
        <v>65.989999999999995</v>
      </c>
      <c r="D538">
        <v>69.819999999999993</v>
      </c>
      <c r="E538">
        <v>65.58</v>
      </c>
      <c r="F538" t="s">
        <v>497</v>
      </c>
      <c r="G538" s="2">
        <v>3.0099999999999998E-2</v>
      </c>
    </row>
    <row r="539" spans="1:7" x14ac:dyDescent="0.2">
      <c r="A539" s="1">
        <v>42009</v>
      </c>
      <c r="B539">
        <v>65.78</v>
      </c>
      <c r="C539">
        <v>63.7</v>
      </c>
      <c r="D539">
        <v>67.19</v>
      </c>
      <c r="E539">
        <v>63.25</v>
      </c>
      <c r="F539" t="s">
        <v>498</v>
      </c>
      <c r="G539" s="2">
        <v>3.9800000000000002E-2</v>
      </c>
    </row>
    <row r="540" spans="1:7" x14ac:dyDescent="0.2">
      <c r="A540" s="1">
        <v>42008</v>
      </c>
      <c r="B540">
        <v>63.26</v>
      </c>
      <c r="C540">
        <v>60.41</v>
      </c>
      <c r="D540">
        <v>64.48</v>
      </c>
      <c r="E540">
        <v>59.65</v>
      </c>
      <c r="F540" t="s">
        <v>499</v>
      </c>
      <c r="G540" s="2">
        <v>4.4200000000000003E-2</v>
      </c>
    </row>
    <row r="541" spans="1:7" x14ac:dyDescent="0.2">
      <c r="A541" s="1">
        <v>42007</v>
      </c>
      <c r="B541">
        <v>60.58</v>
      </c>
      <c r="C541">
        <v>61.24</v>
      </c>
      <c r="D541">
        <v>62.87</v>
      </c>
      <c r="E541">
        <v>58.87</v>
      </c>
      <c r="F541" t="s">
        <v>500</v>
      </c>
      <c r="G541" s="2">
        <v>-1.14E-2</v>
      </c>
    </row>
    <row r="542" spans="1:7" x14ac:dyDescent="0.2">
      <c r="A542" s="1">
        <v>42006</v>
      </c>
      <c r="B542">
        <v>61.28</v>
      </c>
      <c r="C542">
        <v>54.53</v>
      </c>
      <c r="D542">
        <v>61.92</v>
      </c>
      <c r="E542">
        <v>54.27</v>
      </c>
      <c r="F542" t="s">
        <v>501</v>
      </c>
      <c r="G542" s="2">
        <v>0.12690000000000001</v>
      </c>
    </row>
    <row r="543" spans="1:7" x14ac:dyDescent="0.2">
      <c r="A543" s="1">
        <v>42005</v>
      </c>
      <c r="B543">
        <v>54.38</v>
      </c>
      <c r="C543">
        <v>62.62</v>
      </c>
      <c r="D543">
        <v>62.96</v>
      </c>
      <c r="E543">
        <v>54.37</v>
      </c>
      <c r="F543" t="s">
        <v>502</v>
      </c>
      <c r="G543" s="2">
        <v>-0.13100000000000001</v>
      </c>
    </row>
    <row r="545" spans="1:7" x14ac:dyDescent="0.2">
      <c r="A545" s="104" t="s">
        <v>503</v>
      </c>
      <c r="B545" s="104"/>
      <c r="C545" s="104"/>
      <c r="D545" s="104"/>
      <c r="E545" s="104"/>
      <c r="F545" s="104"/>
      <c r="G545" s="104"/>
    </row>
    <row r="546" spans="1:7" x14ac:dyDescent="0.2">
      <c r="A546" t="s">
        <v>0</v>
      </c>
      <c r="B546" t="s">
        <v>1</v>
      </c>
      <c r="C546" t="s">
        <v>2</v>
      </c>
      <c r="D546" t="s">
        <v>3</v>
      </c>
      <c r="E546" t="s">
        <v>4</v>
      </c>
      <c r="F546" t="s">
        <v>5</v>
      </c>
      <c r="G546" t="s">
        <v>6</v>
      </c>
    </row>
    <row r="547" spans="1:7" x14ac:dyDescent="0.2">
      <c r="A547" s="1">
        <v>46023</v>
      </c>
      <c r="B547">
        <v>186.23</v>
      </c>
      <c r="C547">
        <v>189.71</v>
      </c>
      <c r="D547">
        <v>193.55</v>
      </c>
      <c r="E547">
        <v>180.94</v>
      </c>
      <c r="F547" t="s">
        <v>356</v>
      </c>
      <c r="G547" s="2">
        <v>-1.4E-3</v>
      </c>
    </row>
    <row r="548" spans="1:7" x14ac:dyDescent="0.2">
      <c r="A548" s="1">
        <v>45669</v>
      </c>
      <c r="B548">
        <v>186.5</v>
      </c>
      <c r="C548">
        <v>174.76</v>
      </c>
      <c r="D548">
        <v>192.69</v>
      </c>
      <c r="E548">
        <v>170.31</v>
      </c>
      <c r="F548" t="s">
        <v>504</v>
      </c>
      <c r="G548" s="2">
        <v>5.3699999999999998E-2</v>
      </c>
    </row>
    <row r="549" spans="1:7" x14ac:dyDescent="0.2">
      <c r="A549" s="1">
        <v>45668</v>
      </c>
      <c r="B549">
        <v>177</v>
      </c>
      <c r="C549">
        <v>208.08</v>
      </c>
      <c r="D549">
        <v>211.34</v>
      </c>
      <c r="E549">
        <v>169.55</v>
      </c>
      <c r="F549" t="s">
        <v>505</v>
      </c>
      <c r="G549" s="2">
        <v>-0.12590000000000001</v>
      </c>
    </row>
    <row r="550" spans="1:7" x14ac:dyDescent="0.2">
      <c r="A550" s="1">
        <v>45667</v>
      </c>
      <c r="B550">
        <v>202.49</v>
      </c>
      <c r="C550">
        <v>185.24</v>
      </c>
      <c r="D550">
        <v>212.19</v>
      </c>
      <c r="E550">
        <v>176.76</v>
      </c>
      <c r="F550" t="s">
        <v>506</v>
      </c>
      <c r="G550" s="2">
        <v>8.5300000000000001E-2</v>
      </c>
    </row>
    <row r="551" spans="1:7" x14ac:dyDescent="0.2">
      <c r="A551" s="1">
        <v>45666</v>
      </c>
      <c r="B551">
        <v>186.58</v>
      </c>
      <c r="C551">
        <v>170</v>
      </c>
      <c r="D551">
        <v>187.35</v>
      </c>
      <c r="E551">
        <v>164.07</v>
      </c>
      <c r="F551" t="s">
        <v>507</v>
      </c>
      <c r="G551" s="2">
        <v>7.1199999999999999E-2</v>
      </c>
    </row>
    <row r="552" spans="1:7" x14ac:dyDescent="0.2">
      <c r="A552" s="1">
        <v>45665</v>
      </c>
      <c r="B552">
        <v>174.18</v>
      </c>
      <c r="C552">
        <v>174.09</v>
      </c>
      <c r="D552">
        <v>184.48</v>
      </c>
      <c r="E552">
        <v>168.8</v>
      </c>
      <c r="F552" t="s">
        <v>508</v>
      </c>
      <c r="G552" s="2">
        <v>-2.07E-2</v>
      </c>
    </row>
    <row r="553" spans="1:7" x14ac:dyDescent="0.2">
      <c r="A553" s="1">
        <v>45664</v>
      </c>
      <c r="B553">
        <v>177.87</v>
      </c>
      <c r="C553">
        <v>156.29</v>
      </c>
      <c r="D553">
        <v>183.3</v>
      </c>
      <c r="E553">
        <v>151.49</v>
      </c>
      <c r="F553" t="s">
        <v>509</v>
      </c>
      <c r="G553" s="2">
        <v>0.1258</v>
      </c>
    </row>
    <row r="554" spans="1:7" x14ac:dyDescent="0.2">
      <c r="A554" s="1">
        <v>45663</v>
      </c>
      <c r="B554">
        <v>157.99</v>
      </c>
      <c r="C554">
        <v>135.49</v>
      </c>
      <c r="D554">
        <v>158.71</v>
      </c>
      <c r="E554">
        <v>135.4</v>
      </c>
      <c r="F554" t="s">
        <v>510</v>
      </c>
      <c r="G554" s="2">
        <v>0.16919999999999999</v>
      </c>
    </row>
    <row r="555" spans="1:7" x14ac:dyDescent="0.2">
      <c r="A555" s="1">
        <v>45662</v>
      </c>
      <c r="B555">
        <v>135.13</v>
      </c>
      <c r="C555">
        <v>113.08</v>
      </c>
      <c r="D555">
        <v>143.49</v>
      </c>
      <c r="E555">
        <v>110.82</v>
      </c>
      <c r="F555" t="s">
        <v>511</v>
      </c>
      <c r="G555" s="2">
        <v>0.24060000000000001</v>
      </c>
    </row>
    <row r="556" spans="1:7" x14ac:dyDescent="0.2">
      <c r="A556" s="1">
        <v>45661</v>
      </c>
      <c r="B556">
        <v>108.92</v>
      </c>
      <c r="C556">
        <v>108.51</v>
      </c>
      <c r="D556">
        <v>115.1</v>
      </c>
      <c r="E556">
        <v>86.62</v>
      </c>
      <c r="F556" t="s">
        <v>512</v>
      </c>
      <c r="G556" s="2">
        <v>5.0000000000000001E-3</v>
      </c>
    </row>
    <row r="557" spans="1:7" x14ac:dyDescent="0.2">
      <c r="A557" s="1">
        <v>45660</v>
      </c>
      <c r="B557">
        <v>108.38</v>
      </c>
      <c r="C557">
        <v>123.51</v>
      </c>
      <c r="D557">
        <v>123.7</v>
      </c>
      <c r="E557">
        <v>103.65</v>
      </c>
      <c r="F557" t="s">
        <v>513</v>
      </c>
      <c r="G557" s="2">
        <v>-0.13239999999999999</v>
      </c>
    </row>
    <row r="558" spans="1:7" x14ac:dyDescent="0.2">
      <c r="A558" s="1">
        <v>45659</v>
      </c>
      <c r="B558">
        <v>124.92</v>
      </c>
      <c r="C558">
        <v>114.75</v>
      </c>
      <c r="D558">
        <v>143.44</v>
      </c>
      <c r="E558">
        <v>113.01</v>
      </c>
      <c r="F558" t="s">
        <v>511</v>
      </c>
      <c r="G558" s="2">
        <v>4.0399999999999998E-2</v>
      </c>
    </row>
    <row r="559" spans="1:7" x14ac:dyDescent="0.2">
      <c r="A559" s="1">
        <v>45658</v>
      </c>
      <c r="B559">
        <v>120.07</v>
      </c>
      <c r="C559">
        <v>136</v>
      </c>
      <c r="D559">
        <v>153.13</v>
      </c>
      <c r="E559">
        <v>116.25</v>
      </c>
      <c r="F559" t="s">
        <v>514</v>
      </c>
      <c r="G559" s="2">
        <v>-0.10589999999999999</v>
      </c>
    </row>
    <row r="560" spans="1:7" x14ac:dyDescent="0.2">
      <c r="A560" s="1">
        <v>45303</v>
      </c>
      <c r="B560">
        <v>134.29</v>
      </c>
      <c r="C560">
        <v>138.83000000000001</v>
      </c>
      <c r="D560">
        <v>146.54</v>
      </c>
      <c r="E560">
        <v>126.86</v>
      </c>
      <c r="F560" t="s">
        <v>515</v>
      </c>
      <c r="G560" s="2">
        <v>-2.86E-2</v>
      </c>
    </row>
    <row r="561" spans="1:7" x14ac:dyDescent="0.2">
      <c r="A561" s="1">
        <v>45302</v>
      </c>
      <c r="B561">
        <v>138.25</v>
      </c>
      <c r="C561">
        <v>134.69999999999999</v>
      </c>
      <c r="D561">
        <v>152.88999999999999</v>
      </c>
      <c r="E561">
        <v>131.80000000000001</v>
      </c>
      <c r="F561" t="s">
        <v>516</v>
      </c>
      <c r="G561" s="2">
        <v>4.1399999999999999E-2</v>
      </c>
    </row>
    <row r="562" spans="1:7" x14ac:dyDescent="0.2">
      <c r="A562" s="1">
        <v>45301</v>
      </c>
      <c r="B562">
        <v>132.76</v>
      </c>
      <c r="C562">
        <v>121.76</v>
      </c>
      <c r="D562">
        <v>144.41999999999999</v>
      </c>
      <c r="E562">
        <v>115.14</v>
      </c>
      <c r="F562" t="s">
        <v>517</v>
      </c>
      <c r="G562" s="2">
        <v>9.3200000000000005E-2</v>
      </c>
    </row>
    <row r="563" spans="1:7" x14ac:dyDescent="0.2">
      <c r="A563" s="1">
        <v>45300</v>
      </c>
      <c r="B563">
        <v>121.44</v>
      </c>
      <c r="C563">
        <v>116.01</v>
      </c>
      <c r="D563">
        <v>127.67</v>
      </c>
      <c r="E563">
        <v>100.95</v>
      </c>
      <c r="F563" t="s">
        <v>518</v>
      </c>
      <c r="G563" s="2">
        <v>1.7299999999999999E-2</v>
      </c>
    </row>
    <row r="564" spans="1:7" x14ac:dyDescent="0.2">
      <c r="A564" s="1">
        <v>45299</v>
      </c>
      <c r="B564">
        <v>119.37</v>
      </c>
      <c r="C564">
        <v>117.53</v>
      </c>
      <c r="D564">
        <v>131.26</v>
      </c>
      <c r="E564">
        <v>90.69</v>
      </c>
      <c r="F564" t="s">
        <v>519</v>
      </c>
      <c r="G564" s="2">
        <v>2.01E-2</v>
      </c>
    </row>
    <row r="565" spans="1:7" x14ac:dyDescent="0.2">
      <c r="A565" s="1">
        <v>45298</v>
      </c>
      <c r="B565">
        <v>117.02</v>
      </c>
      <c r="C565">
        <v>123.47</v>
      </c>
      <c r="D565">
        <v>136.15</v>
      </c>
      <c r="E565">
        <v>102.54</v>
      </c>
      <c r="F565" t="s">
        <v>520</v>
      </c>
      <c r="G565" s="2">
        <v>-5.28E-2</v>
      </c>
    </row>
    <row r="566" spans="1:7" x14ac:dyDescent="0.2">
      <c r="A566" s="1">
        <v>45297</v>
      </c>
      <c r="B566">
        <v>123.54</v>
      </c>
      <c r="C566">
        <v>113.62</v>
      </c>
      <c r="D566">
        <v>140.76</v>
      </c>
      <c r="E566">
        <v>112</v>
      </c>
      <c r="F566" t="s">
        <v>521</v>
      </c>
      <c r="G566" s="2">
        <v>0.12690000000000001</v>
      </c>
    </row>
    <row r="567" spans="1:7" x14ac:dyDescent="0.2">
      <c r="A567" s="1">
        <v>45296</v>
      </c>
      <c r="B567">
        <v>109.63</v>
      </c>
      <c r="C567">
        <v>85.08</v>
      </c>
      <c r="D567">
        <v>115.82</v>
      </c>
      <c r="E567">
        <v>81.25</v>
      </c>
      <c r="F567" t="s">
        <v>522</v>
      </c>
      <c r="G567" s="2">
        <v>0.26889999999999997</v>
      </c>
    </row>
    <row r="568" spans="1:7" x14ac:dyDescent="0.2">
      <c r="A568" s="1">
        <v>45295</v>
      </c>
      <c r="B568">
        <v>86.4</v>
      </c>
      <c r="C568">
        <v>90.3</v>
      </c>
      <c r="D568">
        <v>92.22</v>
      </c>
      <c r="E568">
        <v>75.61</v>
      </c>
      <c r="F568" t="s">
        <v>523</v>
      </c>
      <c r="G568" s="2">
        <v>-4.3799999999999999E-2</v>
      </c>
    </row>
    <row r="569" spans="1:7" x14ac:dyDescent="0.2">
      <c r="A569" s="1">
        <v>45294</v>
      </c>
      <c r="B569">
        <v>90.36</v>
      </c>
      <c r="C569">
        <v>80</v>
      </c>
      <c r="D569">
        <v>97.4</v>
      </c>
      <c r="E569">
        <v>79.44</v>
      </c>
      <c r="F569" t="s">
        <v>524</v>
      </c>
      <c r="G569" s="2">
        <v>0.1421</v>
      </c>
    </row>
    <row r="570" spans="1:7" x14ac:dyDescent="0.2">
      <c r="A570" s="1">
        <v>45293</v>
      </c>
      <c r="B570">
        <v>79.11</v>
      </c>
      <c r="C570">
        <v>62.1</v>
      </c>
      <c r="D570">
        <v>82.39</v>
      </c>
      <c r="E570">
        <v>61.65</v>
      </c>
      <c r="F570" t="s">
        <v>525</v>
      </c>
      <c r="G570" s="2">
        <v>0.2858</v>
      </c>
    </row>
    <row r="571" spans="1:7" x14ac:dyDescent="0.2">
      <c r="A571" s="1">
        <v>45292</v>
      </c>
      <c r="B571">
        <v>61.53</v>
      </c>
      <c r="C571">
        <v>49.24</v>
      </c>
      <c r="D571">
        <v>63.49</v>
      </c>
      <c r="E571">
        <v>47.32</v>
      </c>
      <c r="F571" t="s">
        <v>526</v>
      </c>
      <c r="G571" s="2">
        <v>0.2424</v>
      </c>
    </row>
    <row r="572" spans="1:7" x14ac:dyDescent="0.2">
      <c r="A572" s="1">
        <v>44938</v>
      </c>
      <c r="B572">
        <v>49.52</v>
      </c>
      <c r="C572">
        <v>46.53</v>
      </c>
      <c r="D572">
        <v>50.43</v>
      </c>
      <c r="E572">
        <v>45.01</v>
      </c>
      <c r="F572" t="s">
        <v>527</v>
      </c>
      <c r="G572" s="2">
        <v>5.8799999999999998E-2</v>
      </c>
    </row>
    <row r="573" spans="1:7" x14ac:dyDescent="0.2">
      <c r="A573" s="1">
        <v>44937</v>
      </c>
      <c r="B573">
        <v>46.77</v>
      </c>
      <c r="C573">
        <v>40.880000000000003</v>
      </c>
      <c r="D573">
        <v>50.55</v>
      </c>
      <c r="E573">
        <v>40.869999999999997</v>
      </c>
      <c r="F573" t="s">
        <v>528</v>
      </c>
      <c r="G573" s="2">
        <v>0.1469</v>
      </c>
    </row>
    <row r="574" spans="1:7" x14ac:dyDescent="0.2">
      <c r="A574" s="1">
        <v>44936</v>
      </c>
      <c r="B574">
        <v>40.78</v>
      </c>
      <c r="C574">
        <v>44.03</v>
      </c>
      <c r="D574">
        <v>47.61</v>
      </c>
      <c r="E574">
        <v>39.229999999999997</v>
      </c>
      <c r="F574" t="s">
        <v>529</v>
      </c>
      <c r="G574" s="2">
        <v>-6.25E-2</v>
      </c>
    </row>
    <row r="575" spans="1:7" x14ac:dyDescent="0.2">
      <c r="A575" s="1">
        <v>44935</v>
      </c>
      <c r="B575">
        <v>43.5</v>
      </c>
      <c r="C575">
        <v>49.76</v>
      </c>
      <c r="D575">
        <v>49.8</v>
      </c>
      <c r="E575">
        <v>40.98</v>
      </c>
      <c r="F575" t="s">
        <v>530</v>
      </c>
      <c r="G575" s="2">
        <v>-0.1187</v>
      </c>
    </row>
    <row r="576" spans="1:7" x14ac:dyDescent="0.2">
      <c r="A576" s="1">
        <v>44934</v>
      </c>
      <c r="B576">
        <v>49.35</v>
      </c>
      <c r="C576">
        <v>46.46</v>
      </c>
      <c r="D576">
        <v>50.27</v>
      </c>
      <c r="E576">
        <v>40.31</v>
      </c>
      <c r="F576" t="s">
        <v>531</v>
      </c>
      <c r="G576" s="2">
        <v>5.62E-2</v>
      </c>
    </row>
    <row r="577" spans="1:7" x14ac:dyDescent="0.2">
      <c r="A577" s="1">
        <v>44933</v>
      </c>
      <c r="B577">
        <v>46.73</v>
      </c>
      <c r="C577">
        <v>42.52</v>
      </c>
      <c r="D577">
        <v>48.09</v>
      </c>
      <c r="E577">
        <v>41.35</v>
      </c>
      <c r="F577" t="s">
        <v>532</v>
      </c>
      <c r="G577" s="2">
        <v>0.1047</v>
      </c>
    </row>
    <row r="578" spans="1:7" x14ac:dyDescent="0.2">
      <c r="A578" s="1">
        <v>44932</v>
      </c>
      <c r="B578">
        <v>42.3</v>
      </c>
      <c r="C578">
        <v>38.49</v>
      </c>
      <c r="D578">
        <v>43.99</v>
      </c>
      <c r="E578">
        <v>37.36</v>
      </c>
      <c r="F578" t="s">
        <v>533</v>
      </c>
      <c r="G578" s="2">
        <v>0.1181</v>
      </c>
    </row>
    <row r="579" spans="1:7" x14ac:dyDescent="0.2">
      <c r="A579" s="1">
        <v>44931</v>
      </c>
      <c r="B579">
        <v>37.83</v>
      </c>
      <c r="C579">
        <v>27.84</v>
      </c>
      <c r="D579">
        <v>41.94</v>
      </c>
      <c r="E579">
        <v>27.24</v>
      </c>
      <c r="F579" t="s">
        <v>534</v>
      </c>
      <c r="G579" s="2">
        <v>0.3634</v>
      </c>
    </row>
    <row r="580" spans="1:7" x14ac:dyDescent="0.2">
      <c r="A580" s="1">
        <v>44930</v>
      </c>
      <c r="B580">
        <v>27.75</v>
      </c>
      <c r="C580">
        <v>27.51</v>
      </c>
      <c r="D580">
        <v>28.11</v>
      </c>
      <c r="E580">
        <v>26.22</v>
      </c>
      <c r="F580" t="s">
        <v>521</v>
      </c>
      <c r="G580" s="2">
        <v>-1E-3</v>
      </c>
    </row>
    <row r="581" spans="1:7" x14ac:dyDescent="0.2">
      <c r="A581" s="1">
        <v>44929</v>
      </c>
      <c r="B581">
        <v>27.78</v>
      </c>
      <c r="C581">
        <v>23.19</v>
      </c>
      <c r="D581">
        <v>27.83</v>
      </c>
      <c r="E581">
        <v>22.3</v>
      </c>
      <c r="F581" t="s">
        <v>535</v>
      </c>
      <c r="G581" s="2">
        <v>0.19650000000000001</v>
      </c>
    </row>
    <row r="582" spans="1:7" x14ac:dyDescent="0.2">
      <c r="A582" s="1">
        <v>44928</v>
      </c>
      <c r="B582">
        <v>23.22</v>
      </c>
      <c r="C582">
        <v>19.690000000000001</v>
      </c>
      <c r="D582">
        <v>23.89</v>
      </c>
      <c r="E582">
        <v>19.61</v>
      </c>
      <c r="F582" t="s">
        <v>536</v>
      </c>
      <c r="G582" s="2">
        <v>0.1883</v>
      </c>
    </row>
    <row r="583" spans="1:7" x14ac:dyDescent="0.2">
      <c r="A583" s="1">
        <v>44927</v>
      </c>
      <c r="B583">
        <v>19.54</v>
      </c>
      <c r="C583">
        <v>14.85</v>
      </c>
      <c r="D583">
        <v>20.63</v>
      </c>
      <c r="E583">
        <v>14.03</v>
      </c>
      <c r="F583" t="s">
        <v>537</v>
      </c>
      <c r="G583" s="2">
        <v>0.33689999999999998</v>
      </c>
    </row>
    <row r="584" spans="1:7" x14ac:dyDescent="0.2">
      <c r="A584" s="1">
        <v>44573</v>
      </c>
      <c r="B584">
        <v>14.61</v>
      </c>
      <c r="C584">
        <v>17</v>
      </c>
      <c r="D584">
        <v>18.79</v>
      </c>
      <c r="E584">
        <v>13.88</v>
      </c>
      <c r="F584" t="s">
        <v>538</v>
      </c>
      <c r="G584" s="2">
        <v>-0.13639999999999999</v>
      </c>
    </row>
    <row r="585" spans="1:7" x14ac:dyDescent="0.2">
      <c r="A585" s="1">
        <v>44572</v>
      </c>
      <c r="B585">
        <v>16.920000000000002</v>
      </c>
      <c r="C585">
        <v>13.81</v>
      </c>
      <c r="D585">
        <v>17</v>
      </c>
      <c r="E585">
        <v>12.96</v>
      </c>
      <c r="F585" t="s">
        <v>539</v>
      </c>
      <c r="G585" s="2">
        <v>0.25380000000000003</v>
      </c>
    </row>
    <row r="586" spans="1:7" x14ac:dyDescent="0.2">
      <c r="A586" s="1">
        <v>44571</v>
      </c>
      <c r="B586">
        <v>13.5</v>
      </c>
      <c r="C586">
        <v>12.35</v>
      </c>
      <c r="D586">
        <v>13.85</v>
      </c>
      <c r="E586">
        <v>10.81</v>
      </c>
      <c r="F586" t="s">
        <v>540</v>
      </c>
      <c r="G586" s="2">
        <v>0.1119</v>
      </c>
    </row>
    <row r="587" spans="1:7" x14ac:dyDescent="0.2">
      <c r="A587" s="1">
        <v>44570</v>
      </c>
      <c r="B587">
        <v>12.14</v>
      </c>
      <c r="C587">
        <v>14.21</v>
      </c>
      <c r="D587">
        <v>14.55</v>
      </c>
      <c r="E587">
        <v>11.95</v>
      </c>
      <c r="F587" t="s">
        <v>541</v>
      </c>
      <c r="G587" s="2">
        <v>-0.1958</v>
      </c>
    </row>
    <row r="588" spans="1:7" x14ac:dyDescent="0.2">
      <c r="A588" s="1">
        <v>44569</v>
      </c>
      <c r="B588">
        <v>15.09</v>
      </c>
      <c r="C588">
        <v>18.18</v>
      </c>
      <c r="D588">
        <v>19.27</v>
      </c>
      <c r="E588">
        <v>14.96</v>
      </c>
      <c r="F588" t="s">
        <v>542</v>
      </c>
      <c r="G588" s="2">
        <v>-0.16900000000000001</v>
      </c>
    </row>
    <row r="589" spans="1:7" x14ac:dyDescent="0.2">
      <c r="A589" s="1">
        <v>44568</v>
      </c>
      <c r="B589">
        <v>18.16</v>
      </c>
      <c r="C589">
        <v>14.9</v>
      </c>
      <c r="D589">
        <v>18.239999999999998</v>
      </c>
      <c r="E589">
        <v>14.06</v>
      </c>
      <c r="F589" t="s">
        <v>543</v>
      </c>
      <c r="G589" s="2">
        <v>0.19819999999999999</v>
      </c>
    </row>
    <row r="590" spans="1:7" x14ac:dyDescent="0.2">
      <c r="A590" s="1">
        <v>44567</v>
      </c>
      <c r="B590">
        <v>15.16</v>
      </c>
      <c r="C590">
        <v>18.72</v>
      </c>
      <c r="D590">
        <v>19.62</v>
      </c>
      <c r="E590">
        <v>14.86</v>
      </c>
      <c r="F590" t="s">
        <v>544</v>
      </c>
      <c r="G590" s="2">
        <v>-0.18809999999999999</v>
      </c>
    </row>
    <row r="591" spans="1:7" x14ac:dyDescent="0.2">
      <c r="A591" s="1">
        <v>44566</v>
      </c>
      <c r="B591">
        <v>18.670000000000002</v>
      </c>
      <c r="C591">
        <v>18.54</v>
      </c>
      <c r="D591">
        <v>20.399999999999999</v>
      </c>
      <c r="E591">
        <v>15.57</v>
      </c>
      <c r="F591" t="s">
        <v>545</v>
      </c>
      <c r="G591" s="2">
        <v>6.7000000000000002E-3</v>
      </c>
    </row>
    <row r="592" spans="1:7" x14ac:dyDescent="0.2">
      <c r="A592" s="1">
        <v>44565</v>
      </c>
      <c r="B592">
        <v>18.55</v>
      </c>
      <c r="C592">
        <v>27.38</v>
      </c>
      <c r="D592">
        <v>27.56</v>
      </c>
      <c r="E592">
        <v>18.29</v>
      </c>
      <c r="F592" t="s">
        <v>546</v>
      </c>
      <c r="G592" s="2">
        <v>-0.32029999999999997</v>
      </c>
    </row>
    <row r="593" spans="1:7" x14ac:dyDescent="0.2">
      <c r="A593" s="1">
        <v>44564</v>
      </c>
      <c r="B593">
        <v>27.29</v>
      </c>
      <c r="C593">
        <v>24.29</v>
      </c>
      <c r="D593">
        <v>28.95</v>
      </c>
      <c r="E593">
        <v>20.65</v>
      </c>
      <c r="F593" t="s">
        <v>547</v>
      </c>
      <c r="G593" s="2">
        <v>0.11899999999999999</v>
      </c>
    </row>
    <row r="594" spans="1:7" x14ac:dyDescent="0.2">
      <c r="A594" s="1">
        <v>44563</v>
      </c>
      <c r="B594">
        <v>24.39</v>
      </c>
      <c r="C594">
        <v>25.1</v>
      </c>
      <c r="D594">
        <v>26.92</v>
      </c>
      <c r="E594">
        <v>20.89</v>
      </c>
      <c r="F594" t="s">
        <v>548</v>
      </c>
      <c r="G594" s="2">
        <v>-4.1000000000000003E-3</v>
      </c>
    </row>
    <row r="595" spans="1:7" x14ac:dyDescent="0.2">
      <c r="A595" s="1">
        <v>44562</v>
      </c>
      <c r="B595">
        <v>24.49</v>
      </c>
      <c r="C595">
        <v>29.82</v>
      </c>
      <c r="D595">
        <v>30.71</v>
      </c>
      <c r="E595">
        <v>20.89</v>
      </c>
      <c r="F595" t="s">
        <v>549</v>
      </c>
      <c r="G595" s="2">
        <v>-0.16750000000000001</v>
      </c>
    </row>
    <row r="596" spans="1:7" x14ac:dyDescent="0.2">
      <c r="A596" s="1">
        <v>44208</v>
      </c>
      <c r="B596">
        <v>29.41</v>
      </c>
      <c r="C596">
        <v>33.22</v>
      </c>
      <c r="D596">
        <v>33.29</v>
      </c>
      <c r="E596">
        <v>27.15</v>
      </c>
      <c r="F596" t="s">
        <v>550</v>
      </c>
      <c r="G596" s="2">
        <v>-9.9900000000000003E-2</v>
      </c>
    </row>
    <row r="597" spans="1:7" x14ac:dyDescent="0.2">
      <c r="A597" s="1">
        <v>44207</v>
      </c>
      <c r="B597">
        <v>32.68</v>
      </c>
      <c r="C597">
        <v>25.65</v>
      </c>
      <c r="D597">
        <v>34.65</v>
      </c>
      <c r="E597">
        <v>25.23</v>
      </c>
      <c r="F597" t="s">
        <v>551</v>
      </c>
      <c r="G597" s="2">
        <v>0.27810000000000001</v>
      </c>
    </row>
    <row r="598" spans="1:7" x14ac:dyDescent="0.2">
      <c r="A598" s="1">
        <v>44206</v>
      </c>
      <c r="B598">
        <v>25.57</v>
      </c>
      <c r="C598">
        <v>20.75</v>
      </c>
      <c r="D598">
        <v>25.71</v>
      </c>
      <c r="E598">
        <v>19.559999999999999</v>
      </c>
      <c r="F598" t="s">
        <v>552</v>
      </c>
      <c r="G598" s="2">
        <v>0.23419999999999999</v>
      </c>
    </row>
    <row r="599" spans="1:7" x14ac:dyDescent="0.2">
      <c r="A599" s="1">
        <v>44205</v>
      </c>
      <c r="B599">
        <v>20.72</v>
      </c>
      <c r="C599">
        <v>22.49</v>
      </c>
      <c r="D599">
        <v>22.99</v>
      </c>
      <c r="E599">
        <v>20.47</v>
      </c>
      <c r="F599" t="s">
        <v>553</v>
      </c>
      <c r="G599" s="2">
        <v>-7.46E-2</v>
      </c>
    </row>
    <row r="600" spans="1:7" x14ac:dyDescent="0.2">
      <c r="A600" s="1">
        <v>44204</v>
      </c>
      <c r="B600">
        <v>22.39</v>
      </c>
      <c r="C600">
        <v>19.7</v>
      </c>
      <c r="D600">
        <v>23.04</v>
      </c>
      <c r="E600">
        <v>18.760000000000002</v>
      </c>
      <c r="F600" t="s">
        <v>554</v>
      </c>
      <c r="G600" s="2">
        <v>0.14799999999999999</v>
      </c>
    </row>
    <row r="601" spans="1:7" x14ac:dyDescent="0.2">
      <c r="A601" s="1">
        <v>44203</v>
      </c>
      <c r="B601">
        <v>19.5</v>
      </c>
      <c r="C601">
        <v>20.13</v>
      </c>
      <c r="D601">
        <v>20.88</v>
      </c>
      <c r="E601">
        <v>17.87</v>
      </c>
      <c r="F601" t="s">
        <v>555</v>
      </c>
      <c r="G601" s="2">
        <v>-2.52E-2</v>
      </c>
    </row>
    <row r="602" spans="1:7" x14ac:dyDescent="0.2">
      <c r="A602" s="1">
        <v>44202</v>
      </c>
      <c r="B602">
        <v>20</v>
      </c>
      <c r="C602">
        <v>16.27</v>
      </c>
      <c r="D602">
        <v>20.16</v>
      </c>
      <c r="E602">
        <v>15.9</v>
      </c>
      <c r="F602" t="s">
        <v>556</v>
      </c>
      <c r="G602" s="2">
        <v>0.23130000000000001</v>
      </c>
    </row>
    <row r="603" spans="1:7" x14ac:dyDescent="0.2">
      <c r="A603" s="1">
        <v>44201</v>
      </c>
      <c r="B603">
        <v>16.239999999999998</v>
      </c>
      <c r="C603">
        <v>15.13</v>
      </c>
      <c r="D603">
        <v>16.28</v>
      </c>
      <c r="E603">
        <v>13.46</v>
      </c>
      <c r="F603" t="s">
        <v>557</v>
      </c>
      <c r="G603" s="2">
        <v>8.2299999999999998E-2</v>
      </c>
    </row>
    <row r="604" spans="1:7" x14ac:dyDescent="0.2">
      <c r="A604" s="1">
        <v>44200</v>
      </c>
      <c r="B604">
        <v>15.01</v>
      </c>
      <c r="C604">
        <v>13.57</v>
      </c>
      <c r="D604">
        <v>16.21</v>
      </c>
      <c r="E604">
        <v>13.51</v>
      </c>
      <c r="F604" t="s">
        <v>558</v>
      </c>
      <c r="G604" s="2">
        <v>0.1245</v>
      </c>
    </row>
    <row r="605" spans="1:7" x14ac:dyDescent="0.2">
      <c r="A605" s="1">
        <v>44199</v>
      </c>
      <c r="B605">
        <v>13.35</v>
      </c>
      <c r="C605">
        <v>13.88</v>
      </c>
      <c r="D605">
        <v>13.93</v>
      </c>
      <c r="E605">
        <v>11.57</v>
      </c>
      <c r="F605" t="s">
        <v>559</v>
      </c>
      <c r="G605" s="2">
        <v>-2.6700000000000002E-2</v>
      </c>
    </row>
    <row r="606" spans="1:7" x14ac:dyDescent="0.2">
      <c r="A606" s="1">
        <v>44198</v>
      </c>
      <c r="B606">
        <v>13.71</v>
      </c>
      <c r="C606">
        <v>13.05</v>
      </c>
      <c r="D606">
        <v>15.37</v>
      </c>
      <c r="E606">
        <v>12.9</v>
      </c>
      <c r="F606" t="s">
        <v>560</v>
      </c>
      <c r="G606" s="2">
        <v>5.5800000000000002E-2</v>
      </c>
    </row>
    <row r="607" spans="1:7" x14ac:dyDescent="0.2">
      <c r="A607" s="1">
        <v>44197</v>
      </c>
      <c r="B607">
        <v>12.99</v>
      </c>
      <c r="C607">
        <v>13.1</v>
      </c>
      <c r="D607">
        <v>14</v>
      </c>
      <c r="E607">
        <v>12.59</v>
      </c>
      <c r="F607" t="s">
        <v>561</v>
      </c>
      <c r="G607" s="2">
        <v>-5.0000000000000001E-3</v>
      </c>
    </row>
    <row r="608" spans="1:7" x14ac:dyDescent="0.2">
      <c r="A608" s="1">
        <v>43842</v>
      </c>
      <c r="B608">
        <v>13.06</v>
      </c>
      <c r="C608">
        <v>13.49</v>
      </c>
      <c r="D608">
        <v>13.73</v>
      </c>
      <c r="E608">
        <v>12.76</v>
      </c>
      <c r="F608" t="s">
        <v>562</v>
      </c>
      <c r="G608" s="2">
        <v>-2.5899999999999999E-2</v>
      </c>
    </row>
    <row r="609" spans="1:7" x14ac:dyDescent="0.2">
      <c r="A609" s="1">
        <v>43841</v>
      </c>
      <c r="B609">
        <v>13.4</v>
      </c>
      <c r="C609">
        <v>12.66</v>
      </c>
      <c r="D609">
        <v>14.69</v>
      </c>
      <c r="E609">
        <v>12.4</v>
      </c>
      <c r="F609" t="s">
        <v>563</v>
      </c>
      <c r="G609" s="2">
        <v>6.9199999999999998E-2</v>
      </c>
    </row>
    <row r="610" spans="1:7" x14ac:dyDescent="0.2">
      <c r="A610" s="1">
        <v>43840</v>
      </c>
      <c r="B610">
        <v>12.53</v>
      </c>
      <c r="C610">
        <v>13.76</v>
      </c>
      <c r="D610">
        <v>14.35</v>
      </c>
      <c r="E610">
        <v>12.3</v>
      </c>
      <c r="F610" t="s">
        <v>564</v>
      </c>
      <c r="G610" s="2">
        <v>-7.3599999999999999E-2</v>
      </c>
    </row>
    <row r="611" spans="1:7" x14ac:dyDescent="0.2">
      <c r="A611" s="1">
        <v>43839</v>
      </c>
      <c r="B611">
        <v>13.53</v>
      </c>
      <c r="C611">
        <v>13.48</v>
      </c>
      <c r="D611">
        <v>14.73</v>
      </c>
      <c r="E611">
        <v>11.7</v>
      </c>
      <c r="F611" t="s">
        <v>565</v>
      </c>
      <c r="G611" s="2">
        <v>1.17E-2</v>
      </c>
    </row>
    <row r="612" spans="1:7" x14ac:dyDescent="0.2">
      <c r="A612" s="1">
        <v>43838</v>
      </c>
      <c r="B612">
        <v>13.37</v>
      </c>
      <c r="C612">
        <v>10.73</v>
      </c>
      <c r="D612">
        <v>13.57</v>
      </c>
      <c r="E612">
        <v>10.72</v>
      </c>
      <c r="F612" t="s">
        <v>566</v>
      </c>
      <c r="G612" s="2">
        <v>0.26</v>
      </c>
    </row>
    <row r="613" spans="1:7" x14ac:dyDescent="0.2">
      <c r="A613" s="1">
        <v>43837</v>
      </c>
      <c r="B613">
        <v>10.61</v>
      </c>
      <c r="C613">
        <v>9.52</v>
      </c>
      <c r="D613">
        <v>10.79</v>
      </c>
      <c r="E613">
        <v>9.41</v>
      </c>
      <c r="F613" t="s">
        <v>567</v>
      </c>
      <c r="G613" s="2">
        <v>0.1176</v>
      </c>
    </row>
    <row r="614" spans="1:7" x14ac:dyDescent="0.2">
      <c r="A614" s="1">
        <v>43836</v>
      </c>
      <c r="B614">
        <v>9.5</v>
      </c>
      <c r="C614">
        <v>8.83</v>
      </c>
      <c r="D614">
        <v>9.64</v>
      </c>
      <c r="E614">
        <v>8.66</v>
      </c>
      <c r="F614" t="s">
        <v>568</v>
      </c>
      <c r="G614" s="2">
        <v>7.0099999999999996E-2</v>
      </c>
    </row>
    <row r="615" spans="1:7" x14ac:dyDescent="0.2">
      <c r="A615" s="1">
        <v>43835</v>
      </c>
      <c r="B615">
        <v>8.8800000000000008</v>
      </c>
      <c r="C615">
        <v>7.11</v>
      </c>
      <c r="D615">
        <v>9.18</v>
      </c>
      <c r="E615">
        <v>7.02</v>
      </c>
      <c r="F615" t="s">
        <v>540</v>
      </c>
      <c r="G615" s="2">
        <v>0.2147</v>
      </c>
    </row>
    <row r="616" spans="1:7" x14ac:dyDescent="0.2">
      <c r="A616" s="1">
        <v>43834</v>
      </c>
      <c r="B616">
        <v>7.31</v>
      </c>
      <c r="C616">
        <v>6.39</v>
      </c>
      <c r="D616">
        <v>7.61</v>
      </c>
      <c r="E616">
        <v>5.96</v>
      </c>
      <c r="F616" t="s">
        <v>569</v>
      </c>
      <c r="G616" s="2">
        <v>0.10879999999999999</v>
      </c>
    </row>
    <row r="617" spans="1:7" x14ac:dyDescent="0.2">
      <c r="A617" s="1">
        <v>43833</v>
      </c>
      <c r="B617">
        <v>6.59</v>
      </c>
      <c r="C617">
        <v>6.92</v>
      </c>
      <c r="D617">
        <v>7.12</v>
      </c>
      <c r="E617">
        <v>4.5199999999999996</v>
      </c>
      <c r="F617" t="s">
        <v>570</v>
      </c>
      <c r="G617" s="2">
        <v>-2.4E-2</v>
      </c>
    </row>
    <row r="618" spans="1:7" x14ac:dyDescent="0.2">
      <c r="A618" s="1">
        <v>43832</v>
      </c>
      <c r="B618">
        <v>6.75</v>
      </c>
      <c r="C618">
        <v>5.89</v>
      </c>
      <c r="D618">
        <v>7.91</v>
      </c>
      <c r="E618">
        <v>5.89</v>
      </c>
      <c r="F618" t="s">
        <v>571</v>
      </c>
      <c r="G618" s="2">
        <v>0.14230000000000001</v>
      </c>
    </row>
    <row r="619" spans="1:7" x14ac:dyDescent="0.2">
      <c r="A619" s="1">
        <v>43831</v>
      </c>
      <c r="B619">
        <v>5.91</v>
      </c>
      <c r="C619">
        <v>5.97</v>
      </c>
      <c r="D619">
        <v>6.49</v>
      </c>
      <c r="E619">
        <v>5.78</v>
      </c>
      <c r="F619" t="s">
        <v>572</v>
      </c>
      <c r="G619" s="2">
        <v>4.7999999999999996E-3</v>
      </c>
    </row>
    <row r="620" spans="1:7" x14ac:dyDescent="0.2">
      <c r="A620" s="1">
        <v>43477</v>
      </c>
      <c r="B620">
        <v>5.88</v>
      </c>
      <c r="C620">
        <v>5.41</v>
      </c>
      <c r="D620">
        <v>6.05</v>
      </c>
      <c r="E620">
        <v>5.01</v>
      </c>
      <c r="F620" t="s">
        <v>573</v>
      </c>
      <c r="G620" s="2">
        <v>8.5599999999999996E-2</v>
      </c>
    </row>
    <row r="621" spans="1:7" x14ac:dyDescent="0.2">
      <c r="A621" s="1">
        <v>43476</v>
      </c>
      <c r="B621">
        <v>5.42</v>
      </c>
      <c r="C621">
        <v>4.99</v>
      </c>
      <c r="D621">
        <v>5.54</v>
      </c>
      <c r="E621">
        <v>4.96</v>
      </c>
      <c r="F621" t="s">
        <v>574</v>
      </c>
      <c r="G621" s="2">
        <v>7.8200000000000006E-2</v>
      </c>
    </row>
    <row r="622" spans="1:7" x14ac:dyDescent="0.2">
      <c r="A622" s="1">
        <v>43475</v>
      </c>
      <c r="B622">
        <v>5.03</v>
      </c>
      <c r="C622">
        <v>4.38</v>
      </c>
      <c r="D622">
        <v>5.22</v>
      </c>
      <c r="E622">
        <v>4.25</v>
      </c>
      <c r="F622" t="s">
        <v>575</v>
      </c>
      <c r="G622" s="2">
        <v>0.15479999999999999</v>
      </c>
    </row>
    <row r="623" spans="1:7" x14ac:dyDescent="0.2">
      <c r="A623" s="1">
        <v>43474</v>
      </c>
      <c r="B623">
        <v>4.3499999999999996</v>
      </c>
      <c r="C623">
        <v>4.1100000000000003</v>
      </c>
      <c r="D623">
        <v>4.71</v>
      </c>
      <c r="E623">
        <v>4.08</v>
      </c>
      <c r="F623" t="s">
        <v>520</v>
      </c>
      <c r="G623" s="2">
        <v>3.9199999999999999E-2</v>
      </c>
    </row>
    <row r="624" spans="1:7" x14ac:dyDescent="0.2">
      <c r="A624" s="1">
        <v>43473</v>
      </c>
      <c r="B624">
        <v>4.1900000000000004</v>
      </c>
      <c r="C624">
        <v>4.2300000000000004</v>
      </c>
      <c r="D624">
        <v>4.34</v>
      </c>
      <c r="E624">
        <v>3.68</v>
      </c>
      <c r="F624" t="s">
        <v>576</v>
      </c>
      <c r="G624" s="2">
        <v>-7.1999999999999998E-3</v>
      </c>
    </row>
    <row r="625" spans="1:7" x14ac:dyDescent="0.2">
      <c r="A625" s="1">
        <v>43472</v>
      </c>
      <c r="B625">
        <v>4.22</v>
      </c>
      <c r="C625">
        <v>4.3099999999999996</v>
      </c>
      <c r="D625">
        <v>4.47</v>
      </c>
      <c r="E625">
        <v>3.88</v>
      </c>
      <c r="F625" t="s">
        <v>577</v>
      </c>
      <c r="G625" s="2">
        <v>2.7300000000000001E-2</v>
      </c>
    </row>
    <row r="626" spans="1:7" x14ac:dyDescent="0.2">
      <c r="A626" s="1">
        <v>43471</v>
      </c>
      <c r="B626">
        <v>4.1100000000000003</v>
      </c>
      <c r="C626">
        <v>3.4</v>
      </c>
      <c r="D626">
        <v>4.13</v>
      </c>
      <c r="E626">
        <v>3.32</v>
      </c>
      <c r="F626" t="s">
        <v>578</v>
      </c>
      <c r="G626" s="2">
        <v>0.21240000000000001</v>
      </c>
    </row>
    <row r="627" spans="1:7" x14ac:dyDescent="0.2">
      <c r="A627" s="1">
        <v>43470</v>
      </c>
      <c r="B627">
        <v>3.39</v>
      </c>
      <c r="C627">
        <v>4.58</v>
      </c>
      <c r="D627">
        <v>4.62</v>
      </c>
      <c r="E627">
        <v>3.38</v>
      </c>
      <c r="F627" t="s">
        <v>579</v>
      </c>
      <c r="G627" s="2">
        <v>-0.25159999999999999</v>
      </c>
    </row>
    <row r="628" spans="1:7" x14ac:dyDescent="0.2">
      <c r="A628" s="1">
        <v>43469</v>
      </c>
      <c r="B628">
        <v>4.53</v>
      </c>
      <c r="C628">
        <v>4.58</v>
      </c>
      <c r="D628">
        <v>4.84</v>
      </c>
      <c r="E628">
        <v>4.33</v>
      </c>
      <c r="F628" t="s">
        <v>580</v>
      </c>
      <c r="G628" s="2">
        <v>8.0000000000000002E-3</v>
      </c>
    </row>
    <row r="629" spans="1:7" x14ac:dyDescent="0.2">
      <c r="A629" s="1">
        <v>43468</v>
      </c>
      <c r="B629">
        <v>4.49</v>
      </c>
      <c r="C629">
        <v>3.91</v>
      </c>
      <c r="D629">
        <v>4.63</v>
      </c>
      <c r="E629">
        <v>3.62</v>
      </c>
      <c r="F629" t="s">
        <v>542</v>
      </c>
      <c r="G629" s="2">
        <v>0.16400000000000001</v>
      </c>
    </row>
    <row r="630" spans="1:7" x14ac:dyDescent="0.2">
      <c r="A630" s="1">
        <v>43467</v>
      </c>
      <c r="B630">
        <v>3.86</v>
      </c>
      <c r="C630">
        <v>3.61</v>
      </c>
      <c r="D630">
        <v>4.13</v>
      </c>
      <c r="E630">
        <v>3.56</v>
      </c>
      <c r="F630" t="s">
        <v>581</v>
      </c>
      <c r="G630" s="2">
        <v>7.3099999999999998E-2</v>
      </c>
    </row>
    <row r="631" spans="1:7" x14ac:dyDescent="0.2">
      <c r="A631" s="1">
        <v>43466</v>
      </c>
      <c r="B631">
        <v>3.59</v>
      </c>
      <c r="C631">
        <v>3.27</v>
      </c>
      <c r="D631">
        <v>4.0199999999999996</v>
      </c>
      <c r="E631">
        <v>3.19</v>
      </c>
      <c r="F631" t="s">
        <v>582</v>
      </c>
      <c r="G631" s="2">
        <v>7.6799999999999993E-2</v>
      </c>
    </row>
    <row r="632" spans="1:7" x14ac:dyDescent="0.2">
      <c r="A632" s="1">
        <v>43112</v>
      </c>
      <c r="B632">
        <v>3.34</v>
      </c>
      <c r="C632">
        <v>4.32</v>
      </c>
      <c r="D632">
        <v>4.37</v>
      </c>
      <c r="E632">
        <v>3.11</v>
      </c>
      <c r="F632" t="s">
        <v>583</v>
      </c>
      <c r="G632" s="2">
        <v>-0.18310000000000001</v>
      </c>
    </row>
    <row r="633" spans="1:7" x14ac:dyDescent="0.2">
      <c r="A633" s="1">
        <v>43111</v>
      </c>
      <c r="B633">
        <v>4.09</v>
      </c>
      <c r="C633">
        <v>5.31</v>
      </c>
      <c r="D633">
        <v>5.55</v>
      </c>
      <c r="E633">
        <v>3.33</v>
      </c>
      <c r="F633" t="s">
        <v>584</v>
      </c>
      <c r="G633" s="2">
        <v>-0.2248</v>
      </c>
    </row>
    <row r="634" spans="1:7" x14ac:dyDescent="0.2">
      <c r="A634" s="1">
        <v>43110</v>
      </c>
      <c r="B634">
        <v>5.27</v>
      </c>
      <c r="C634">
        <v>7.1</v>
      </c>
      <c r="D634">
        <v>7.32</v>
      </c>
      <c r="E634">
        <v>4.4000000000000004</v>
      </c>
      <c r="F634" t="s">
        <v>585</v>
      </c>
      <c r="G634" s="2">
        <v>-0.24979999999999999</v>
      </c>
    </row>
    <row r="635" spans="1:7" x14ac:dyDescent="0.2">
      <c r="A635" s="1">
        <v>43109</v>
      </c>
      <c r="B635">
        <v>7.03</v>
      </c>
      <c r="C635">
        <v>7</v>
      </c>
      <c r="D635">
        <v>7.13</v>
      </c>
      <c r="E635">
        <v>6.47</v>
      </c>
      <c r="F635" t="s">
        <v>586</v>
      </c>
      <c r="G635" s="2">
        <v>1.1999999999999999E-3</v>
      </c>
    </row>
    <row r="636" spans="1:7" x14ac:dyDescent="0.2">
      <c r="A636" s="1">
        <v>43108</v>
      </c>
      <c r="B636">
        <v>7.02</v>
      </c>
      <c r="C636">
        <v>6.15</v>
      </c>
      <c r="D636">
        <v>7.04</v>
      </c>
      <c r="E636">
        <v>5.97</v>
      </c>
      <c r="F636" t="s">
        <v>587</v>
      </c>
      <c r="G636" s="2">
        <v>0.14630000000000001</v>
      </c>
    </row>
    <row r="637" spans="1:7" x14ac:dyDescent="0.2">
      <c r="A637" s="1">
        <v>43107</v>
      </c>
      <c r="B637">
        <v>6.12</v>
      </c>
      <c r="C637">
        <v>5.85</v>
      </c>
      <c r="D637">
        <v>6.41</v>
      </c>
      <c r="E637">
        <v>5.83</v>
      </c>
      <c r="F637" t="s">
        <v>588</v>
      </c>
      <c r="G637" s="2">
        <v>3.3599999999999998E-2</v>
      </c>
    </row>
    <row r="638" spans="1:7" x14ac:dyDescent="0.2">
      <c r="A638" s="1">
        <v>43106</v>
      </c>
      <c r="B638">
        <v>5.92</v>
      </c>
      <c r="C638">
        <v>6.35</v>
      </c>
      <c r="D638">
        <v>6.73</v>
      </c>
      <c r="E638">
        <v>5.88</v>
      </c>
      <c r="F638" t="s">
        <v>589</v>
      </c>
      <c r="G638" s="2">
        <v>-6.0600000000000001E-2</v>
      </c>
    </row>
    <row r="639" spans="1:7" x14ac:dyDescent="0.2">
      <c r="A639" s="1">
        <v>43105</v>
      </c>
      <c r="B639">
        <v>6.3</v>
      </c>
      <c r="C639">
        <v>5.61</v>
      </c>
      <c r="D639">
        <v>6.51</v>
      </c>
      <c r="E639">
        <v>5.55</v>
      </c>
      <c r="F639" t="s">
        <v>590</v>
      </c>
      <c r="G639" s="2">
        <v>0.12130000000000001</v>
      </c>
    </row>
    <row r="640" spans="1:7" x14ac:dyDescent="0.2">
      <c r="A640" s="1">
        <v>43104</v>
      </c>
      <c r="B640">
        <v>5.62</v>
      </c>
      <c r="C640">
        <v>5.72</v>
      </c>
      <c r="D640">
        <v>5.98</v>
      </c>
      <c r="E640">
        <v>5.26</v>
      </c>
      <c r="F640" t="s">
        <v>591</v>
      </c>
      <c r="G640" s="2">
        <v>-2.8899999999999999E-2</v>
      </c>
    </row>
    <row r="641" spans="1:7" x14ac:dyDescent="0.2">
      <c r="A641" s="1">
        <v>43103</v>
      </c>
      <c r="B641">
        <v>5.79</v>
      </c>
      <c r="C641">
        <v>6.05</v>
      </c>
      <c r="D641">
        <v>6.36</v>
      </c>
      <c r="E641">
        <v>5.43</v>
      </c>
      <c r="F641" t="s">
        <v>592</v>
      </c>
      <c r="G641" s="2">
        <v>-4.2999999999999997E-2</v>
      </c>
    </row>
    <row r="642" spans="1:7" x14ac:dyDescent="0.2">
      <c r="A642" s="1">
        <v>43102</v>
      </c>
      <c r="B642">
        <v>6.05</v>
      </c>
      <c r="C642">
        <v>5.96</v>
      </c>
      <c r="D642">
        <v>6.3</v>
      </c>
      <c r="E642">
        <v>5.0999999999999996</v>
      </c>
      <c r="F642" t="s">
        <v>593</v>
      </c>
      <c r="G642" s="2">
        <v>-1.55E-2</v>
      </c>
    </row>
    <row r="643" spans="1:7" x14ac:dyDescent="0.2">
      <c r="A643" s="1">
        <v>43101</v>
      </c>
      <c r="B643">
        <v>6.14</v>
      </c>
      <c r="C643">
        <v>4.8899999999999997</v>
      </c>
      <c r="D643">
        <v>6.23</v>
      </c>
      <c r="E643">
        <v>4.8600000000000003</v>
      </c>
      <c r="F643" t="s">
        <v>594</v>
      </c>
      <c r="G643" s="2">
        <v>0.27029999999999998</v>
      </c>
    </row>
    <row r="644" spans="1:7" x14ac:dyDescent="0.2">
      <c r="A644" s="1">
        <v>42747</v>
      </c>
      <c r="B644">
        <v>4.84</v>
      </c>
      <c r="C644">
        <v>4.9800000000000004</v>
      </c>
      <c r="D644">
        <v>5.01</v>
      </c>
      <c r="E644">
        <v>4.51</v>
      </c>
      <c r="F644" t="s">
        <v>595</v>
      </c>
      <c r="G644" s="2">
        <v>-3.5900000000000001E-2</v>
      </c>
    </row>
    <row r="645" spans="1:7" x14ac:dyDescent="0.2">
      <c r="A645" s="1">
        <v>42746</v>
      </c>
      <c r="B645">
        <v>5.0199999999999996</v>
      </c>
      <c r="C645">
        <v>5.23</v>
      </c>
      <c r="D645">
        <v>5.47</v>
      </c>
      <c r="E645">
        <v>4.78</v>
      </c>
      <c r="F645" t="s">
        <v>596</v>
      </c>
      <c r="G645" s="2">
        <v>-2.9499999999999998E-2</v>
      </c>
    </row>
    <row r="646" spans="1:7" x14ac:dyDescent="0.2">
      <c r="A646" s="1">
        <v>42745</v>
      </c>
      <c r="B646">
        <v>5.17</v>
      </c>
      <c r="C646">
        <v>4.5199999999999996</v>
      </c>
      <c r="D646">
        <v>5.2</v>
      </c>
      <c r="E646">
        <v>4.43</v>
      </c>
      <c r="F646" t="s">
        <v>597</v>
      </c>
      <c r="G646" s="2">
        <v>0.15679999999999999</v>
      </c>
    </row>
    <row r="647" spans="1:7" x14ac:dyDescent="0.2">
      <c r="A647" s="1">
        <v>42744</v>
      </c>
      <c r="B647">
        <v>4.47</v>
      </c>
      <c r="C647">
        <v>4.25</v>
      </c>
      <c r="D647">
        <v>4.78</v>
      </c>
      <c r="E647">
        <v>4.07</v>
      </c>
      <c r="F647" t="s">
        <v>598</v>
      </c>
      <c r="G647" s="2">
        <v>5.5100000000000003E-2</v>
      </c>
    </row>
    <row r="648" spans="1:7" x14ac:dyDescent="0.2">
      <c r="A648" s="1">
        <v>42743</v>
      </c>
      <c r="B648">
        <v>4.24</v>
      </c>
      <c r="C648">
        <v>4.05</v>
      </c>
      <c r="D648">
        <v>4.3600000000000003</v>
      </c>
      <c r="E648">
        <v>3.82</v>
      </c>
      <c r="F648" t="s">
        <v>599</v>
      </c>
      <c r="G648" s="2">
        <v>4.2599999999999999E-2</v>
      </c>
    </row>
    <row r="649" spans="1:7" x14ac:dyDescent="0.2">
      <c r="A649" s="1">
        <v>42742</v>
      </c>
      <c r="B649">
        <v>4.0599999999999996</v>
      </c>
      <c r="C649">
        <v>3.63</v>
      </c>
      <c r="D649">
        <v>4.25</v>
      </c>
      <c r="E649">
        <v>3.46</v>
      </c>
      <c r="F649" t="s">
        <v>600</v>
      </c>
      <c r="G649" s="2">
        <v>0.1242</v>
      </c>
    </row>
    <row r="650" spans="1:7" x14ac:dyDescent="0.2">
      <c r="A650" s="1">
        <v>42741</v>
      </c>
      <c r="B650">
        <v>3.61</v>
      </c>
      <c r="C650">
        <v>3.62</v>
      </c>
      <c r="D650">
        <v>4.21</v>
      </c>
      <c r="E650">
        <v>3.55</v>
      </c>
      <c r="F650" t="s">
        <v>601</v>
      </c>
      <c r="G650" s="2">
        <v>1.5E-3</v>
      </c>
    </row>
    <row r="651" spans="1:7" x14ac:dyDescent="0.2">
      <c r="A651" s="1">
        <v>42740</v>
      </c>
      <c r="B651">
        <v>3.61</v>
      </c>
      <c r="C651">
        <v>2.62</v>
      </c>
      <c r="D651">
        <v>3.67</v>
      </c>
      <c r="E651">
        <v>2.56</v>
      </c>
      <c r="F651" t="s">
        <v>602</v>
      </c>
      <c r="G651" s="2">
        <v>0.38400000000000001</v>
      </c>
    </row>
    <row r="652" spans="1:7" x14ac:dyDescent="0.2">
      <c r="A652" s="1">
        <v>42739</v>
      </c>
      <c r="B652">
        <v>2.61</v>
      </c>
      <c r="C652">
        <v>2.72</v>
      </c>
      <c r="D652">
        <v>2.74</v>
      </c>
      <c r="E652">
        <v>2.39</v>
      </c>
      <c r="F652" t="s">
        <v>603</v>
      </c>
      <c r="G652" s="2">
        <v>-4.2500000000000003E-2</v>
      </c>
    </row>
    <row r="653" spans="1:7" x14ac:dyDescent="0.2">
      <c r="A653" s="1">
        <v>42738</v>
      </c>
      <c r="B653">
        <v>2.72</v>
      </c>
      <c r="C653">
        <v>2.59</v>
      </c>
      <c r="D653">
        <v>2.75</v>
      </c>
      <c r="E653">
        <v>2.38</v>
      </c>
      <c r="F653" t="s">
        <v>604</v>
      </c>
      <c r="G653" s="2">
        <v>7.3400000000000007E-2</v>
      </c>
    </row>
    <row r="654" spans="1:7" x14ac:dyDescent="0.2">
      <c r="A654" s="1">
        <v>42737</v>
      </c>
      <c r="B654">
        <v>2.54</v>
      </c>
      <c r="C654">
        <v>2.76</v>
      </c>
      <c r="D654">
        <v>3.02</v>
      </c>
      <c r="E654">
        <v>2.39</v>
      </c>
      <c r="F654" t="s">
        <v>605</v>
      </c>
      <c r="G654" s="2">
        <v>-7.0499999999999993E-2</v>
      </c>
    </row>
    <row r="655" spans="1:7" x14ac:dyDescent="0.2">
      <c r="A655" s="1">
        <v>42736</v>
      </c>
      <c r="B655">
        <v>2.73</v>
      </c>
      <c r="C655">
        <v>2.61</v>
      </c>
      <c r="D655">
        <v>2.8</v>
      </c>
      <c r="E655">
        <v>2.48</v>
      </c>
      <c r="F655" t="s">
        <v>606</v>
      </c>
      <c r="G655" s="2">
        <v>2.29E-2</v>
      </c>
    </row>
    <row r="656" spans="1:7" x14ac:dyDescent="0.2">
      <c r="A656" s="1">
        <v>42381</v>
      </c>
      <c r="B656">
        <v>2.67</v>
      </c>
      <c r="C656">
        <v>2.2999999999999998</v>
      </c>
      <c r="D656">
        <v>3</v>
      </c>
      <c r="E656">
        <v>2.12</v>
      </c>
      <c r="F656" t="s">
        <v>607</v>
      </c>
      <c r="G656" s="2">
        <v>0.15770000000000001</v>
      </c>
    </row>
    <row r="657" spans="1:7" x14ac:dyDescent="0.2">
      <c r="A657" s="1">
        <v>42380</v>
      </c>
      <c r="B657">
        <v>2.31</v>
      </c>
      <c r="C657">
        <v>1.79</v>
      </c>
      <c r="D657">
        <v>2.38</v>
      </c>
      <c r="E657">
        <v>1.66</v>
      </c>
      <c r="F657" t="s">
        <v>608</v>
      </c>
      <c r="G657" s="2">
        <v>0.29570000000000002</v>
      </c>
    </row>
    <row r="658" spans="1:7" x14ac:dyDescent="0.2">
      <c r="A658" s="1">
        <v>42379</v>
      </c>
      <c r="B658">
        <v>1.78</v>
      </c>
      <c r="C658">
        <v>1.71</v>
      </c>
      <c r="D658">
        <v>1.82</v>
      </c>
      <c r="E658">
        <v>1.59</v>
      </c>
      <c r="F658" t="s">
        <v>609</v>
      </c>
      <c r="G658" s="2">
        <v>3.85E-2</v>
      </c>
    </row>
    <row r="659" spans="1:7" x14ac:dyDescent="0.2">
      <c r="A659" s="1">
        <v>42378</v>
      </c>
      <c r="B659">
        <v>1.71</v>
      </c>
      <c r="C659">
        <v>1.53</v>
      </c>
      <c r="D659">
        <v>1.73</v>
      </c>
      <c r="E659">
        <v>1.43</v>
      </c>
      <c r="F659" t="s">
        <v>610</v>
      </c>
      <c r="G659" s="2">
        <v>0.1171</v>
      </c>
    </row>
    <row r="660" spans="1:7" x14ac:dyDescent="0.2">
      <c r="A660" s="1">
        <v>42377</v>
      </c>
      <c r="B660">
        <v>1.53</v>
      </c>
      <c r="C660">
        <v>1.43</v>
      </c>
      <c r="D660">
        <v>1.59</v>
      </c>
      <c r="E660">
        <v>1.39</v>
      </c>
      <c r="F660" t="s">
        <v>611</v>
      </c>
      <c r="G660" s="2">
        <v>7.4300000000000005E-2</v>
      </c>
    </row>
    <row r="661" spans="1:7" x14ac:dyDescent="0.2">
      <c r="A661" s="1">
        <v>42376</v>
      </c>
      <c r="B661">
        <v>1.43</v>
      </c>
      <c r="C661">
        <v>1.17</v>
      </c>
      <c r="D661">
        <v>1.43</v>
      </c>
      <c r="E661">
        <v>1.1499999999999999</v>
      </c>
      <c r="F661" t="s">
        <v>612</v>
      </c>
      <c r="G661" s="2">
        <v>0.21460000000000001</v>
      </c>
    </row>
    <row r="662" spans="1:7" x14ac:dyDescent="0.2">
      <c r="A662" s="1">
        <v>42375</v>
      </c>
      <c r="B662">
        <v>1.18</v>
      </c>
      <c r="C662">
        <v>1.1599999999999999</v>
      </c>
      <c r="D662">
        <v>1.21</v>
      </c>
      <c r="E662">
        <v>1.1100000000000001</v>
      </c>
      <c r="F662" t="s">
        <v>613</v>
      </c>
      <c r="G662" s="2">
        <v>6.1999999999999998E-3</v>
      </c>
    </row>
    <row r="663" spans="1:7" x14ac:dyDescent="0.2">
      <c r="A663" s="1">
        <v>42374</v>
      </c>
      <c r="B663">
        <v>1.17</v>
      </c>
      <c r="C663">
        <v>0.9</v>
      </c>
      <c r="D663">
        <v>1.17</v>
      </c>
      <c r="E663">
        <v>0.86</v>
      </c>
      <c r="F663" t="s">
        <v>614</v>
      </c>
      <c r="G663" s="2">
        <v>0.31490000000000001</v>
      </c>
    </row>
    <row r="664" spans="1:7" x14ac:dyDescent="0.2">
      <c r="A664" s="1">
        <v>42373</v>
      </c>
      <c r="B664">
        <v>0.89</v>
      </c>
      <c r="C664">
        <v>0.89</v>
      </c>
      <c r="D664">
        <v>0.94</v>
      </c>
      <c r="E664">
        <v>0.87</v>
      </c>
      <c r="F664" t="s">
        <v>615</v>
      </c>
      <c r="G664" s="2">
        <v>0</v>
      </c>
    </row>
    <row r="665" spans="1:7" x14ac:dyDescent="0.2">
      <c r="A665" s="1">
        <v>42372</v>
      </c>
      <c r="B665">
        <v>0.89</v>
      </c>
      <c r="C665">
        <v>0.79</v>
      </c>
      <c r="D665">
        <v>0.91</v>
      </c>
      <c r="E665">
        <v>0.78</v>
      </c>
      <c r="F665" t="s">
        <v>616</v>
      </c>
      <c r="G665" s="2">
        <v>0.13619999999999999</v>
      </c>
    </row>
    <row r="666" spans="1:7" x14ac:dyDescent="0.2">
      <c r="A666" s="1">
        <v>42371</v>
      </c>
      <c r="B666">
        <v>0.78</v>
      </c>
      <c r="C666">
        <v>0.73</v>
      </c>
      <c r="D666">
        <v>0.8</v>
      </c>
      <c r="E666">
        <v>0.62</v>
      </c>
      <c r="F666" t="s">
        <v>617</v>
      </c>
      <c r="G666" s="2">
        <v>7.0699999999999999E-2</v>
      </c>
    </row>
    <row r="667" spans="1:7" x14ac:dyDescent="0.2">
      <c r="A667" s="1">
        <v>42370</v>
      </c>
      <c r="B667">
        <v>0.73</v>
      </c>
      <c r="C667">
        <v>0.81</v>
      </c>
      <c r="D667">
        <v>0.84</v>
      </c>
      <c r="E667">
        <v>0.66</v>
      </c>
      <c r="F667" t="s">
        <v>618</v>
      </c>
      <c r="G667" s="2">
        <v>-0.1113</v>
      </c>
    </row>
    <row r="668" spans="1:7" x14ac:dyDescent="0.2">
      <c r="A668" s="1">
        <v>42016</v>
      </c>
      <c r="B668">
        <v>0.82</v>
      </c>
      <c r="C668">
        <v>0.8</v>
      </c>
      <c r="D668">
        <v>0.85</v>
      </c>
      <c r="E668">
        <v>0.8</v>
      </c>
      <c r="F668" t="s">
        <v>517</v>
      </c>
      <c r="G668" s="2">
        <v>3.9100000000000003E-2</v>
      </c>
    </row>
    <row r="669" spans="1:7" x14ac:dyDescent="0.2">
      <c r="A669" s="1">
        <v>42015</v>
      </c>
      <c r="B669">
        <v>0.79</v>
      </c>
      <c r="C669">
        <v>0.71</v>
      </c>
      <c r="D669">
        <v>0.8</v>
      </c>
      <c r="E669">
        <v>0.69</v>
      </c>
      <c r="F669" t="s">
        <v>619</v>
      </c>
      <c r="G669" s="2">
        <v>0.1181</v>
      </c>
    </row>
    <row r="670" spans="1:7" x14ac:dyDescent="0.2">
      <c r="A670" s="1">
        <v>42014</v>
      </c>
      <c r="B670">
        <v>0.71</v>
      </c>
      <c r="C670">
        <v>0.62</v>
      </c>
      <c r="D670">
        <v>0.72</v>
      </c>
      <c r="E670">
        <v>0.59</v>
      </c>
      <c r="F670" t="s">
        <v>620</v>
      </c>
      <c r="G670" s="2">
        <v>0.15090000000000001</v>
      </c>
    </row>
    <row r="671" spans="1:7" x14ac:dyDescent="0.2">
      <c r="A671" s="1">
        <v>42013</v>
      </c>
      <c r="B671">
        <v>0.62</v>
      </c>
      <c r="C671">
        <v>0.55000000000000004</v>
      </c>
      <c r="D671">
        <v>0.62</v>
      </c>
      <c r="E671">
        <v>0.54</v>
      </c>
      <c r="F671" t="s">
        <v>621</v>
      </c>
      <c r="G671" s="2">
        <v>9.6500000000000002E-2</v>
      </c>
    </row>
    <row r="672" spans="1:7" x14ac:dyDescent="0.2">
      <c r="A672" s="1">
        <v>42012</v>
      </c>
      <c r="B672">
        <v>0.56000000000000005</v>
      </c>
      <c r="C672">
        <v>0.5</v>
      </c>
      <c r="D672">
        <v>0.6</v>
      </c>
      <c r="E672">
        <v>0.5</v>
      </c>
      <c r="F672" t="s">
        <v>622</v>
      </c>
      <c r="G672" s="2">
        <v>0.1268</v>
      </c>
    </row>
    <row r="673" spans="1:7" x14ac:dyDescent="0.2">
      <c r="A673" s="1">
        <v>42011</v>
      </c>
      <c r="B673">
        <v>0.5</v>
      </c>
      <c r="C673">
        <v>0.52</v>
      </c>
      <c r="D673">
        <v>0.52</v>
      </c>
      <c r="E673">
        <v>0.48</v>
      </c>
      <c r="F673" t="s">
        <v>623</v>
      </c>
      <c r="G673" s="2">
        <v>0</v>
      </c>
    </row>
    <row r="674" spans="1:7" x14ac:dyDescent="0.2">
      <c r="A674" s="1">
        <v>42010</v>
      </c>
      <c r="B674">
        <v>0.5</v>
      </c>
      <c r="C674">
        <v>0.56000000000000005</v>
      </c>
      <c r="D674">
        <v>0.56999999999999995</v>
      </c>
      <c r="E674">
        <v>0.5</v>
      </c>
      <c r="F674" t="s">
        <v>624</v>
      </c>
      <c r="G674" s="2">
        <v>-9.1300000000000006E-2</v>
      </c>
    </row>
    <row r="675" spans="1:7" x14ac:dyDescent="0.2">
      <c r="A675" s="1">
        <v>42009</v>
      </c>
      <c r="B675">
        <v>0.55000000000000004</v>
      </c>
      <c r="C675">
        <v>0.56000000000000005</v>
      </c>
      <c r="D675">
        <v>0.56999999999999995</v>
      </c>
      <c r="E675">
        <v>0.51</v>
      </c>
      <c r="F675" t="s">
        <v>625</v>
      </c>
      <c r="G675" s="2">
        <v>0</v>
      </c>
    </row>
    <row r="676" spans="1:7" x14ac:dyDescent="0.2">
      <c r="A676" s="1">
        <v>42008</v>
      </c>
      <c r="B676">
        <v>0.55000000000000004</v>
      </c>
      <c r="C676">
        <v>0.53</v>
      </c>
      <c r="D676">
        <v>0.56999999999999995</v>
      </c>
      <c r="E676">
        <v>0.52</v>
      </c>
      <c r="F676" t="s">
        <v>626</v>
      </c>
      <c r="G676" s="2">
        <v>6.0699999999999997E-2</v>
      </c>
    </row>
    <row r="677" spans="1:7" x14ac:dyDescent="0.2">
      <c r="A677" s="1">
        <v>42007</v>
      </c>
      <c r="B677">
        <v>0.52</v>
      </c>
      <c r="C677">
        <v>0.55000000000000004</v>
      </c>
      <c r="D677">
        <v>0.59</v>
      </c>
      <c r="E677">
        <v>0.51</v>
      </c>
      <c r="F677" t="s">
        <v>627</v>
      </c>
      <c r="G677" s="2">
        <v>-5.1499999999999997E-2</v>
      </c>
    </row>
    <row r="678" spans="1:7" x14ac:dyDescent="0.2">
      <c r="A678" s="1">
        <v>42006</v>
      </c>
      <c r="B678">
        <v>0.55000000000000004</v>
      </c>
      <c r="C678">
        <v>0.48</v>
      </c>
      <c r="D678">
        <v>0.56000000000000005</v>
      </c>
      <c r="E678">
        <v>0.47</v>
      </c>
      <c r="F678" t="s">
        <v>628</v>
      </c>
      <c r="G678" s="2">
        <v>0.1487</v>
      </c>
    </row>
    <row r="679" spans="1:7" x14ac:dyDescent="0.2">
      <c r="A679" s="1">
        <v>42005</v>
      </c>
      <c r="B679">
        <v>0.48</v>
      </c>
      <c r="C679">
        <v>0.5</v>
      </c>
      <c r="D679">
        <v>0.52</v>
      </c>
      <c r="E679">
        <v>0.48</v>
      </c>
      <c r="F679" t="s">
        <v>629</v>
      </c>
      <c r="G679" s="2">
        <v>-4.2099999999999999E-2</v>
      </c>
    </row>
    <row r="683" spans="1:7" x14ac:dyDescent="0.2">
      <c r="A683" s="104" t="s">
        <v>652</v>
      </c>
      <c r="B683" s="104"/>
      <c r="C683" s="104"/>
      <c r="D683" s="104"/>
      <c r="E683" s="104"/>
      <c r="F683" s="104"/>
      <c r="G683" s="104"/>
    </row>
    <row r="684" spans="1:7" x14ac:dyDescent="0.2">
      <c r="A684" t="s">
        <v>0</v>
      </c>
      <c r="B684" t="s">
        <v>1</v>
      </c>
      <c r="C684" t="s">
        <v>2</v>
      </c>
      <c r="D684" t="s">
        <v>3</v>
      </c>
      <c r="E684" t="s">
        <v>4</v>
      </c>
      <c r="F684" t="s">
        <v>5</v>
      </c>
      <c r="G684" t="s">
        <v>6</v>
      </c>
    </row>
    <row r="685" spans="1:7" x14ac:dyDescent="0.2">
      <c r="A685" s="1">
        <v>46023</v>
      </c>
      <c r="B685">
        <v>150.15</v>
      </c>
      <c r="C685">
        <v>143.12</v>
      </c>
      <c r="D685">
        <v>151.62</v>
      </c>
      <c r="E685">
        <v>137.63</v>
      </c>
      <c r="F685" t="s">
        <v>653</v>
      </c>
      <c r="G685" s="2">
        <v>4.7699999999999999E-2</v>
      </c>
    </row>
    <row r="686" spans="1:7" x14ac:dyDescent="0.2">
      <c r="A686" s="1">
        <v>45669</v>
      </c>
      <c r="B686">
        <v>143.31</v>
      </c>
      <c r="C686">
        <v>148.1</v>
      </c>
      <c r="D686">
        <v>148.88999999999999</v>
      </c>
      <c r="E686">
        <v>138.13999999999999</v>
      </c>
      <c r="F686" t="s">
        <v>654</v>
      </c>
      <c r="G686" s="2">
        <v>-3.27E-2</v>
      </c>
    </row>
    <row r="687" spans="1:7" x14ac:dyDescent="0.2">
      <c r="A687" s="1">
        <v>45668</v>
      </c>
      <c r="B687">
        <v>148.16</v>
      </c>
      <c r="C687">
        <v>150.1</v>
      </c>
      <c r="D687">
        <v>151.5</v>
      </c>
      <c r="E687">
        <v>144.09</v>
      </c>
      <c r="F687" t="s">
        <v>655</v>
      </c>
      <c r="G687" s="2">
        <v>-1.47E-2</v>
      </c>
    </row>
    <row r="688" spans="1:7" x14ac:dyDescent="0.2">
      <c r="A688" s="1">
        <v>45667</v>
      </c>
      <c r="B688">
        <v>150.37</v>
      </c>
      <c r="C688">
        <v>153.69999999999999</v>
      </c>
      <c r="D688">
        <v>157.4</v>
      </c>
      <c r="E688">
        <v>146.96</v>
      </c>
      <c r="F688" t="s">
        <v>656</v>
      </c>
      <c r="G688" s="2">
        <v>-2.1299999999999999E-2</v>
      </c>
    </row>
    <row r="689" spans="1:7" x14ac:dyDescent="0.2">
      <c r="A689" s="1">
        <v>45666</v>
      </c>
      <c r="B689">
        <v>153.65</v>
      </c>
      <c r="C689">
        <v>157.36000000000001</v>
      </c>
      <c r="D689">
        <v>161.66999999999999</v>
      </c>
      <c r="E689">
        <v>150.97</v>
      </c>
      <c r="F689" t="s">
        <v>657</v>
      </c>
      <c r="G689" s="2">
        <v>-2.1600000000000001E-2</v>
      </c>
    </row>
    <row r="690" spans="1:7" x14ac:dyDescent="0.2">
      <c r="A690" s="1">
        <v>45665</v>
      </c>
      <c r="B690">
        <v>157.04</v>
      </c>
      <c r="C690">
        <v>151.77000000000001</v>
      </c>
      <c r="D690">
        <v>161.03</v>
      </c>
      <c r="E690">
        <v>150.02000000000001</v>
      </c>
      <c r="F690" t="s">
        <v>658</v>
      </c>
      <c r="G690" s="2">
        <v>4.3700000000000003E-2</v>
      </c>
    </row>
    <row r="691" spans="1:7" x14ac:dyDescent="0.2">
      <c r="A691" s="1">
        <v>45664</v>
      </c>
      <c r="B691">
        <v>150.47</v>
      </c>
      <c r="C691">
        <v>159.88</v>
      </c>
      <c r="D691">
        <v>162.53</v>
      </c>
      <c r="E691">
        <v>149.91</v>
      </c>
      <c r="F691" t="s">
        <v>659</v>
      </c>
      <c r="G691" s="2">
        <v>-5.5500000000000001E-2</v>
      </c>
    </row>
    <row r="692" spans="1:7" x14ac:dyDescent="0.2">
      <c r="A692" s="1">
        <v>45663</v>
      </c>
      <c r="B692">
        <v>159.32</v>
      </c>
      <c r="C692">
        <v>169.02</v>
      </c>
      <c r="D692">
        <v>169.04</v>
      </c>
      <c r="E692">
        <v>157.16999999999999</v>
      </c>
      <c r="F692" t="s">
        <v>660</v>
      </c>
      <c r="G692" s="2">
        <v>-6.2199999999999998E-2</v>
      </c>
    </row>
    <row r="693" spans="1:7" x14ac:dyDescent="0.2">
      <c r="A693" s="1">
        <v>45662</v>
      </c>
      <c r="B693">
        <v>169.89</v>
      </c>
      <c r="C693">
        <v>160.65</v>
      </c>
      <c r="D693">
        <v>170.99</v>
      </c>
      <c r="E693">
        <v>156.69</v>
      </c>
      <c r="F693" t="s">
        <v>661</v>
      </c>
      <c r="G693" s="2">
        <v>4.4999999999999998E-2</v>
      </c>
    </row>
    <row r="694" spans="1:7" x14ac:dyDescent="0.2">
      <c r="A694" s="1">
        <v>45661</v>
      </c>
      <c r="B694">
        <v>162.57</v>
      </c>
      <c r="C694">
        <v>170.57</v>
      </c>
      <c r="D694">
        <v>174.8</v>
      </c>
      <c r="E694">
        <v>156.58000000000001</v>
      </c>
      <c r="F694" t="s">
        <v>662</v>
      </c>
      <c r="G694" s="2">
        <v>-4.6100000000000002E-2</v>
      </c>
    </row>
    <row r="695" spans="1:7" x14ac:dyDescent="0.2">
      <c r="A695" s="1">
        <v>45660</v>
      </c>
      <c r="B695">
        <v>170.42</v>
      </c>
      <c r="C695">
        <v>173.58</v>
      </c>
      <c r="D695">
        <v>179.99</v>
      </c>
      <c r="E695">
        <v>162.19999999999999</v>
      </c>
      <c r="F695" t="s">
        <v>663</v>
      </c>
      <c r="G695" s="2">
        <v>-1.9699999999999999E-2</v>
      </c>
    </row>
    <row r="696" spans="1:7" x14ac:dyDescent="0.2">
      <c r="A696" s="1">
        <v>45659</v>
      </c>
      <c r="B696">
        <v>173.84</v>
      </c>
      <c r="C696">
        <v>165.47</v>
      </c>
      <c r="D696">
        <v>174.65</v>
      </c>
      <c r="E696">
        <v>162.19999999999999</v>
      </c>
      <c r="F696" t="s">
        <v>664</v>
      </c>
      <c r="G696" s="2">
        <v>4.7300000000000002E-2</v>
      </c>
    </row>
    <row r="697" spans="1:7" x14ac:dyDescent="0.2">
      <c r="A697" s="1">
        <v>45658</v>
      </c>
      <c r="B697">
        <v>165.99</v>
      </c>
      <c r="C697">
        <v>168.09</v>
      </c>
      <c r="D697">
        <v>169.94</v>
      </c>
      <c r="E697">
        <v>157.47</v>
      </c>
      <c r="F697" t="s">
        <v>665</v>
      </c>
      <c r="G697" s="2">
        <v>-9.9000000000000008E-3</v>
      </c>
    </row>
    <row r="698" spans="1:7" x14ac:dyDescent="0.2">
      <c r="A698" s="1">
        <v>45303</v>
      </c>
      <c r="B698">
        <v>167.65</v>
      </c>
      <c r="C698">
        <v>179.12</v>
      </c>
      <c r="D698">
        <v>180.16</v>
      </c>
      <c r="E698">
        <v>166.36</v>
      </c>
      <c r="F698" t="s">
        <v>666</v>
      </c>
      <c r="G698" s="2">
        <v>-6.4799999999999996E-2</v>
      </c>
    </row>
    <row r="699" spans="1:7" x14ac:dyDescent="0.2">
      <c r="A699" s="1">
        <v>45302</v>
      </c>
      <c r="B699">
        <v>179.26</v>
      </c>
      <c r="C699">
        <v>165.31</v>
      </c>
      <c r="D699">
        <v>180.43</v>
      </c>
      <c r="E699">
        <v>159.81</v>
      </c>
      <c r="F699" t="s">
        <v>667</v>
      </c>
      <c r="G699" s="2">
        <v>8.5199999999999998E-2</v>
      </c>
    </row>
    <row r="700" spans="1:7" x14ac:dyDescent="0.2">
      <c r="A700" s="1">
        <v>45301</v>
      </c>
      <c r="B700">
        <v>165.18</v>
      </c>
      <c r="C700">
        <v>173.24</v>
      </c>
      <c r="D700">
        <v>174.9</v>
      </c>
      <c r="E700">
        <v>165.09</v>
      </c>
      <c r="F700" t="s">
        <v>668</v>
      </c>
      <c r="G700" s="2">
        <v>-4.6300000000000001E-2</v>
      </c>
    </row>
    <row r="701" spans="1:7" x14ac:dyDescent="0.2">
      <c r="A701" s="1">
        <v>45300</v>
      </c>
      <c r="B701">
        <v>173.2</v>
      </c>
      <c r="C701">
        <v>171.03</v>
      </c>
      <c r="D701">
        <v>177.94</v>
      </c>
      <c r="E701">
        <v>170.38</v>
      </c>
      <c r="F701" t="s">
        <v>669</v>
      </c>
      <c r="G701" s="2">
        <v>9.7000000000000003E-3</v>
      </c>
    </row>
    <row r="702" spans="1:7" x14ac:dyDescent="0.2">
      <c r="A702" s="1">
        <v>45299</v>
      </c>
      <c r="B702">
        <v>171.54</v>
      </c>
      <c r="C702">
        <v>160.88</v>
      </c>
      <c r="D702">
        <v>171.89</v>
      </c>
      <c r="E702">
        <v>160.68</v>
      </c>
      <c r="F702" t="s">
        <v>670</v>
      </c>
      <c r="G702" s="2">
        <v>6.7100000000000007E-2</v>
      </c>
    </row>
    <row r="703" spans="1:7" x14ac:dyDescent="0.2">
      <c r="A703" s="1">
        <v>45298</v>
      </c>
      <c r="B703">
        <v>160.76</v>
      </c>
      <c r="C703">
        <v>165.59</v>
      </c>
      <c r="D703">
        <v>170.92</v>
      </c>
      <c r="E703">
        <v>158.04</v>
      </c>
      <c r="F703" t="s">
        <v>671</v>
      </c>
      <c r="G703" s="2">
        <v>-2.52E-2</v>
      </c>
    </row>
    <row r="704" spans="1:7" x14ac:dyDescent="0.2">
      <c r="A704" s="1">
        <v>45297</v>
      </c>
      <c r="B704">
        <v>164.92</v>
      </c>
      <c r="C704">
        <v>163.93</v>
      </c>
      <c r="D704">
        <v>169.41</v>
      </c>
      <c r="E704">
        <v>163.63</v>
      </c>
      <c r="F704" t="s">
        <v>672</v>
      </c>
      <c r="G704" s="2">
        <v>2.3E-3</v>
      </c>
    </row>
    <row r="705" spans="1:7" x14ac:dyDescent="0.2">
      <c r="A705" s="1">
        <v>45296</v>
      </c>
      <c r="B705">
        <v>164.54</v>
      </c>
      <c r="C705">
        <v>163.28</v>
      </c>
      <c r="D705">
        <v>168.54</v>
      </c>
      <c r="E705">
        <v>161.41999999999999</v>
      </c>
      <c r="F705" t="s">
        <v>673</v>
      </c>
      <c r="G705" s="2">
        <v>8.2000000000000007E-3</v>
      </c>
    </row>
    <row r="706" spans="1:7" x14ac:dyDescent="0.2">
      <c r="A706" s="1">
        <v>45295</v>
      </c>
      <c r="B706">
        <v>163.19999999999999</v>
      </c>
      <c r="C706">
        <v>161.78</v>
      </c>
      <c r="D706">
        <v>164.32</v>
      </c>
      <c r="E706">
        <v>153.52000000000001</v>
      </c>
      <c r="F706" t="s">
        <v>674</v>
      </c>
      <c r="G706" s="2">
        <v>5.8999999999999999E-3</v>
      </c>
    </row>
    <row r="707" spans="1:7" x14ac:dyDescent="0.2">
      <c r="A707" s="1">
        <v>45294</v>
      </c>
      <c r="B707">
        <v>162.25</v>
      </c>
      <c r="C707">
        <v>158.05000000000001</v>
      </c>
      <c r="D707">
        <v>163.13999999999999</v>
      </c>
      <c r="E707">
        <v>157.61000000000001</v>
      </c>
      <c r="F707" t="s">
        <v>675</v>
      </c>
      <c r="G707" s="2">
        <v>2.0799999999999999E-2</v>
      </c>
    </row>
    <row r="708" spans="1:7" x14ac:dyDescent="0.2">
      <c r="A708" s="1">
        <v>45293</v>
      </c>
      <c r="B708">
        <v>158.94</v>
      </c>
      <c r="C708">
        <v>156.77000000000001</v>
      </c>
      <c r="D708">
        <v>161.74</v>
      </c>
      <c r="E708">
        <v>154.91</v>
      </c>
      <c r="F708" t="s">
        <v>676</v>
      </c>
      <c r="G708" s="2">
        <v>1.15E-2</v>
      </c>
    </row>
    <row r="709" spans="1:7" x14ac:dyDescent="0.2">
      <c r="A709" s="1">
        <v>45292</v>
      </c>
      <c r="B709">
        <v>157.13999999999999</v>
      </c>
      <c r="C709">
        <v>146.36000000000001</v>
      </c>
      <c r="D709">
        <v>158.5</v>
      </c>
      <c r="E709">
        <v>146.28</v>
      </c>
      <c r="F709" t="s">
        <v>677</v>
      </c>
      <c r="G709" s="2">
        <v>7.2300000000000003E-2</v>
      </c>
    </row>
    <row r="710" spans="1:7" x14ac:dyDescent="0.2">
      <c r="A710" s="1">
        <v>44938</v>
      </c>
      <c r="B710">
        <v>146.54</v>
      </c>
      <c r="C710">
        <v>153.33000000000001</v>
      </c>
      <c r="D710">
        <v>153.49</v>
      </c>
      <c r="E710">
        <v>142.5</v>
      </c>
      <c r="F710" t="s">
        <v>678</v>
      </c>
      <c r="G710" s="2">
        <v>-4.5499999999999999E-2</v>
      </c>
    </row>
    <row r="711" spans="1:7" x14ac:dyDescent="0.2">
      <c r="A711" s="1">
        <v>44937</v>
      </c>
      <c r="B711">
        <v>153.52000000000001</v>
      </c>
      <c r="C711">
        <v>150.68</v>
      </c>
      <c r="D711">
        <v>153.63</v>
      </c>
      <c r="E711">
        <v>148.83000000000001</v>
      </c>
      <c r="F711" t="s">
        <v>679</v>
      </c>
      <c r="G711" s="2">
        <v>2.3300000000000001E-2</v>
      </c>
    </row>
    <row r="712" spans="1:7" x14ac:dyDescent="0.2">
      <c r="A712" s="1">
        <v>44936</v>
      </c>
      <c r="B712">
        <v>150.03</v>
      </c>
      <c r="C712">
        <v>144.78</v>
      </c>
      <c r="D712">
        <v>151.38</v>
      </c>
      <c r="E712">
        <v>141.44999999999999</v>
      </c>
      <c r="F712" t="s">
        <v>680</v>
      </c>
      <c r="G712" s="2">
        <v>2.86E-2</v>
      </c>
    </row>
    <row r="713" spans="1:7" x14ac:dyDescent="0.2">
      <c r="A713" s="1">
        <v>44935</v>
      </c>
      <c r="B713">
        <v>145.86000000000001</v>
      </c>
      <c r="C713">
        <v>154.9</v>
      </c>
      <c r="D713">
        <v>155.32</v>
      </c>
      <c r="E713">
        <v>144.82</v>
      </c>
      <c r="F713" t="s">
        <v>681</v>
      </c>
      <c r="G713" s="2">
        <v>-5.4899999999999997E-2</v>
      </c>
    </row>
    <row r="714" spans="1:7" x14ac:dyDescent="0.2">
      <c r="A714" s="1">
        <v>44934</v>
      </c>
      <c r="B714">
        <v>154.34</v>
      </c>
      <c r="C714">
        <v>155.88</v>
      </c>
      <c r="D714">
        <v>158.38</v>
      </c>
      <c r="E714">
        <v>150.93</v>
      </c>
      <c r="F714" t="s">
        <v>682</v>
      </c>
      <c r="G714" s="2">
        <v>-1.2500000000000001E-2</v>
      </c>
    </row>
    <row r="715" spans="1:7" x14ac:dyDescent="0.2">
      <c r="A715" s="1">
        <v>44933</v>
      </c>
      <c r="B715">
        <v>156.30000000000001</v>
      </c>
      <c r="C715">
        <v>151.47999999999999</v>
      </c>
      <c r="D715">
        <v>157.68</v>
      </c>
      <c r="E715">
        <v>146.96</v>
      </c>
      <c r="F715" t="s">
        <v>683</v>
      </c>
      <c r="G715" s="2">
        <v>3.0099999999999998E-2</v>
      </c>
    </row>
    <row r="716" spans="1:7" x14ac:dyDescent="0.2">
      <c r="A716" s="1">
        <v>44932</v>
      </c>
      <c r="B716">
        <v>151.74</v>
      </c>
      <c r="C716">
        <v>143.25</v>
      </c>
      <c r="D716">
        <v>152.07</v>
      </c>
      <c r="E716">
        <v>142.44999999999999</v>
      </c>
      <c r="F716" t="s">
        <v>684</v>
      </c>
      <c r="G716" s="2">
        <v>6.4799999999999996E-2</v>
      </c>
    </row>
    <row r="717" spans="1:7" x14ac:dyDescent="0.2">
      <c r="A717" s="1">
        <v>44931</v>
      </c>
      <c r="B717">
        <v>142.5</v>
      </c>
      <c r="C717">
        <v>156.03</v>
      </c>
      <c r="D717">
        <v>157.57</v>
      </c>
      <c r="E717">
        <v>141.9</v>
      </c>
      <c r="F717" t="s">
        <v>685</v>
      </c>
      <c r="G717" s="2">
        <v>-8.8800000000000004E-2</v>
      </c>
    </row>
    <row r="718" spans="1:7" x14ac:dyDescent="0.2">
      <c r="A718" s="1">
        <v>44930</v>
      </c>
      <c r="B718">
        <v>156.38</v>
      </c>
      <c r="C718">
        <v>148.43</v>
      </c>
      <c r="D718">
        <v>158.11000000000001</v>
      </c>
      <c r="E718">
        <v>147.09</v>
      </c>
      <c r="F718" t="s">
        <v>686</v>
      </c>
      <c r="G718" s="2">
        <v>5.1700000000000003E-2</v>
      </c>
    </row>
    <row r="719" spans="1:7" x14ac:dyDescent="0.2">
      <c r="A719" s="1">
        <v>44929</v>
      </c>
      <c r="B719">
        <v>148.69</v>
      </c>
      <c r="C719">
        <v>138.05000000000001</v>
      </c>
      <c r="D719">
        <v>148.69</v>
      </c>
      <c r="E719">
        <v>136.1</v>
      </c>
      <c r="F719" t="s">
        <v>687</v>
      </c>
      <c r="G719" s="2">
        <v>8.09E-2</v>
      </c>
    </row>
    <row r="720" spans="1:7" x14ac:dyDescent="0.2">
      <c r="A720" s="1">
        <v>44928</v>
      </c>
      <c r="B720">
        <v>137.56</v>
      </c>
      <c r="C720">
        <v>142.08000000000001</v>
      </c>
      <c r="D720">
        <v>144.1</v>
      </c>
      <c r="E720">
        <v>135.83000000000001</v>
      </c>
      <c r="F720" t="s">
        <v>688</v>
      </c>
      <c r="G720" s="2">
        <v>-3.39E-2</v>
      </c>
    </row>
    <row r="721" spans="1:7" x14ac:dyDescent="0.2">
      <c r="A721" s="1">
        <v>44927</v>
      </c>
      <c r="B721">
        <v>142.38</v>
      </c>
      <c r="C721">
        <v>150.94999999999999</v>
      </c>
      <c r="D721">
        <v>154.80000000000001</v>
      </c>
      <c r="E721">
        <v>138.72999999999999</v>
      </c>
      <c r="F721" t="s">
        <v>689</v>
      </c>
      <c r="G721" s="2">
        <v>-6.0600000000000001E-2</v>
      </c>
    </row>
    <row r="722" spans="1:7" x14ac:dyDescent="0.2">
      <c r="A722" s="1">
        <v>44573</v>
      </c>
      <c r="B722">
        <v>151.56</v>
      </c>
      <c r="C722">
        <v>149.53</v>
      </c>
      <c r="D722">
        <v>154.65</v>
      </c>
      <c r="E722">
        <v>148.08000000000001</v>
      </c>
      <c r="F722" t="s">
        <v>690</v>
      </c>
      <c r="G722" s="2">
        <v>1.61E-2</v>
      </c>
    </row>
    <row r="723" spans="1:7" x14ac:dyDescent="0.2">
      <c r="A723" s="1">
        <v>44572</v>
      </c>
      <c r="B723">
        <v>149.16</v>
      </c>
      <c r="C723">
        <v>134.69999999999999</v>
      </c>
      <c r="D723">
        <v>149.16</v>
      </c>
      <c r="E723">
        <v>130.96</v>
      </c>
      <c r="F723" t="s">
        <v>691</v>
      </c>
      <c r="G723" s="2">
        <v>0.1076</v>
      </c>
    </row>
    <row r="724" spans="1:7" x14ac:dyDescent="0.2">
      <c r="A724" s="1">
        <v>44571</v>
      </c>
      <c r="B724">
        <v>134.66999999999999</v>
      </c>
      <c r="C724">
        <v>127.25</v>
      </c>
      <c r="D724">
        <v>135.66999999999999</v>
      </c>
      <c r="E724">
        <v>122.18</v>
      </c>
      <c r="F724" t="s">
        <v>692</v>
      </c>
      <c r="G724" s="2">
        <v>6.6699999999999995E-2</v>
      </c>
    </row>
    <row r="725" spans="1:7" x14ac:dyDescent="0.2">
      <c r="A725" s="1">
        <v>44570</v>
      </c>
      <c r="B725">
        <v>126.25</v>
      </c>
      <c r="C725">
        <v>137.83000000000001</v>
      </c>
      <c r="D725">
        <v>141.80000000000001</v>
      </c>
      <c r="E725">
        <v>126.21</v>
      </c>
      <c r="F725" t="s">
        <v>693</v>
      </c>
      <c r="G725" s="2">
        <v>-8.4699999999999998E-2</v>
      </c>
    </row>
    <row r="726" spans="1:7" x14ac:dyDescent="0.2">
      <c r="A726" s="1">
        <v>44569</v>
      </c>
      <c r="B726">
        <v>137.94</v>
      </c>
      <c r="C726">
        <v>138.34</v>
      </c>
      <c r="D726">
        <v>150.63</v>
      </c>
      <c r="E726">
        <v>137.86000000000001</v>
      </c>
      <c r="F726" t="s">
        <v>694</v>
      </c>
      <c r="G726" s="2">
        <v>-7.0000000000000001E-3</v>
      </c>
    </row>
    <row r="727" spans="1:7" x14ac:dyDescent="0.2">
      <c r="A727" s="1">
        <v>44568</v>
      </c>
      <c r="B727">
        <v>138.91</v>
      </c>
      <c r="C727">
        <v>144.24</v>
      </c>
      <c r="D727">
        <v>148.61000000000001</v>
      </c>
      <c r="E727">
        <v>138.22999999999999</v>
      </c>
      <c r="F727" t="s">
        <v>695</v>
      </c>
      <c r="G727" s="2">
        <v>-3.39E-2</v>
      </c>
    </row>
    <row r="728" spans="1:7" x14ac:dyDescent="0.2">
      <c r="A728" s="1">
        <v>44567</v>
      </c>
      <c r="B728">
        <v>143.79</v>
      </c>
      <c r="C728">
        <v>148</v>
      </c>
      <c r="D728">
        <v>148.12</v>
      </c>
      <c r="E728">
        <v>129.5</v>
      </c>
      <c r="F728" t="s">
        <v>696</v>
      </c>
      <c r="G728" s="2">
        <v>-2.7699999999999999E-2</v>
      </c>
    </row>
    <row r="729" spans="1:7" x14ac:dyDescent="0.2">
      <c r="A729" s="1">
        <v>44566</v>
      </c>
      <c r="B729">
        <v>147.88</v>
      </c>
      <c r="C729">
        <v>161.6</v>
      </c>
      <c r="D729">
        <v>162</v>
      </c>
      <c r="E729">
        <v>139.18</v>
      </c>
      <c r="F729" t="s">
        <v>697</v>
      </c>
      <c r="G729" s="2">
        <v>-7.8899999999999998E-2</v>
      </c>
    </row>
    <row r="730" spans="1:7" x14ac:dyDescent="0.2">
      <c r="A730" s="1">
        <v>44565</v>
      </c>
      <c r="B730">
        <v>160.55000000000001</v>
      </c>
      <c r="C730">
        <v>153.52000000000001</v>
      </c>
      <c r="D730">
        <v>164.9</v>
      </c>
      <c r="E730">
        <v>151.26</v>
      </c>
      <c r="F730" t="s">
        <v>698</v>
      </c>
      <c r="G730" s="2">
        <v>5.0700000000000002E-2</v>
      </c>
    </row>
    <row r="731" spans="1:7" x14ac:dyDescent="0.2">
      <c r="A731" s="1">
        <v>44564</v>
      </c>
      <c r="B731">
        <v>152.80000000000001</v>
      </c>
      <c r="C731">
        <v>154.31</v>
      </c>
      <c r="D731">
        <v>156.47</v>
      </c>
      <c r="E731">
        <v>143.03</v>
      </c>
      <c r="F731" t="s">
        <v>699</v>
      </c>
      <c r="G731" s="2">
        <v>-1.9800000000000002E-2</v>
      </c>
    </row>
    <row r="732" spans="1:7" x14ac:dyDescent="0.2">
      <c r="A732" s="1">
        <v>44563</v>
      </c>
      <c r="B732">
        <v>155.88999999999999</v>
      </c>
      <c r="C732">
        <v>160.79</v>
      </c>
      <c r="D732">
        <v>164.98</v>
      </c>
      <c r="E732">
        <v>150.56</v>
      </c>
      <c r="F732" t="s">
        <v>700</v>
      </c>
      <c r="G732" s="2">
        <v>-2.8400000000000002E-2</v>
      </c>
    </row>
    <row r="733" spans="1:7" x14ac:dyDescent="0.2">
      <c r="A733" s="1">
        <v>44562</v>
      </c>
      <c r="B733">
        <v>160.44999999999999</v>
      </c>
      <c r="C733">
        <v>161.69</v>
      </c>
      <c r="D733">
        <v>165.35</v>
      </c>
      <c r="E733">
        <v>156.04</v>
      </c>
      <c r="F733" t="s">
        <v>701</v>
      </c>
      <c r="G733" s="2">
        <v>-1.9099999999999999E-2</v>
      </c>
    </row>
    <row r="734" spans="1:7" x14ac:dyDescent="0.2">
      <c r="A734" s="1">
        <v>44208</v>
      </c>
      <c r="B734">
        <v>163.58000000000001</v>
      </c>
      <c r="C734">
        <v>144.85</v>
      </c>
      <c r="D734">
        <v>164.98</v>
      </c>
      <c r="E734">
        <v>144.85</v>
      </c>
      <c r="F734" t="s">
        <v>702</v>
      </c>
      <c r="G734" s="2">
        <v>0.13139999999999999</v>
      </c>
    </row>
    <row r="735" spans="1:7" x14ac:dyDescent="0.2">
      <c r="A735" s="1">
        <v>44207</v>
      </c>
      <c r="B735">
        <v>144.58000000000001</v>
      </c>
      <c r="C735">
        <v>143.36000000000001</v>
      </c>
      <c r="D735">
        <v>149.71</v>
      </c>
      <c r="E735">
        <v>142.28</v>
      </c>
      <c r="F735" t="s">
        <v>703</v>
      </c>
      <c r="G735" s="2">
        <v>1.11E-2</v>
      </c>
    </row>
    <row r="736" spans="1:7" x14ac:dyDescent="0.2">
      <c r="A736" s="1">
        <v>44206</v>
      </c>
      <c r="B736">
        <v>142.99</v>
      </c>
      <c r="C736">
        <v>139.93</v>
      </c>
      <c r="D736">
        <v>144.87</v>
      </c>
      <c r="E736">
        <v>137.6</v>
      </c>
      <c r="F736" t="s">
        <v>704</v>
      </c>
      <c r="G736" s="2">
        <v>2.2800000000000001E-2</v>
      </c>
    </row>
    <row r="737" spans="1:7" x14ac:dyDescent="0.2">
      <c r="A737" s="1">
        <v>44205</v>
      </c>
      <c r="B737">
        <v>139.80000000000001</v>
      </c>
      <c r="C737">
        <v>142.33000000000001</v>
      </c>
      <c r="D737">
        <v>147.22999999999999</v>
      </c>
      <c r="E737">
        <v>139.53</v>
      </c>
      <c r="F737" t="s">
        <v>705</v>
      </c>
      <c r="G737" s="2">
        <v>-1.8200000000000001E-2</v>
      </c>
    </row>
    <row r="738" spans="1:7" x14ac:dyDescent="0.2">
      <c r="A738" s="1">
        <v>44204</v>
      </c>
      <c r="B738">
        <v>142.38999999999999</v>
      </c>
      <c r="C738">
        <v>141.77000000000001</v>
      </c>
      <c r="D738">
        <v>145.97999999999999</v>
      </c>
      <c r="E738">
        <v>140.80000000000001</v>
      </c>
      <c r="F738" t="s">
        <v>706</v>
      </c>
      <c r="G738" s="2">
        <v>1.1000000000000001E-3</v>
      </c>
    </row>
    <row r="739" spans="1:7" x14ac:dyDescent="0.2">
      <c r="A739" s="1">
        <v>44203</v>
      </c>
      <c r="B739">
        <v>142.22999999999999</v>
      </c>
      <c r="C739">
        <v>135.43</v>
      </c>
      <c r="D739">
        <v>144.54</v>
      </c>
      <c r="E739">
        <v>134.91999999999999</v>
      </c>
      <c r="F739" t="s">
        <v>707</v>
      </c>
      <c r="G739" s="2">
        <v>5.4100000000000002E-2</v>
      </c>
    </row>
    <row r="740" spans="1:7" x14ac:dyDescent="0.2">
      <c r="A740" s="1">
        <v>44202</v>
      </c>
      <c r="B740">
        <v>134.93</v>
      </c>
      <c r="C740">
        <v>135.79</v>
      </c>
      <c r="D740">
        <v>136.84</v>
      </c>
      <c r="E740">
        <v>131.94</v>
      </c>
      <c r="F740" t="s">
        <v>708</v>
      </c>
      <c r="G740" s="2">
        <v>5.9999999999999995E-4</v>
      </c>
    </row>
    <row r="741" spans="1:7" x14ac:dyDescent="0.2">
      <c r="A741" s="1">
        <v>44201</v>
      </c>
      <c r="B741">
        <v>134.85</v>
      </c>
      <c r="C741">
        <v>134.03</v>
      </c>
      <c r="D741">
        <v>139.1</v>
      </c>
      <c r="E741">
        <v>133.37</v>
      </c>
      <c r="F741" t="s">
        <v>709</v>
      </c>
      <c r="G741" s="2">
        <v>1.0699999999999999E-2</v>
      </c>
    </row>
    <row r="742" spans="1:7" x14ac:dyDescent="0.2">
      <c r="A742" s="1">
        <v>44200</v>
      </c>
      <c r="B742">
        <v>133.41999999999999</v>
      </c>
      <c r="C742">
        <v>135.05000000000001</v>
      </c>
      <c r="D742">
        <v>138.59</v>
      </c>
      <c r="E742">
        <v>130.29</v>
      </c>
      <c r="F742" t="s">
        <v>710</v>
      </c>
      <c r="G742" s="2">
        <v>-1.4800000000000001E-2</v>
      </c>
    </row>
    <row r="743" spans="1:7" x14ac:dyDescent="0.2">
      <c r="A743" s="1">
        <v>44199</v>
      </c>
      <c r="B743">
        <v>135.43</v>
      </c>
      <c r="C743">
        <v>124.16</v>
      </c>
      <c r="D743">
        <v>137.6</v>
      </c>
      <c r="E743">
        <v>121.54</v>
      </c>
      <c r="F743" t="s">
        <v>711</v>
      </c>
      <c r="G743" s="2">
        <v>9.6299999999999997E-2</v>
      </c>
    </row>
    <row r="744" spans="1:7" x14ac:dyDescent="0.2">
      <c r="A744" s="1">
        <v>44198</v>
      </c>
      <c r="B744">
        <v>123.53</v>
      </c>
      <c r="C744">
        <v>129</v>
      </c>
      <c r="D744">
        <v>130.72</v>
      </c>
      <c r="E744">
        <v>121.82</v>
      </c>
      <c r="F744" t="s">
        <v>712</v>
      </c>
      <c r="G744" s="2">
        <v>-3.6499999999999998E-2</v>
      </c>
    </row>
    <row r="745" spans="1:7" x14ac:dyDescent="0.2">
      <c r="A745" s="1">
        <v>44197</v>
      </c>
      <c r="B745">
        <v>128.21</v>
      </c>
      <c r="C745">
        <v>139.66</v>
      </c>
      <c r="D745">
        <v>141.04</v>
      </c>
      <c r="E745">
        <v>127.44</v>
      </c>
      <c r="F745" t="s">
        <v>713</v>
      </c>
      <c r="G745" s="2">
        <v>-7.8600000000000003E-2</v>
      </c>
    </row>
    <row r="746" spans="1:7" x14ac:dyDescent="0.2">
      <c r="A746" s="1">
        <v>43842</v>
      </c>
      <c r="B746">
        <v>139.13999999999999</v>
      </c>
      <c r="C746">
        <v>139.16</v>
      </c>
      <c r="D746">
        <v>140.07</v>
      </c>
      <c r="E746">
        <v>134.19999999999999</v>
      </c>
      <c r="F746" t="s">
        <v>714</v>
      </c>
      <c r="G746" s="2">
        <v>1.9E-3</v>
      </c>
    </row>
    <row r="747" spans="1:7" x14ac:dyDescent="0.2">
      <c r="A747" s="1">
        <v>43841</v>
      </c>
      <c r="B747">
        <v>138.87</v>
      </c>
      <c r="C747">
        <v>138.51</v>
      </c>
      <c r="D747">
        <v>146.91999999999999</v>
      </c>
      <c r="E747">
        <v>136.74</v>
      </c>
      <c r="F747" t="s">
        <v>715</v>
      </c>
      <c r="G747" s="2">
        <v>1.29E-2</v>
      </c>
    </row>
    <row r="748" spans="1:7" x14ac:dyDescent="0.2">
      <c r="A748" s="1">
        <v>43840</v>
      </c>
      <c r="B748">
        <v>137.1</v>
      </c>
      <c r="C748">
        <v>139.58000000000001</v>
      </c>
      <c r="D748">
        <v>145.87</v>
      </c>
      <c r="E748">
        <v>134.68</v>
      </c>
      <c r="F748" t="s">
        <v>716</v>
      </c>
      <c r="G748" s="2">
        <v>-1.3599999999999999E-2</v>
      </c>
    </row>
    <row r="749" spans="1:7" x14ac:dyDescent="0.2">
      <c r="A749" s="1">
        <v>43839</v>
      </c>
      <c r="B749">
        <v>138.99</v>
      </c>
      <c r="C749">
        <v>137.86000000000001</v>
      </c>
      <c r="D749">
        <v>141.69999999999999</v>
      </c>
      <c r="E749">
        <v>134.69999999999999</v>
      </c>
      <c r="F749" t="s">
        <v>717</v>
      </c>
      <c r="G749" s="2">
        <v>4.7999999999999996E-3</v>
      </c>
    </row>
    <row r="750" spans="1:7" x14ac:dyDescent="0.2">
      <c r="A750" s="1">
        <v>43838</v>
      </c>
      <c r="B750">
        <v>138.33000000000001</v>
      </c>
      <c r="C750">
        <v>130.47</v>
      </c>
      <c r="D750">
        <v>139.69</v>
      </c>
      <c r="E750">
        <v>130.47</v>
      </c>
      <c r="F750" t="s">
        <v>688</v>
      </c>
      <c r="G750" s="2">
        <v>5.5E-2</v>
      </c>
    </row>
    <row r="751" spans="1:7" x14ac:dyDescent="0.2">
      <c r="A751" s="1">
        <v>43837</v>
      </c>
      <c r="B751">
        <v>131.12</v>
      </c>
      <c r="C751">
        <v>119.65</v>
      </c>
      <c r="D751">
        <v>132.03</v>
      </c>
      <c r="E751">
        <v>118.9</v>
      </c>
      <c r="F751" t="s">
        <v>718</v>
      </c>
      <c r="G751" s="2">
        <v>9.6600000000000005E-2</v>
      </c>
    </row>
    <row r="752" spans="1:7" x14ac:dyDescent="0.2">
      <c r="A752" s="1">
        <v>43836</v>
      </c>
      <c r="B752">
        <v>119.57</v>
      </c>
      <c r="C752">
        <v>116</v>
      </c>
      <c r="D752">
        <v>121.82</v>
      </c>
      <c r="E752">
        <v>113.76</v>
      </c>
      <c r="F752" t="s">
        <v>719</v>
      </c>
      <c r="G752" s="2">
        <v>3.15E-2</v>
      </c>
    </row>
    <row r="753" spans="1:7" x14ac:dyDescent="0.2">
      <c r="A753" s="1">
        <v>43835</v>
      </c>
      <c r="B753">
        <v>115.92</v>
      </c>
      <c r="C753">
        <v>117.6</v>
      </c>
      <c r="D753">
        <v>118.37</v>
      </c>
      <c r="E753">
        <v>111.25</v>
      </c>
      <c r="F753" t="s">
        <v>720</v>
      </c>
      <c r="G753" s="2">
        <v>-1.6500000000000001E-2</v>
      </c>
    </row>
    <row r="754" spans="1:7" x14ac:dyDescent="0.2">
      <c r="A754" s="1">
        <v>43834</v>
      </c>
      <c r="B754">
        <v>117.87</v>
      </c>
      <c r="C754">
        <v>107.95</v>
      </c>
      <c r="D754">
        <v>124.99</v>
      </c>
      <c r="E754">
        <v>107</v>
      </c>
      <c r="F754" t="s">
        <v>721</v>
      </c>
      <c r="G754" s="2">
        <v>7.1499999999999994E-2</v>
      </c>
    </row>
    <row r="755" spans="1:7" x14ac:dyDescent="0.2">
      <c r="A755" s="1">
        <v>43833</v>
      </c>
      <c r="B755">
        <v>110</v>
      </c>
      <c r="C755">
        <v>113.19</v>
      </c>
      <c r="D755">
        <v>124.69</v>
      </c>
      <c r="E755">
        <v>94.34</v>
      </c>
      <c r="F755" t="s">
        <v>722</v>
      </c>
      <c r="G755" s="2">
        <v>-2.8500000000000001E-2</v>
      </c>
    </row>
    <row r="756" spans="1:7" x14ac:dyDescent="0.2">
      <c r="A756" s="1">
        <v>43832</v>
      </c>
      <c r="B756">
        <v>113.23</v>
      </c>
      <c r="C756">
        <v>124.66</v>
      </c>
      <c r="D756">
        <v>128.09</v>
      </c>
      <c r="E756">
        <v>106.67</v>
      </c>
      <c r="F756" t="s">
        <v>723</v>
      </c>
      <c r="G756" s="2">
        <v>-9.1399999999999995E-2</v>
      </c>
    </row>
    <row r="757" spans="1:7" x14ac:dyDescent="0.2">
      <c r="A757" s="1">
        <v>43831</v>
      </c>
      <c r="B757">
        <v>124.62</v>
      </c>
      <c r="C757">
        <v>124.5</v>
      </c>
      <c r="D757">
        <v>127</v>
      </c>
      <c r="E757">
        <v>121.86</v>
      </c>
      <c r="F757" t="s">
        <v>724</v>
      </c>
      <c r="G757" s="2">
        <v>-2.2000000000000001E-3</v>
      </c>
    </row>
    <row r="758" spans="1:7" x14ac:dyDescent="0.2">
      <c r="A758" s="1">
        <v>43477</v>
      </c>
      <c r="B758">
        <v>124.9</v>
      </c>
      <c r="C758">
        <v>121.94</v>
      </c>
      <c r="D758">
        <v>126.6</v>
      </c>
      <c r="E758">
        <v>120.96</v>
      </c>
      <c r="F758" t="s">
        <v>725</v>
      </c>
      <c r="G758" s="2">
        <v>2.3300000000000001E-2</v>
      </c>
    </row>
    <row r="759" spans="1:7" x14ac:dyDescent="0.2">
      <c r="A759" s="1">
        <v>43476</v>
      </c>
      <c r="B759">
        <v>122.06</v>
      </c>
      <c r="C759">
        <v>124.83</v>
      </c>
      <c r="D759">
        <v>125.14</v>
      </c>
      <c r="E759">
        <v>118.24</v>
      </c>
      <c r="F759" t="s">
        <v>726</v>
      </c>
      <c r="G759" s="2">
        <v>-1.9699999999999999E-2</v>
      </c>
    </row>
    <row r="760" spans="1:7" x14ac:dyDescent="0.2">
      <c r="A760" s="1">
        <v>43475</v>
      </c>
      <c r="B760">
        <v>124.51</v>
      </c>
      <c r="C760">
        <v>124.36</v>
      </c>
      <c r="D760">
        <v>125.77</v>
      </c>
      <c r="E760">
        <v>116.17</v>
      </c>
      <c r="F760" t="s">
        <v>727</v>
      </c>
      <c r="G760" s="2">
        <v>1E-3</v>
      </c>
    </row>
    <row r="761" spans="1:7" x14ac:dyDescent="0.2">
      <c r="A761" s="1">
        <v>43474</v>
      </c>
      <c r="B761">
        <v>124.38</v>
      </c>
      <c r="C761">
        <v>119.79</v>
      </c>
      <c r="D761">
        <v>125.36</v>
      </c>
      <c r="E761">
        <v>119.01</v>
      </c>
      <c r="F761" t="s">
        <v>728</v>
      </c>
      <c r="G761" s="2">
        <v>3.4500000000000003E-2</v>
      </c>
    </row>
    <row r="762" spans="1:7" x14ac:dyDescent="0.2">
      <c r="A762" s="1">
        <v>43473</v>
      </c>
      <c r="B762">
        <v>120.23</v>
      </c>
      <c r="C762">
        <v>118.56</v>
      </c>
      <c r="D762">
        <v>122</v>
      </c>
      <c r="E762">
        <v>112.68</v>
      </c>
      <c r="F762" t="s">
        <v>729</v>
      </c>
      <c r="G762" s="2">
        <v>1.8599999999999998E-2</v>
      </c>
    </row>
    <row r="763" spans="1:7" x14ac:dyDescent="0.2">
      <c r="A763" s="1">
        <v>43472</v>
      </c>
      <c r="B763">
        <v>118.04</v>
      </c>
      <c r="C763">
        <v>109.92</v>
      </c>
      <c r="D763">
        <v>121.76</v>
      </c>
      <c r="E763">
        <v>109.61</v>
      </c>
      <c r="F763" t="s">
        <v>730</v>
      </c>
      <c r="G763" s="2">
        <v>7.6499999999999999E-2</v>
      </c>
    </row>
    <row r="764" spans="1:7" x14ac:dyDescent="0.2">
      <c r="A764" s="1">
        <v>43471</v>
      </c>
      <c r="B764">
        <v>109.65</v>
      </c>
      <c r="C764">
        <v>103.15</v>
      </c>
      <c r="D764">
        <v>112.63</v>
      </c>
      <c r="E764">
        <v>102.4</v>
      </c>
      <c r="F764" t="s">
        <v>731</v>
      </c>
      <c r="G764" s="2">
        <v>6.5500000000000003E-2</v>
      </c>
    </row>
    <row r="765" spans="1:7" x14ac:dyDescent="0.2">
      <c r="A765" s="1">
        <v>43470</v>
      </c>
      <c r="B765">
        <v>102.91</v>
      </c>
      <c r="C765">
        <v>106.15</v>
      </c>
      <c r="D765">
        <v>108.68</v>
      </c>
      <c r="E765">
        <v>102.4</v>
      </c>
      <c r="F765" t="s">
        <v>732</v>
      </c>
      <c r="G765" s="2">
        <v>-3.3500000000000002E-2</v>
      </c>
    </row>
    <row r="766" spans="1:7" x14ac:dyDescent="0.2">
      <c r="A766" s="1">
        <v>43469</v>
      </c>
      <c r="B766">
        <v>106.48</v>
      </c>
      <c r="C766">
        <v>104.23</v>
      </c>
      <c r="D766">
        <v>107.2</v>
      </c>
      <c r="E766">
        <v>102.13</v>
      </c>
      <c r="F766" t="s">
        <v>733</v>
      </c>
      <c r="G766" s="2">
        <v>2.3400000000000001E-2</v>
      </c>
    </row>
    <row r="767" spans="1:7" x14ac:dyDescent="0.2">
      <c r="A767" s="1">
        <v>43468</v>
      </c>
      <c r="B767">
        <v>104.05</v>
      </c>
      <c r="C767">
        <v>98.61</v>
      </c>
      <c r="D767">
        <v>104.15</v>
      </c>
      <c r="E767">
        <v>97.75</v>
      </c>
      <c r="F767" t="s">
        <v>734</v>
      </c>
      <c r="G767" s="2">
        <v>5.5800000000000002E-2</v>
      </c>
    </row>
    <row r="768" spans="1:7" x14ac:dyDescent="0.2">
      <c r="A768" s="1">
        <v>43467</v>
      </c>
      <c r="B768">
        <v>98.55</v>
      </c>
      <c r="C768">
        <v>96.35</v>
      </c>
      <c r="D768">
        <v>100.45</v>
      </c>
      <c r="E768">
        <v>95.99</v>
      </c>
      <c r="F768" t="s">
        <v>735</v>
      </c>
      <c r="G768" s="2">
        <v>2.1600000000000001E-2</v>
      </c>
    </row>
    <row r="769" spans="1:7" x14ac:dyDescent="0.2">
      <c r="A769" s="1">
        <v>43466</v>
      </c>
      <c r="B769">
        <v>96.47</v>
      </c>
      <c r="C769">
        <v>91.03</v>
      </c>
      <c r="D769">
        <v>96.81</v>
      </c>
      <c r="E769">
        <v>89.08</v>
      </c>
      <c r="F769" t="s">
        <v>736</v>
      </c>
      <c r="G769" s="2">
        <v>4.9500000000000002E-2</v>
      </c>
    </row>
    <row r="770" spans="1:7" x14ac:dyDescent="0.2">
      <c r="A770" s="1">
        <v>43112</v>
      </c>
      <c r="B770">
        <v>91.92</v>
      </c>
      <c r="C770">
        <v>94.67</v>
      </c>
      <c r="D770">
        <v>96.89</v>
      </c>
      <c r="E770">
        <v>86.74</v>
      </c>
      <c r="F770" t="s">
        <v>737</v>
      </c>
      <c r="G770" s="2">
        <v>-2.7400000000000001E-2</v>
      </c>
    </row>
    <row r="771" spans="1:7" x14ac:dyDescent="0.2">
      <c r="A771" s="1">
        <v>43111</v>
      </c>
      <c r="B771">
        <v>94.51</v>
      </c>
      <c r="C771">
        <v>88.81</v>
      </c>
      <c r="D771">
        <v>94.81</v>
      </c>
      <c r="E771">
        <v>88.18</v>
      </c>
      <c r="F771" t="s">
        <v>738</v>
      </c>
      <c r="G771" s="2">
        <v>6.5699999999999995E-2</v>
      </c>
    </row>
    <row r="772" spans="1:7" x14ac:dyDescent="0.2">
      <c r="A772" s="1">
        <v>43110</v>
      </c>
      <c r="B772">
        <v>88.68</v>
      </c>
      <c r="C772">
        <v>83.31</v>
      </c>
      <c r="D772">
        <v>90.7</v>
      </c>
      <c r="E772">
        <v>78.489999999999995</v>
      </c>
      <c r="F772" t="s">
        <v>739</v>
      </c>
      <c r="G772" s="2">
        <v>6.5500000000000003E-2</v>
      </c>
    </row>
    <row r="773" spans="1:7" x14ac:dyDescent="0.2">
      <c r="A773" s="1">
        <v>43109</v>
      </c>
      <c r="B773">
        <v>83.23</v>
      </c>
      <c r="C773">
        <v>82.48</v>
      </c>
      <c r="D773">
        <v>86.28</v>
      </c>
      <c r="E773">
        <v>81.25</v>
      </c>
      <c r="F773" t="s">
        <v>740</v>
      </c>
      <c r="G773" s="2">
        <v>3.3999999999999998E-3</v>
      </c>
    </row>
    <row r="774" spans="1:7" x14ac:dyDescent="0.2">
      <c r="A774" s="1">
        <v>43108</v>
      </c>
      <c r="B774">
        <v>82.95</v>
      </c>
      <c r="C774">
        <v>80.42</v>
      </c>
      <c r="D774">
        <v>84.2</v>
      </c>
      <c r="E774">
        <v>80.11</v>
      </c>
      <c r="F774" t="s">
        <v>741</v>
      </c>
      <c r="G774" s="2">
        <v>2.5600000000000001E-2</v>
      </c>
    </row>
    <row r="775" spans="1:7" x14ac:dyDescent="0.2">
      <c r="A775" s="1">
        <v>43107</v>
      </c>
      <c r="B775">
        <v>80.88</v>
      </c>
      <c r="C775">
        <v>77.5</v>
      </c>
      <c r="D775">
        <v>80.98</v>
      </c>
      <c r="E775">
        <v>77.42</v>
      </c>
      <c r="F775" t="s">
        <v>742</v>
      </c>
      <c r="G775" s="2">
        <v>3.61E-2</v>
      </c>
    </row>
    <row r="776" spans="1:7" x14ac:dyDescent="0.2">
      <c r="A776" s="1">
        <v>43106</v>
      </c>
      <c r="B776">
        <v>78.06</v>
      </c>
      <c r="C776">
        <v>73.33</v>
      </c>
      <c r="D776">
        <v>78.709999999999994</v>
      </c>
      <c r="E776">
        <v>72.86</v>
      </c>
      <c r="F776" t="s">
        <v>743</v>
      </c>
      <c r="G776" s="2">
        <v>6.6799999999999998E-2</v>
      </c>
    </row>
    <row r="777" spans="1:7" x14ac:dyDescent="0.2">
      <c r="A777" s="1">
        <v>43105</v>
      </c>
      <c r="B777">
        <v>73.17</v>
      </c>
      <c r="C777">
        <v>72.05</v>
      </c>
      <c r="D777">
        <v>75.010000000000005</v>
      </c>
      <c r="E777">
        <v>70.73</v>
      </c>
      <c r="F777" t="s">
        <v>744</v>
      </c>
      <c r="G777" s="2">
        <v>1.15E-2</v>
      </c>
    </row>
    <row r="778" spans="1:7" x14ac:dyDescent="0.2">
      <c r="A778" s="1">
        <v>43104</v>
      </c>
      <c r="B778">
        <v>72.34</v>
      </c>
      <c r="C778">
        <v>79.260000000000005</v>
      </c>
      <c r="D778">
        <v>79.52</v>
      </c>
      <c r="E778">
        <v>71.95</v>
      </c>
      <c r="F778" t="s">
        <v>745</v>
      </c>
      <c r="G778" s="2">
        <v>-8.7499999999999994E-2</v>
      </c>
    </row>
    <row r="779" spans="1:7" x14ac:dyDescent="0.2">
      <c r="A779" s="1">
        <v>43103</v>
      </c>
      <c r="B779">
        <v>79.28</v>
      </c>
      <c r="C779">
        <v>78.400000000000006</v>
      </c>
      <c r="D779">
        <v>80.75</v>
      </c>
      <c r="E779">
        <v>75.81</v>
      </c>
      <c r="F779" t="s">
        <v>746</v>
      </c>
      <c r="G779" s="2">
        <v>9.7000000000000003E-3</v>
      </c>
    </row>
    <row r="780" spans="1:7" x14ac:dyDescent="0.2">
      <c r="A780" s="1">
        <v>43102</v>
      </c>
      <c r="B780">
        <v>78.52</v>
      </c>
      <c r="C780">
        <v>86.15</v>
      </c>
      <c r="D780">
        <v>86.5</v>
      </c>
      <c r="E780">
        <v>78.5</v>
      </c>
      <c r="F780" t="s">
        <v>747</v>
      </c>
      <c r="G780" s="2">
        <v>-9.06E-2</v>
      </c>
    </row>
    <row r="781" spans="1:7" x14ac:dyDescent="0.2">
      <c r="A781" s="1">
        <v>43101</v>
      </c>
      <c r="B781">
        <v>86.34</v>
      </c>
      <c r="C781">
        <v>91.92</v>
      </c>
      <c r="D781">
        <v>91.93</v>
      </c>
      <c r="E781">
        <v>86.07</v>
      </c>
      <c r="F781" t="s">
        <v>748</v>
      </c>
      <c r="G781" s="2">
        <v>-6.0299999999999999E-2</v>
      </c>
    </row>
    <row r="782" spans="1:7" x14ac:dyDescent="0.2">
      <c r="A782" s="1">
        <v>42747</v>
      </c>
      <c r="B782">
        <v>91.88</v>
      </c>
      <c r="C782">
        <v>90.18</v>
      </c>
      <c r="D782">
        <v>93.14</v>
      </c>
      <c r="E782">
        <v>89.12</v>
      </c>
      <c r="F782" t="s">
        <v>749</v>
      </c>
      <c r="G782" s="2">
        <v>2.1000000000000001E-2</v>
      </c>
    </row>
    <row r="783" spans="1:7" x14ac:dyDescent="0.2">
      <c r="A783" s="1">
        <v>42746</v>
      </c>
      <c r="B783">
        <v>89.99</v>
      </c>
      <c r="C783">
        <v>86.33</v>
      </c>
      <c r="D783">
        <v>90.37</v>
      </c>
      <c r="E783">
        <v>85.42</v>
      </c>
      <c r="F783" t="s">
        <v>750</v>
      </c>
      <c r="G783" s="2">
        <v>4.2299999999999997E-2</v>
      </c>
    </row>
    <row r="784" spans="1:7" x14ac:dyDescent="0.2">
      <c r="A784" s="1">
        <v>42745</v>
      </c>
      <c r="B784">
        <v>86.34</v>
      </c>
      <c r="C784">
        <v>91.26</v>
      </c>
      <c r="D784">
        <v>93.51</v>
      </c>
      <c r="E784">
        <v>85.72</v>
      </c>
      <c r="F784" t="s">
        <v>751</v>
      </c>
      <c r="G784" s="2">
        <v>-5.0999999999999997E-2</v>
      </c>
    </row>
    <row r="785" spans="1:7" x14ac:dyDescent="0.2">
      <c r="A785" s="1">
        <v>42744</v>
      </c>
      <c r="B785">
        <v>90.98</v>
      </c>
      <c r="C785">
        <v>92.42</v>
      </c>
      <c r="D785">
        <v>94.67</v>
      </c>
      <c r="E785">
        <v>90.34</v>
      </c>
      <c r="F785" t="s">
        <v>752</v>
      </c>
      <c r="G785" s="2">
        <v>-1.4E-2</v>
      </c>
    </row>
    <row r="786" spans="1:7" x14ac:dyDescent="0.2">
      <c r="A786" s="1">
        <v>42743</v>
      </c>
      <c r="B786">
        <v>92.27</v>
      </c>
      <c r="C786">
        <v>91.03</v>
      </c>
      <c r="D786">
        <v>92.96</v>
      </c>
      <c r="E786">
        <v>90.52</v>
      </c>
      <c r="F786" t="s">
        <v>753</v>
      </c>
      <c r="G786" s="2">
        <v>1.6E-2</v>
      </c>
    </row>
    <row r="787" spans="1:7" x14ac:dyDescent="0.2">
      <c r="A787" s="1">
        <v>42742</v>
      </c>
      <c r="B787">
        <v>90.82</v>
      </c>
      <c r="C787">
        <v>87.4</v>
      </c>
      <c r="D787">
        <v>91.07</v>
      </c>
      <c r="E787">
        <v>86.31</v>
      </c>
      <c r="F787" t="s">
        <v>754</v>
      </c>
      <c r="G787" s="2">
        <v>4.2099999999999999E-2</v>
      </c>
    </row>
    <row r="788" spans="1:7" x14ac:dyDescent="0.2">
      <c r="A788" s="1">
        <v>42741</v>
      </c>
      <c r="B788">
        <v>87.15</v>
      </c>
      <c r="C788">
        <v>88.02</v>
      </c>
      <c r="D788">
        <v>90.21</v>
      </c>
      <c r="E788">
        <v>86.93</v>
      </c>
      <c r="F788" t="s">
        <v>670</v>
      </c>
      <c r="G788" s="2">
        <v>-1.0699999999999999E-2</v>
      </c>
    </row>
    <row r="789" spans="1:7" x14ac:dyDescent="0.2">
      <c r="A789" s="1">
        <v>42740</v>
      </c>
      <c r="B789">
        <v>88.09</v>
      </c>
      <c r="C789">
        <v>87.38</v>
      </c>
      <c r="D789">
        <v>88.35</v>
      </c>
      <c r="E789">
        <v>85.52</v>
      </c>
      <c r="F789" t="s">
        <v>755</v>
      </c>
      <c r="G789" s="2">
        <v>8.6999999999999994E-3</v>
      </c>
    </row>
    <row r="790" spans="1:7" x14ac:dyDescent="0.2">
      <c r="A790" s="1">
        <v>42739</v>
      </c>
      <c r="B790">
        <v>87.33</v>
      </c>
      <c r="C790">
        <v>89.86</v>
      </c>
      <c r="D790">
        <v>91.13</v>
      </c>
      <c r="E790">
        <v>87.15</v>
      </c>
      <c r="F790" t="s">
        <v>756</v>
      </c>
      <c r="G790" s="2">
        <v>-2.8000000000000001E-2</v>
      </c>
    </row>
    <row r="791" spans="1:7" x14ac:dyDescent="0.2">
      <c r="A791" s="1">
        <v>42738</v>
      </c>
      <c r="B791">
        <v>89.85</v>
      </c>
      <c r="C791">
        <v>91.05</v>
      </c>
      <c r="D791">
        <v>92</v>
      </c>
      <c r="E791">
        <v>89.59</v>
      </c>
      <c r="F791" t="s">
        <v>757</v>
      </c>
      <c r="G791" s="2">
        <v>-1.34E-2</v>
      </c>
    </row>
    <row r="792" spans="1:7" x14ac:dyDescent="0.2">
      <c r="A792" s="1">
        <v>42737</v>
      </c>
      <c r="B792">
        <v>91.07</v>
      </c>
      <c r="C792">
        <v>87.03</v>
      </c>
      <c r="D792">
        <v>91.8</v>
      </c>
      <c r="E792">
        <v>86.75</v>
      </c>
      <c r="F792" t="s">
        <v>758</v>
      </c>
      <c r="G792" s="2">
        <v>3.9600000000000003E-2</v>
      </c>
    </row>
    <row r="793" spans="1:7" x14ac:dyDescent="0.2">
      <c r="A793" s="1">
        <v>42736</v>
      </c>
      <c r="B793">
        <v>87.6</v>
      </c>
      <c r="C793">
        <v>83.88</v>
      </c>
      <c r="D793">
        <v>87.97</v>
      </c>
      <c r="E793">
        <v>83.24</v>
      </c>
      <c r="F793" t="s">
        <v>759</v>
      </c>
      <c r="G793" s="2">
        <v>4.19E-2</v>
      </c>
    </row>
    <row r="794" spans="1:7" x14ac:dyDescent="0.2">
      <c r="A794" s="1">
        <v>42381</v>
      </c>
      <c r="B794">
        <v>84.08</v>
      </c>
      <c r="C794">
        <v>82.21</v>
      </c>
      <c r="D794">
        <v>85.74</v>
      </c>
      <c r="E794">
        <v>81.180000000000007</v>
      </c>
      <c r="F794" t="s">
        <v>760</v>
      </c>
      <c r="G794" s="2">
        <v>1.9599999999999999E-2</v>
      </c>
    </row>
    <row r="795" spans="1:7" x14ac:dyDescent="0.2">
      <c r="A795" s="1">
        <v>42380</v>
      </c>
      <c r="B795">
        <v>82.46</v>
      </c>
      <c r="C795">
        <v>86.58</v>
      </c>
      <c r="D795">
        <v>87.69</v>
      </c>
      <c r="E795">
        <v>81.709999999999994</v>
      </c>
      <c r="F795" t="s">
        <v>761</v>
      </c>
      <c r="G795" s="2">
        <v>-0.05</v>
      </c>
    </row>
    <row r="796" spans="1:7" x14ac:dyDescent="0.2">
      <c r="A796" s="1">
        <v>42379</v>
      </c>
      <c r="B796">
        <v>86.8</v>
      </c>
      <c r="C796">
        <v>89.35</v>
      </c>
      <c r="D796">
        <v>90.33</v>
      </c>
      <c r="E796">
        <v>84.06</v>
      </c>
      <c r="F796" t="s">
        <v>762</v>
      </c>
      <c r="G796" s="2">
        <v>-3.2899999999999999E-2</v>
      </c>
    </row>
    <row r="797" spans="1:7" x14ac:dyDescent="0.2">
      <c r="A797" s="1">
        <v>42378</v>
      </c>
      <c r="B797">
        <v>89.75</v>
      </c>
      <c r="C797">
        <v>87.36</v>
      </c>
      <c r="D797">
        <v>90.22</v>
      </c>
      <c r="E797">
        <v>85.96</v>
      </c>
      <c r="F797" t="s">
        <v>763</v>
      </c>
      <c r="G797" s="2">
        <v>2.7900000000000001E-2</v>
      </c>
    </row>
    <row r="798" spans="1:7" x14ac:dyDescent="0.2">
      <c r="A798" s="1">
        <v>42377</v>
      </c>
      <c r="B798">
        <v>87.31</v>
      </c>
      <c r="C798">
        <v>85.44</v>
      </c>
      <c r="D798">
        <v>88.5</v>
      </c>
      <c r="E798">
        <v>85.13</v>
      </c>
      <c r="F798" t="s">
        <v>764</v>
      </c>
      <c r="G798" s="2">
        <v>2.01E-2</v>
      </c>
    </row>
    <row r="799" spans="1:7" x14ac:dyDescent="0.2">
      <c r="A799" s="1">
        <v>42376</v>
      </c>
      <c r="B799">
        <v>85.59</v>
      </c>
      <c r="C799">
        <v>84.52</v>
      </c>
      <c r="D799">
        <v>86.89</v>
      </c>
      <c r="E799">
        <v>84.32</v>
      </c>
      <c r="F799" t="s">
        <v>765</v>
      </c>
      <c r="G799" s="2">
        <v>1.09E-2</v>
      </c>
    </row>
    <row r="800" spans="1:7" x14ac:dyDescent="0.2">
      <c r="A800" s="1">
        <v>42375</v>
      </c>
      <c r="B800">
        <v>84.67</v>
      </c>
      <c r="C800">
        <v>80.95</v>
      </c>
      <c r="D800">
        <v>84.8</v>
      </c>
      <c r="E800">
        <v>80.86</v>
      </c>
      <c r="F800" t="s">
        <v>766</v>
      </c>
      <c r="G800" s="2">
        <v>4.48E-2</v>
      </c>
    </row>
    <row r="801" spans="1:7" x14ac:dyDescent="0.2">
      <c r="A801" s="1">
        <v>42374</v>
      </c>
      <c r="B801">
        <v>81.040000000000006</v>
      </c>
      <c r="C801">
        <v>80.02</v>
      </c>
      <c r="D801">
        <v>82.89</v>
      </c>
      <c r="E801">
        <v>79.41</v>
      </c>
      <c r="F801" t="s">
        <v>767</v>
      </c>
      <c r="G801" s="2">
        <v>1.15E-2</v>
      </c>
    </row>
    <row r="802" spans="1:7" x14ac:dyDescent="0.2">
      <c r="A802" s="1">
        <v>42373</v>
      </c>
      <c r="B802">
        <v>80.12</v>
      </c>
      <c r="C802">
        <v>82</v>
      </c>
      <c r="D802">
        <v>83.84</v>
      </c>
      <c r="E802">
        <v>79.099999999999994</v>
      </c>
      <c r="F802" t="s">
        <v>768</v>
      </c>
      <c r="G802" s="2">
        <v>-2.6599999999999999E-2</v>
      </c>
    </row>
    <row r="803" spans="1:7" x14ac:dyDescent="0.2">
      <c r="A803" s="1">
        <v>42372</v>
      </c>
      <c r="B803">
        <v>82.31</v>
      </c>
      <c r="C803">
        <v>80.540000000000006</v>
      </c>
      <c r="D803">
        <v>83.87</v>
      </c>
      <c r="E803">
        <v>80.48</v>
      </c>
      <c r="F803" t="s">
        <v>769</v>
      </c>
      <c r="G803" s="2">
        <v>2.52E-2</v>
      </c>
    </row>
    <row r="804" spans="1:7" x14ac:dyDescent="0.2">
      <c r="A804" s="1">
        <v>42371</v>
      </c>
      <c r="B804">
        <v>80.290000000000006</v>
      </c>
      <c r="C804">
        <v>81.209999999999994</v>
      </c>
      <c r="D804">
        <v>83</v>
      </c>
      <c r="E804">
        <v>79.63</v>
      </c>
      <c r="F804" t="s">
        <v>770</v>
      </c>
      <c r="G804" s="2">
        <v>-1.7100000000000001E-2</v>
      </c>
    </row>
    <row r="805" spans="1:7" x14ac:dyDescent="0.2">
      <c r="A805" s="1">
        <v>42370</v>
      </c>
      <c r="B805">
        <v>81.69</v>
      </c>
      <c r="C805">
        <v>78.36</v>
      </c>
      <c r="D805">
        <v>82</v>
      </c>
      <c r="E805">
        <v>74.459999999999994</v>
      </c>
      <c r="F805" t="s">
        <v>771</v>
      </c>
      <c r="G805" s="2">
        <v>2.87E-2</v>
      </c>
    </row>
    <row r="806" spans="1:7" x14ac:dyDescent="0.2">
      <c r="A806" s="1">
        <v>42016</v>
      </c>
      <c r="B806">
        <v>79.41</v>
      </c>
      <c r="C806">
        <v>74.87</v>
      </c>
      <c r="D806">
        <v>81.23</v>
      </c>
      <c r="E806">
        <v>74.87</v>
      </c>
      <c r="F806" t="s">
        <v>772</v>
      </c>
      <c r="G806" s="2">
        <v>6.1100000000000002E-2</v>
      </c>
    </row>
    <row r="807" spans="1:7" x14ac:dyDescent="0.2">
      <c r="A807" s="1">
        <v>42015</v>
      </c>
      <c r="B807">
        <v>74.84</v>
      </c>
      <c r="C807">
        <v>76.569999999999993</v>
      </c>
      <c r="D807">
        <v>77.42</v>
      </c>
      <c r="E807">
        <v>73.95</v>
      </c>
      <c r="F807" t="s">
        <v>773</v>
      </c>
      <c r="G807" s="2">
        <v>-2.0199999999999999E-2</v>
      </c>
    </row>
    <row r="808" spans="1:7" x14ac:dyDescent="0.2">
      <c r="A808" s="1">
        <v>42014</v>
      </c>
      <c r="B808">
        <v>76.38</v>
      </c>
      <c r="C808">
        <v>71.760000000000005</v>
      </c>
      <c r="D808">
        <v>78.45</v>
      </c>
      <c r="E808">
        <v>71.290000000000006</v>
      </c>
      <c r="F808" t="s">
        <v>774</v>
      </c>
      <c r="G808" s="2">
        <v>6.1699999999999998E-2</v>
      </c>
    </row>
    <row r="809" spans="1:7" x14ac:dyDescent="0.2">
      <c r="A809" s="1">
        <v>42013</v>
      </c>
      <c r="B809">
        <v>71.94</v>
      </c>
      <c r="C809">
        <v>69.37</v>
      </c>
      <c r="D809">
        <v>73.38</v>
      </c>
      <c r="E809">
        <v>67.33</v>
      </c>
      <c r="F809" t="s">
        <v>775</v>
      </c>
      <c r="G809" s="2">
        <v>1.7999999999999999E-2</v>
      </c>
    </row>
    <row r="810" spans="1:7" x14ac:dyDescent="0.2">
      <c r="A810" s="1">
        <v>42012</v>
      </c>
      <c r="B810">
        <v>70.67</v>
      </c>
      <c r="C810">
        <v>76.510000000000005</v>
      </c>
      <c r="D810">
        <v>77.09</v>
      </c>
      <c r="E810">
        <v>65.02</v>
      </c>
      <c r="F810" t="s">
        <v>776</v>
      </c>
      <c r="G810" s="2">
        <v>-7.8600000000000003E-2</v>
      </c>
    </row>
    <row r="811" spans="1:7" x14ac:dyDescent="0.2">
      <c r="A811" s="1">
        <v>42011</v>
      </c>
      <c r="B811">
        <v>76.7</v>
      </c>
      <c r="C811">
        <v>78.39</v>
      </c>
      <c r="D811">
        <v>82.55</v>
      </c>
      <c r="E811">
        <v>76.66</v>
      </c>
      <c r="F811" t="s">
        <v>777</v>
      </c>
      <c r="G811" s="2">
        <v>-1.9699999999999999E-2</v>
      </c>
    </row>
    <row r="812" spans="1:7" x14ac:dyDescent="0.2">
      <c r="A812" s="1">
        <v>42010</v>
      </c>
      <c r="B812">
        <v>78.239999999999995</v>
      </c>
      <c r="C812">
        <v>78.650000000000006</v>
      </c>
      <c r="D812">
        <v>81.22</v>
      </c>
      <c r="E812">
        <v>77.099999999999994</v>
      </c>
      <c r="F812" t="s">
        <v>778</v>
      </c>
      <c r="G812" s="2">
        <v>-1.9E-3</v>
      </c>
    </row>
    <row r="813" spans="1:7" x14ac:dyDescent="0.2">
      <c r="A813" s="1">
        <v>42009</v>
      </c>
      <c r="B813">
        <v>78.39</v>
      </c>
      <c r="C813">
        <v>79.760000000000005</v>
      </c>
      <c r="D813">
        <v>81.209999999999994</v>
      </c>
      <c r="E813">
        <v>78.19</v>
      </c>
      <c r="F813" t="s">
        <v>756</v>
      </c>
      <c r="G813" s="2">
        <v>-1.41E-2</v>
      </c>
    </row>
    <row r="814" spans="1:7" x14ac:dyDescent="0.2">
      <c r="A814" s="1">
        <v>42008</v>
      </c>
      <c r="B814">
        <v>79.510000000000005</v>
      </c>
      <c r="C814">
        <v>82.44</v>
      </c>
      <c r="D814">
        <v>84.2</v>
      </c>
      <c r="E814">
        <v>79.069999999999993</v>
      </c>
      <c r="F814" t="s">
        <v>779</v>
      </c>
      <c r="G814" s="2">
        <v>-2.9700000000000001E-2</v>
      </c>
    </row>
    <row r="815" spans="1:7" x14ac:dyDescent="0.2">
      <c r="A815" s="1">
        <v>42007</v>
      </c>
      <c r="B815">
        <v>81.94</v>
      </c>
      <c r="C815">
        <v>85.02</v>
      </c>
      <c r="D815">
        <v>85.44</v>
      </c>
      <c r="E815">
        <v>80.81</v>
      </c>
      <c r="F815" t="s">
        <v>780</v>
      </c>
      <c r="G815" s="2">
        <v>-3.7499999999999999E-2</v>
      </c>
    </row>
    <row r="816" spans="1:7" x14ac:dyDescent="0.2">
      <c r="A816" s="1">
        <v>42006</v>
      </c>
      <c r="B816">
        <v>85.13</v>
      </c>
      <c r="C816">
        <v>84.58</v>
      </c>
      <c r="D816">
        <v>86.78</v>
      </c>
      <c r="E816">
        <v>83.68</v>
      </c>
      <c r="F816" t="s">
        <v>781</v>
      </c>
      <c r="G816" s="2">
        <v>0.01</v>
      </c>
    </row>
    <row r="817" spans="1:7" x14ac:dyDescent="0.2">
      <c r="A817" s="1">
        <v>42005</v>
      </c>
      <c r="B817">
        <v>84.29</v>
      </c>
      <c r="C817">
        <v>90.84</v>
      </c>
      <c r="D817">
        <v>91.79</v>
      </c>
      <c r="E817">
        <v>84.25</v>
      </c>
      <c r="F817" t="s">
        <v>782</v>
      </c>
      <c r="G817" s="2">
        <v>-7.4700000000000003E-2</v>
      </c>
    </row>
    <row r="821" spans="1:7" x14ac:dyDescent="0.2">
      <c r="A821" s="104" t="s">
        <v>783</v>
      </c>
      <c r="B821" s="104"/>
      <c r="C821" s="104"/>
      <c r="D821" s="104"/>
      <c r="E821" s="104"/>
      <c r="F821" s="104"/>
      <c r="G821" s="104"/>
    </row>
    <row r="822" spans="1:7" x14ac:dyDescent="0.2">
      <c r="A822" t="s">
        <v>0</v>
      </c>
      <c r="B822" t="s">
        <v>1</v>
      </c>
      <c r="C822" t="s">
        <v>2</v>
      </c>
      <c r="D822" t="s">
        <v>3</v>
      </c>
      <c r="E822" t="s">
        <v>4</v>
      </c>
      <c r="F822" t="s">
        <v>5</v>
      </c>
      <c r="G822" t="s">
        <v>6</v>
      </c>
    </row>
    <row r="823" spans="1:7" x14ac:dyDescent="0.2">
      <c r="A823" s="1">
        <v>46023</v>
      </c>
      <c r="B823">
        <v>87.63</v>
      </c>
      <c r="C823">
        <v>87.4</v>
      </c>
      <c r="D823">
        <v>88.66</v>
      </c>
      <c r="E823">
        <v>86.55</v>
      </c>
      <c r="F823" t="s">
        <v>784</v>
      </c>
      <c r="G823" s="2">
        <v>5.4000000000000003E-3</v>
      </c>
    </row>
    <row r="824" spans="1:7" x14ac:dyDescent="0.2">
      <c r="A824" s="1">
        <v>45669</v>
      </c>
      <c r="B824">
        <v>87.16</v>
      </c>
      <c r="C824">
        <v>88.85</v>
      </c>
      <c r="D824">
        <v>89.15</v>
      </c>
      <c r="E824">
        <v>87.03</v>
      </c>
      <c r="F824" t="s">
        <v>785</v>
      </c>
      <c r="G824" s="2">
        <v>-3.3799999999999997E-2</v>
      </c>
    </row>
    <row r="825" spans="1:7" x14ac:dyDescent="0.2">
      <c r="A825" s="1">
        <v>45668</v>
      </c>
      <c r="B825">
        <v>90.21</v>
      </c>
      <c r="C825">
        <v>89.62</v>
      </c>
      <c r="D825">
        <v>90.64</v>
      </c>
      <c r="E825">
        <v>88.8</v>
      </c>
      <c r="F825" t="s">
        <v>786</v>
      </c>
      <c r="G825" s="2">
        <v>-8.9999999999999998E-4</v>
      </c>
    </row>
    <row r="826" spans="1:7" x14ac:dyDescent="0.2">
      <c r="A826" s="1">
        <v>45667</v>
      </c>
      <c r="B826">
        <v>90.29</v>
      </c>
      <c r="C826">
        <v>89.45</v>
      </c>
      <c r="D826">
        <v>92.18</v>
      </c>
      <c r="E826">
        <v>88.65</v>
      </c>
      <c r="F826" t="s">
        <v>787</v>
      </c>
      <c r="G826" s="2">
        <v>1.03E-2</v>
      </c>
    </row>
    <row r="827" spans="1:7" x14ac:dyDescent="0.2">
      <c r="A827" s="1">
        <v>45666</v>
      </c>
      <c r="B827">
        <v>89.37</v>
      </c>
      <c r="C827">
        <v>85.63</v>
      </c>
      <c r="D827">
        <v>91.04</v>
      </c>
      <c r="E827">
        <v>85.48</v>
      </c>
      <c r="F827" t="s">
        <v>788</v>
      </c>
      <c r="G827" s="2">
        <v>3.2000000000000001E-2</v>
      </c>
    </row>
    <row r="828" spans="1:7" x14ac:dyDescent="0.2">
      <c r="A828" s="1">
        <v>45665</v>
      </c>
      <c r="B828">
        <v>86.6</v>
      </c>
      <c r="C828">
        <v>87.56</v>
      </c>
      <c r="D828">
        <v>88.45</v>
      </c>
      <c r="E828">
        <v>85.99</v>
      </c>
      <c r="F828" t="s">
        <v>789</v>
      </c>
      <c r="G828" s="2">
        <v>-3.7000000000000002E-3</v>
      </c>
    </row>
    <row r="829" spans="1:7" x14ac:dyDescent="0.2">
      <c r="A829" s="1">
        <v>45664</v>
      </c>
      <c r="B829">
        <v>86.92</v>
      </c>
      <c r="C829">
        <v>88.13</v>
      </c>
      <c r="D829">
        <v>88.31</v>
      </c>
      <c r="E829">
        <v>84.19</v>
      </c>
      <c r="F829" t="s">
        <v>790</v>
      </c>
      <c r="G829" s="2">
        <v>-1.5100000000000001E-2</v>
      </c>
    </row>
    <row r="830" spans="1:7" x14ac:dyDescent="0.2">
      <c r="A830" s="1">
        <v>45663</v>
      </c>
      <c r="B830">
        <v>88.25</v>
      </c>
      <c r="C830">
        <v>85.29</v>
      </c>
      <c r="D830">
        <v>88.43</v>
      </c>
      <c r="E830">
        <v>84.79</v>
      </c>
      <c r="F830" t="s">
        <v>791</v>
      </c>
      <c r="G830" s="2">
        <v>2.2800000000000001E-2</v>
      </c>
    </row>
    <row r="831" spans="1:7" x14ac:dyDescent="0.2">
      <c r="A831" s="1">
        <v>45662</v>
      </c>
      <c r="B831">
        <v>86.28</v>
      </c>
      <c r="C831">
        <v>89.26</v>
      </c>
      <c r="D831">
        <v>89.28</v>
      </c>
      <c r="E831">
        <v>83.29</v>
      </c>
      <c r="F831" t="s">
        <v>792</v>
      </c>
      <c r="G831" s="2">
        <v>-3.5700000000000003E-2</v>
      </c>
    </row>
    <row r="832" spans="1:7" x14ac:dyDescent="0.2">
      <c r="A832" s="1">
        <v>45661</v>
      </c>
      <c r="B832">
        <v>89.47</v>
      </c>
      <c r="C832">
        <v>91.25</v>
      </c>
      <c r="D832">
        <v>94.09</v>
      </c>
      <c r="E832">
        <v>85</v>
      </c>
      <c r="F832" t="s">
        <v>793</v>
      </c>
      <c r="G832" s="2">
        <v>-1.7100000000000001E-2</v>
      </c>
    </row>
    <row r="833" spans="1:7" x14ac:dyDescent="0.2">
      <c r="A833" s="1">
        <v>45660</v>
      </c>
      <c r="B833">
        <v>91.03</v>
      </c>
      <c r="C833">
        <v>91.41</v>
      </c>
      <c r="D833">
        <v>92.79</v>
      </c>
      <c r="E833">
        <v>88.63</v>
      </c>
      <c r="F833" t="s">
        <v>794</v>
      </c>
      <c r="G833" s="2">
        <v>-1.5100000000000001E-2</v>
      </c>
    </row>
    <row r="834" spans="1:7" x14ac:dyDescent="0.2">
      <c r="A834" s="1">
        <v>45659</v>
      </c>
      <c r="B834">
        <v>92.43</v>
      </c>
      <c r="C834">
        <v>88.57</v>
      </c>
      <c r="D834">
        <v>92.47</v>
      </c>
      <c r="E834">
        <v>86.86</v>
      </c>
      <c r="F834" t="s">
        <v>795</v>
      </c>
      <c r="G834" s="2">
        <v>5.3199999999999997E-2</v>
      </c>
    </row>
    <row r="835" spans="1:7" x14ac:dyDescent="0.2">
      <c r="A835" s="1">
        <v>45658</v>
      </c>
      <c r="B835">
        <v>87.76</v>
      </c>
      <c r="C835">
        <v>87.8</v>
      </c>
      <c r="D835">
        <v>88.71</v>
      </c>
      <c r="E835">
        <v>84.89</v>
      </c>
      <c r="F835" t="s">
        <v>796</v>
      </c>
      <c r="G835" s="2">
        <v>4.8999999999999998E-3</v>
      </c>
    </row>
    <row r="836" spans="1:7" x14ac:dyDescent="0.2">
      <c r="A836" s="1">
        <v>45303</v>
      </c>
      <c r="B836">
        <v>87.33</v>
      </c>
      <c r="C836">
        <v>93.27</v>
      </c>
      <c r="D836">
        <v>94.85</v>
      </c>
      <c r="E836">
        <v>86.98</v>
      </c>
      <c r="F836" t="s">
        <v>797</v>
      </c>
      <c r="G836" s="2">
        <v>-7.0699999999999999E-2</v>
      </c>
    </row>
    <row r="837" spans="1:7" x14ac:dyDescent="0.2">
      <c r="A837" s="1">
        <v>45302</v>
      </c>
      <c r="B837">
        <v>93.97</v>
      </c>
      <c r="C837">
        <v>92.26</v>
      </c>
      <c r="D837">
        <v>93.99</v>
      </c>
      <c r="E837">
        <v>89.42</v>
      </c>
      <c r="F837" t="s">
        <v>798</v>
      </c>
      <c r="G837" s="2">
        <v>1.6400000000000001E-2</v>
      </c>
    </row>
    <row r="838" spans="1:7" x14ac:dyDescent="0.2">
      <c r="A838" s="1">
        <v>45301</v>
      </c>
      <c r="B838">
        <v>92.45</v>
      </c>
      <c r="C838">
        <v>98.8</v>
      </c>
      <c r="D838">
        <v>99.33</v>
      </c>
      <c r="E838">
        <v>90.98</v>
      </c>
      <c r="F838" t="s">
        <v>799</v>
      </c>
      <c r="G838" s="2">
        <v>-5.7599999999999998E-2</v>
      </c>
    </row>
    <row r="839" spans="1:7" x14ac:dyDescent="0.2">
      <c r="A839" s="1">
        <v>45300</v>
      </c>
      <c r="B839">
        <v>98.1</v>
      </c>
      <c r="C839">
        <v>97.56</v>
      </c>
      <c r="D839">
        <v>101.64</v>
      </c>
      <c r="E839">
        <v>97.42</v>
      </c>
      <c r="F839" t="s">
        <v>800</v>
      </c>
      <c r="G839" s="2">
        <v>1.67E-2</v>
      </c>
    </row>
    <row r="840" spans="1:7" x14ac:dyDescent="0.2">
      <c r="A840" s="1">
        <v>45299</v>
      </c>
      <c r="B840">
        <v>96.49</v>
      </c>
      <c r="C840">
        <v>95.14</v>
      </c>
      <c r="D840">
        <v>99.93</v>
      </c>
      <c r="E840">
        <v>94.84</v>
      </c>
      <c r="F840" t="s">
        <v>801</v>
      </c>
      <c r="G840" s="2">
        <v>1.77E-2</v>
      </c>
    </row>
    <row r="841" spans="1:7" x14ac:dyDescent="0.2">
      <c r="A841" s="1">
        <v>45298</v>
      </c>
      <c r="B841">
        <v>94.81</v>
      </c>
      <c r="C841">
        <v>90.42</v>
      </c>
      <c r="D841">
        <v>94.84</v>
      </c>
      <c r="E841">
        <v>89.82</v>
      </c>
      <c r="F841" t="s">
        <v>802</v>
      </c>
      <c r="G841" s="2">
        <v>3.3000000000000002E-2</v>
      </c>
    </row>
    <row r="842" spans="1:7" x14ac:dyDescent="0.2">
      <c r="A842" s="1">
        <v>45297</v>
      </c>
      <c r="B842">
        <v>91.78</v>
      </c>
      <c r="C842">
        <v>90.64</v>
      </c>
      <c r="D842">
        <v>94.84</v>
      </c>
      <c r="E842">
        <v>90.61</v>
      </c>
      <c r="F842" t="s">
        <v>803</v>
      </c>
      <c r="G842" s="2">
        <v>1.47E-2</v>
      </c>
    </row>
    <row r="843" spans="1:7" x14ac:dyDescent="0.2">
      <c r="A843" s="1">
        <v>45296</v>
      </c>
      <c r="B843">
        <v>90.45</v>
      </c>
      <c r="C843">
        <v>88.6</v>
      </c>
      <c r="D843">
        <v>92.42</v>
      </c>
      <c r="E843">
        <v>88.03</v>
      </c>
      <c r="F843" t="s">
        <v>804</v>
      </c>
      <c r="G843" s="2">
        <v>2.53E-2</v>
      </c>
    </row>
    <row r="844" spans="1:7" x14ac:dyDescent="0.2">
      <c r="A844" s="1">
        <v>45295</v>
      </c>
      <c r="B844">
        <v>88.22</v>
      </c>
      <c r="C844">
        <v>93.29</v>
      </c>
      <c r="D844">
        <v>93.3</v>
      </c>
      <c r="E844">
        <v>87.34</v>
      </c>
      <c r="F844" t="s">
        <v>805</v>
      </c>
      <c r="G844" s="2">
        <v>-6.7599999999999993E-2</v>
      </c>
    </row>
    <row r="845" spans="1:7" x14ac:dyDescent="0.2">
      <c r="A845" s="1">
        <v>45294</v>
      </c>
      <c r="B845">
        <v>94.62</v>
      </c>
      <c r="C845">
        <v>93.44</v>
      </c>
      <c r="D845">
        <v>96.4</v>
      </c>
      <c r="E845">
        <v>92.29</v>
      </c>
      <c r="F845" t="s">
        <v>806</v>
      </c>
      <c r="G845" s="2">
        <v>4.7000000000000002E-3</v>
      </c>
    </row>
    <row r="846" spans="1:7" x14ac:dyDescent="0.2">
      <c r="A846" s="1">
        <v>45293</v>
      </c>
      <c r="B846">
        <v>94.18</v>
      </c>
      <c r="C846">
        <v>97.42</v>
      </c>
      <c r="D846">
        <v>98.67</v>
      </c>
      <c r="E846">
        <v>92.01</v>
      </c>
      <c r="F846" t="s">
        <v>807</v>
      </c>
      <c r="G846" s="2">
        <v>-2.5700000000000001E-2</v>
      </c>
    </row>
    <row r="847" spans="1:7" x14ac:dyDescent="0.2">
      <c r="A847" s="1">
        <v>45292</v>
      </c>
      <c r="B847">
        <v>96.66</v>
      </c>
      <c r="C847">
        <v>98.23</v>
      </c>
      <c r="D847">
        <v>98.85</v>
      </c>
      <c r="E847">
        <v>93.1</v>
      </c>
      <c r="F847" t="s">
        <v>285</v>
      </c>
      <c r="G847" s="2">
        <v>-2.2499999999999999E-2</v>
      </c>
    </row>
    <row r="848" spans="1:7" x14ac:dyDescent="0.2">
      <c r="A848" s="1">
        <v>44938</v>
      </c>
      <c r="B848">
        <v>98.88</v>
      </c>
      <c r="C848">
        <v>91.31</v>
      </c>
      <c r="D848">
        <v>100.57</v>
      </c>
      <c r="E848">
        <v>91.13</v>
      </c>
      <c r="F848" t="s">
        <v>808</v>
      </c>
      <c r="G848" s="2">
        <v>7.9899999999999999E-2</v>
      </c>
    </row>
    <row r="849" spans="1:7" x14ac:dyDescent="0.2">
      <c r="A849" s="1">
        <v>44937</v>
      </c>
      <c r="B849">
        <v>91.56</v>
      </c>
      <c r="C849">
        <v>84.04</v>
      </c>
      <c r="D849">
        <v>92.69</v>
      </c>
      <c r="E849">
        <v>84.02</v>
      </c>
      <c r="F849" t="s">
        <v>288</v>
      </c>
      <c r="G849" s="2">
        <v>9.5500000000000002E-2</v>
      </c>
    </row>
    <row r="850" spans="1:7" x14ac:dyDescent="0.2">
      <c r="A850" s="1">
        <v>44936</v>
      </c>
      <c r="B850">
        <v>83.58</v>
      </c>
      <c r="C850">
        <v>87.82</v>
      </c>
      <c r="D850">
        <v>88.47</v>
      </c>
      <c r="E850">
        <v>82.42</v>
      </c>
      <c r="F850" t="s">
        <v>809</v>
      </c>
      <c r="G850" s="2">
        <v>-5.7599999999999998E-2</v>
      </c>
    </row>
    <row r="851" spans="1:7" x14ac:dyDescent="0.2">
      <c r="A851" s="1">
        <v>44935</v>
      </c>
      <c r="B851">
        <v>88.69</v>
      </c>
      <c r="C851">
        <v>95.8</v>
      </c>
      <c r="D851">
        <v>95.82</v>
      </c>
      <c r="E851">
        <v>87.1</v>
      </c>
      <c r="F851" t="s">
        <v>810</v>
      </c>
      <c r="G851" s="2">
        <v>-8.2299999999999998E-2</v>
      </c>
    </row>
    <row r="852" spans="1:7" x14ac:dyDescent="0.2">
      <c r="A852" s="1">
        <v>44934</v>
      </c>
      <c r="B852">
        <v>96.64</v>
      </c>
      <c r="C852">
        <v>98.84</v>
      </c>
      <c r="D852">
        <v>98.92</v>
      </c>
      <c r="E852">
        <v>92.23</v>
      </c>
      <c r="F852" t="s">
        <v>811</v>
      </c>
      <c r="G852" s="2">
        <v>-3.4099999999999998E-2</v>
      </c>
    </row>
    <row r="853" spans="1:7" x14ac:dyDescent="0.2">
      <c r="A853" s="1">
        <v>44933</v>
      </c>
      <c r="B853">
        <v>100.05</v>
      </c>
      <c r="C853">
        <v>102.84</v>
      </c>
      <c r="D853">
        <v>103.25</v>
      </c>
      <c r="E853">
        <v>98.85</v>
      </c>
      <c r="F853" t="s">
        <v>812</v>
      </c>
      <c r="G853" s="2">
        <v>-2.81E-2</v>
      </c>
    </row>
    <row r="854" spans="1:7" x14ac:dyDescent="0.2">
      <c r="A854" s="1">
        <v>44932</v>
      </c>
      <c r="B854">
        <v>102.94</v>
      </c>
      <c r="C854">
        <v>103.28</v>
      </c>
      <c r="D854">
        <v>103.95</v>
      </c>
      <c r="E854">
        <v>100.78</v>
      </c>
      <c r="F854" t="s">
        <v>813</v>
      </c>
      <c r="G854" s="2">
        <v>-5.0000000000000001E-4</v>
      </c>
    </row>
    <row r="855" spans="1:7" x14ac:dyDescent="0.2">
      <c r="A855" s="1">
        <v>44931</v>
      </c>
      <c r="B855">
        <v>102.99</v>
      </c>
      <c r="C855">
        <v>105.27</v>
      </c>
      <c r="D855">
        <v>106.6</v>
      </c>
      <c r="E855">
        <v>100</v>
      </c>
      <c r="F855" t="s">
        <v>814</v>
      </c>
      <c r="G855" s="2">
        <v>-3.2599999999999997E-2</v>
      </c>
    </row>
    <row r="856" spans="1:7" x14ac:dyDescent="0.2">
      <c r="A856" s="1">
        <v>44930</v>
      </c>
      <c r="B856">
        <v>106.46</v>
      </c>
      <c r="C856">
        <v>105.88</v>
      </c>
      <c r="D856">
        <v>108.87</v>
      </c>
      <c r="E856">
        <v>103.47</v>
      </c>
      <c r="F856" t="s">
        <v>815</v>
      </c>
      <c r="G856" s="2">
        <v>8.0000000000000004E-4</v>
      </c>
    </row>
    <row r="857" spans="1:7" x14ac:dyDescent="0.2">
      <c r="A857" s="1">
        <v>44929</v>
      </c>
      <c r="B857">
        <v>106.37</v>
      </c>
      <c r="C857">
        <v>100.82</v>
      </c>
      <c r="D857">
        <v>109.1</v>
      </c>
      <c r="E857">
        <v>98.88</v>
      </c>
      <c r="F857" t="s">
        <v>816</v>
      </c>
      <c r="G857" s="2">
        <v>4.58E-2</v>
      </c>
    </row>
    <row r="858" spans="1:7" x14ac:dyDescent="0.2">
      <c r="A858" s="1">
        <v>44928</v>
      </c>
      <c r="B858">
        <v>101.71</v>
      </c>
      <c r="C858">
        <v>107.55</v>
      </c>
      <c r="D858">
        <v>109.35</v>
      </c>
      <c r="E858">
        <v>100.28</v>
      </c>
      <c r="F858" t="s">
        <v>817</v>
      </c>
      <c r="G858" s="2">
        <v>-5.0900000000000001E-2</v>
      </c>
    </row>
    <row r="859" spans="1:7" x14ac:dyDescent="0.2">
      <c r="A859" s="1">
        <v>44927</v>
      </c>
      <c r="B859">
        <v>107.17</v>
      </c>
      <c r="C859">
        <v>102.2</v>
      </c>
      <c r="D859">
        <v>108.77</v>
      </c>
      <c r="E859">
        <v>100.84</v>
      </c>
      <c r="F859" t="s">
        <v>818</v>
      </c>
      <c r="G859" s="2">
        <v>7.6399999999999996E-2</v>
      </c>
    </row>
    <row r="860" spans="1:7" x14ac:dyDescent="0.2">
      <c r="A860" s="1">
        <v>44573</v>
      </c>
      <c r="B860">
        <v>99.56</v>
      </c>
      <c r="C860">
        <v>103.15</v>
      </c>
      <c r="D860">
        <v>109.68</v>
      </c>
      <c r="E860">
        <v>99.35</v>
      </c>
      <c r="F860" t="s">
        <v>819</v>
      </c>
      <c r="G860" s="2">
        <v>-3.09E-2</v>
      </c>
    </row>
    <row r="861" spans="1:7" x14ac:dyDescent="0.2">
      <c r="A861" s="1">
        <v>44572</v>
      </c>
      <c r="B861">
        <v>102.73</v>
      </c>
      <c r="C861">
        <v>97.38</v>
      </c>
      <c r="D861">
        <v>103.81</v>
      </c>
      <c r="E861">
        <v>93.24</v>
      </c>
      <c r="F861" t="s">
        <v>820</v>
      </c>
      <c r="G861" s="2">
        <v>6.8900000000000003E-2</v>
      </c>
    </row>
    <row r="862" spans="1:7" x14ac:dyDescent="0.2">
      <c r="A862" s="1">
        <v>44571</v>
      </c>
      <c r="B862">
        <v>96.11</v>
      </c>
      <c r="C862">
        <v>103.85</v>
      </c>
      <c r="D862">
        <v>104.68</v>
      </c>
      <c r="E862">
        <v>91.85</v>
      </c>
      <c r="F862" t="s">
        <v>821</v>
      </c>
      <c r="G862" s="2">
        <v>-6.1899999999999997E-2</v>
      </c>
    </row>
    <row r="863" spans="1:7" x14ac:dyDescent="0.2">
      <c r="A863" s="1">
        <v>44570</v>
      </c>
      <c r="B863">
        <v>102.45</v>
      </c>
      <c r="C863">
        <v>109.87</v>
      </c>
      <c r="D863">
        <v>110.56</v>
      </c>
      <c r="E863">
        <v>100.9</v>
      </c>
      <c r="F863" t="s">
        <v>822</v>
      </c>
      <c r="G863" s="2">
        <v>-8.43E-2</v>
      </c>
    </row>
    <row r="864" spans="1:7" x14ac:dyDescent="0.2">
      <c r="A864" s="1">
        <v>44569</v>
      </c>
      <c r="B864">
        <v>111.88</v>
      </c>
      <c r="C864">
        <v>118.25</v>
      </c>
      <c r="D864">
        <v>120.69</v>
      </c>
      <c r="E864">
        <v>110.86</v>
      </c>
      <c r="F864" t="s">
        <v>823</v>
      </c>
      <c r="G864" s="2">
        <v>-4.7300000000000002E-2</v>
      </c>
    </row>
    <row r="865" spans="1:7" x14ac:dyDescent="0.2">
      <c r="A865" s="1">
        <v>44568</v>
      </c>
      <c r="B865">
        <v>117.43</v>
      </c>
      <c r="C865">
        <v>115.9</v>
      </c>
      <c r="D865">
        <v>119.31</v>
      </c>
      <c r="E865">
        <v>112.05</v>
      </c>
      <c r="F865" t="s">
        <v>824</v>
      </c>
      <c r="G865" s="2">
        <v>2.23E-2</v>
      </c>
    </row>
    <row r="866" spans="1:7" x14ac:dyDescent="0.2">
      <c r="A866" s="1">
        <v>44567</v>
      </c>
      <c r="B866">
        <v>114.87</v>
      </c>
      <c r="C866">
        <v>117.03</v>
      </c>
      <c r="D866">
        <v>117.34</v>
      </c>
      <c r="E866">
        <v>108.11</v>
      </c>
      <c r="F866" t="s">
        <v>825</v>
      </c>
      <c r="G866" s="2">
        <v>-1.4500000000000001E-2</v>
      </c>
    </row>
    <row r="867" spans="1:7" x14ac:dyDescent="0.2">
      <c r="A867" s="1">
        <v>44566</v>
      </c>
      <c r="B867">
        <v>116.56</v>
      </c>
      <c r="C867">
        <v>117.86</v>
      </c>
      <c r="D867">
        <v>119.74</v>
      </c>
      <c r="E867">
        <v>112.62</v>
      </c>
      <c r="F867" t="s">
        <v>826</v>
      </c>
      <c r="G867" s="2">
        <v>-2.4199999999999999E-2</v>
      </c>
    </row>
    <row r="868" spans="1:7" x14ac:dyDescent="0.2">
      <c r="A868" s="1">
        <v>44565</v>
      </c>
      <c r="B868">
        <v>119.45</v>
      </c>
      <c r="C868">
        <v>130.01</v>
      </c>
      <c r="D868">
        <v>132.96</v>
      </c>
      <c r="E868">
        <v>118.67</v>
      </c>
      <c r="F868" t="s">
        <v>827</v>
      </c>
      <c r="G868" s="2">
        <v>-9.5600000000000004E-2</v>
      </c>
    </row>
    <row r="869" spans="1:7" x14ac:dyDescent="0.2">
      <c r="A869" s="1">
        <v>44564</v>
      </c>
      <c r="B869">
        <v>132.08000000000001</v>
      </c>
      <c r="C869">
        <v>140.36000000000001</v>
      </c>
      <c r="D869">
        <v>142.33000000000001</v>
      </c>
      <c r="E869">
        <v>127.65</v>
      </c>
      <c r="F869" t="s">
        <v>828</v>
      </c>
      <c r="G869" s="2">
        <v>-5.57E-2</v>
      </c>
    </row>
    <row r="870" spans="1:7" x14ac:dyDescent="0.2">
      <c r="A870" s="1">
        <v>44563</v>
      </c>
      <c r="B870">
        <v>139.87</v>
      </c>
      <c r="C870">
        <v>142.28</v>
      </c>
      <c r="D870">
        <v>143.57</v>
      </c>
      <c r="E870">
        <v>134.51</v>
      </c>
      <c r="F870" t="s">
        <v>829</v>
      </c>
      <c r="G870" s="2">
        <v>-1.77E-2</v>
      </c>
    </row>
    <row r="871" spans="1:7" x14ac:dyDescent="0.2">
      <c r="A871" s="1">
        <v>44562</v>
      </c>
      <c r="B871">
        <v>142.38999999999999</v>
      </c>
      <c r="C871">
        <v>146.41</v>
      </c>
      <c r="D871">
        <v>146.94</v>
      </c>
      <c r="E871">
        <v>140.02000000000001</v>
      </c>
      <c r="F871" t="s">
        <v>830</v>
      </c>
      <c r="G871" s="2">
        <v>-3.9100000000000003E-2</v>
      </c>
    </row>
    <row r="872" spans="1:7" x14ac:dyDescent="0.2">
      <c r="A872" s="1">
        <v>44208</v>
      </c>
      <c r="B872">
        <v>148.19</v>
      </c>
      <c r="C872">
        <v>150.49</v>
      </c>
      <c r="D872">
        <v>155.12</v>
      </c>
      <c r="E872">
        <v>146.41</v>
      </c>
      <c r="F872" t="s">
        <v>831</v>
      </c>
      <c r="G872" s="2">
        <v>-2.24E-2</v>
      </c>
    </row>
    <row r="873" spans="1:7" x14ac:dyDescent="0.2">
      <c r="A873" s="1">
        <v>44207</v>
      </c>
      <c r="B873">
        <v>151.59</v>
      </c>
      <c r="C873">
        <v>145.80000000000001</v>
      </c>
      <c r="D873">
        <v>152.07</v>
      </c>
      <c r="E873">
        <v>144.46</v>
      </c>
      <c r="F873" t="s">
        <v>832</v>
      </c>
      <c r="G873" s="2">
        <v>2.64E-2</v>
      </c>
    </row>
    <row r="874" spans="1:7" x14ac:dyDescent="0.2">
      <c r="A874" s="1">
        <v>44206</v>
      </c>
      <c r="B874">
        <v>147.69</v>
      </c>
      <c r="C874">
        <v>144.85</v>
      </c>
      <c r="D874">
        <v>148.33000000000001</v>
      </c>
      <c r="E874">
        <v>141.44999999999999</v>
      </c>
      <c r="F874" t="s">
        <v>833</v>
      </c>
      <c r="G874" s="2">
        <v>2.3400000000000001E-2</v>
      </c>
    </row>
    <row r="875" spans="1:7" x14ac:dyDescent="0.2">
      <c r="A875" s="1">
        <v>44205</v>
      </c>
      <c r="B875">
        <v>144.32</v>
      </c>
      <c r="C875">
        <v>149.27000000000001</v>
      </c>
      <c r="D875">
        <v>151.79</v>
      </c>
      <c r="E875">
        <v>143.63999999999999</v>
      </c>
      <c r="F875" t="s">
        <v>834</v>
      </c>
      <c r="G875" s="2">
        <v>-3.0300000000000001E-2</v>
      </c>
    </row>
    <row r="876" spans="1:7" x14ac:dyDescent="0.2">
      <c r="A876" s="1">
        <v>44204</v>
      </c>
      <c r="B876">
        <v>148.83000000000001</v>
      </c>
      <c r="C876">
        <v>149.44999999999999</v>
      </c>
      <c r="D876">
        <v>151.82</v>
      </c>
      <c r="E876">
        <v>145.43</v>
      </c>
      <c r="F876" t="s">
        <v>835</v>
      </c>
      <c r="G876" s="2">
        <v>-4.5999999999999999E-3</v>
      </c>
    </row>
    <row r="877" spans="1:7" x14ac:dyDescent="0.2">
      <c r="A877" s="1">
        <v>44203</v>
      </c>
      <c r="B877">
        <v>149.52000000000001</v>
      </c>
      <c r="C877">
        <v>143.97999999999999</v>
      </c>
      <c r="D877">
        <v>152.71</v>
      </c>
      <c r="E877">
        <v>143.53</v>
      </c>
      <c r="F877" t="s">
        <v>836</v>
      </c>
      <c r="G877" s="2">
        <v>3.5799999999999998E-2</v>
      </c>
    </row>
    <row r="878" spans="1:7" x14ac:dyDescent="0.2">
      <c r="A878" s="1">
        <v>44202</v>
      </c>
      <c r="B878">
        <v>144.35</v>
      </c>
      <c r="C878">
        <v>137.82</v>
      </c>
      <c r="D878">
        <v>146.04</v>
      </c>
      <c r="E878">
        <v>137.25</v>
      </c>
      <c r="F878" t="s">
        <v>837</v>
      </c>
      <c r="G878" s="2">
        <v>4.2700000000000002E-2</v>
      </c>
    </row>
    <row r="879" spans="1:7" x14ac:dyDescent="0.2">
      <c r="A879" s="1">
        <v>44201</v>
      </c>
      <c r="B879">
        <v>138.44</v>
      </c>
      <c r="C879">
        <v>138.69999999999999</v>
      </c>
      <c r="D879">
        <v>140.6</v>
      </c>
      <c r="E879">
        <v>135.36000000000001</v>
      </c>
      <c r="F879" t="s">
        <v>838</v>
      </c>
      <c r="G879" s="2">
        <v>-1.4E-3</v>
      </c>
    </row>
    <row r="880" spans="1:7" x14ac:dyDescent="0.2">
      <c r="A880" s="1">
        <v>44200</v>
      </c>
      <c r="B880">
        <v>138.63999999999999</v>
      </c>
      <c r="C880">
        <v>136.55000000000001</v>
      </c>
      <c r="D880">
        <v>140.97999999999999</v>
      </c>
      <c r="E880">
        <v>135.94</v>
      </c>
      <c r="F880" t="s">
        <v>839</v>
      </c>
      <c r="G880" s="2">
        <v>2.3599999999999999E-2</v>
      </c>
    </row>
    <row r="881" spans="1:7" x14ac:dyDescent="0.2">
      <c r="A881" s="1">
        <v>44199</v>
      </c>
      <c r="B881">
        <v>135.44999999999999</v>
      </c>
      <c r="C881">
        <v>140.66</v>
      </c>
      <c r="D881">
        <v>141.41</v>
      </c>
      <c r="E881">
        <v>133.19</v>
      </c>
      <c r="F881" t="s">
        <v>840</v>
      </c>
      <c r="G881" s="2">
        <v>-5.3600000000000002E-2</v>
      </c>
    </row>
    <row r="882" spans="1:7" x14ac:dyDescent="0.2">
      <c r="A882" s="1">
        <v>44198</v>
      </c>
      <c r="B882">
        <v>143.12</v>
      </c>
      <c r="C882">
        <v>151.66</v>
      </c>
      <c r="D882">
        <v>152.36000000000001</v>
      </c>
      <c r="E882">
        <v>136.61000000000001</v>
      </c>
      <c r="F882" t="s">
        <v>841</v>
      </c>
      <c r="G882" s="2">
        <v>-5.8400000000000001E-2</v>
      </c>
    </row>
    <row r="883" spans="1:7" x14ac:dyDescent="0.2">
      <c r="A883" s="1">
        <v>44197</v>
      </c>
      <c r="B883">
        <v>152</v>
      </c>
      <c r="C883">
        <v>156.66999999999999</v>
      </c>
      <c r="D883">
        <v>158.18</v>
      </c>
      <c r="E883">
        <v>149.93</v>
      </c>
      <c r="F883" t="s">
        <v>842</v>
      </c>
      <c r="G883" s="2">
        <v>-3.6299999999999999E-2</v>
      </c>
    </row>
    <row r="884" spans="1:7" x14ac:dyDescent="0.2">
      <c r="A884" s="1">
        <v>43842</v>
      </c>
      <c r="B884">
        <v>157.72999999999999</v>
      </c>
      <c r="C884">
        <v>158.55000000000001</v>
      </c>
      <c r="D884">
        <v>159.38999999999999</v>
      </c>
      <c r="E884">
        <v>154.77000000000001</v>
      </c>
      <c r="F884" t="s">
        <v>843</v>
      </c>
      <c r="G884" s="2">
        <v>-1.43E-2</v>
      </c>
    </row>
    <row r="885" spans="1:7" x14ac:dyDescent="0.2">
      <c r="A885" s="1">
        <v>43841</v>
      </c>
      <c r="B885">
        <v>160.02000000000001</v>
      </c>
      <c r="C885">
        <v>158.69999999999999</v>
      </c>
      <c r="D885">
        <v>162.16999999999999</v>
      </c>
      <c r="E885">
        <v>154.63</v>
      </c>
      <c r="F885" t="s">
        <v>844</v>
      </c>
      <c r="G885" s="2">
        <v>1.55E-2</v>
      </c>
    </row>
    <row r="886" spans="1:7" x14ac:dyDescent="0.2">
      <c r="A886" s="1">
        <v>43840</v>
      </c>
      <c r="B886">
        <v>157.57</v>
      </c>
      <c r="C886">
        <v>162.51</v>
      </c>
      <c r="D886">
        <v>163.74</v>
      </c>
      <c r="E886">
        <v>156.75</v>
      </c>
      <c r="F886" t="s">
        <v>845</v>
      </c>
      <c r="G886" s="2">
        <v>-3.49E-2</v>
      </c>
    </row>
    <row r="887" spans="1:7" x14ac:dyDescent="0.2">
      <c r="A887" s="1">
        <v>43839</v>
      </c>
      <c r="B887">
        <v>163.26</v>
      </c>
      <c r="C887">
        <v>161.76</v>
      </c>
      <c r="D887">
        <v>167.24</v>
      </c>
      <c r="E887">
        <v>161.18</v>
      </c>
      <c r="F887" t="s">
        <v>846</v>
      </c>
      <c r="G887" s="2">
        <v>6.6E-3</v>
      </c>
    </row>
    <row r="888" spans="1:7" x14ac:dyDescent="0.2">
      <c r="A888" s="1">
        <v>43838</v>
      </c>
      <c r="B888">
        <v>162.19</v>
      </c>
      <c r="C888">
        <v>169.24</v>
      </c>
      <c r="D888">
        <v>172.25</v>
      </c>
      <c r="E888">
        <v>160.63999999999999</v>
      </c>
      <c r="F888" t="s">
        <v>847</v>
      </c>
      <c r="G888" s="2">
        <v>-5.1499999999999997E-2</v>
      </c>
    </row>
    <row r="889" spans="1:7" x14ac:dyDescent="0.2">
      <c r="A889" s="1">
        <v>43837</v>
      </c>
      <c r="B889">
        <v>171</v>
      </c>
      <c r="C889">
        <v>162.81</v>
      </c>
      <c r="D889">
        <v>171.46</v>
      </c>
      <c r="E889">
        <v>161.75</v>
      </c>
      <c r="F889" t="s">
        <v>848</v>
      </c>
      <c r="G889" s="2">
        <v>4.3099999999999999E-2</v>
      </c>
    </row>
    <row r="890" spans="1:7" x14ac:dyDescent="0.2">
      <c r="A890" s="1">
        <v>43836</v>
      </c>
      <c r="B890">
        <v>163.93</v>
      </c>
      <c r="C890">
        <v>162.1</v>
      </c>
      <c r="D890">
        <v>165.32</v>
      </c>
      <c r="E890">
        <v>153.16</v>
      </c>
      <c r="F890" t="s">
        <v>449</v>
      </c>
      <c r="G890" s="2">
        <v>2.0999999999999999E-3</v>
      </c>
    </row>
    <row r="891" spans="1:7" x14ac:dyDescent="0.2">
      <c r="A891" s="1">
        <v>43835</v>
      </c>
      <c r="B891">
        <v>163.59</v>
      </c>
      <c r="C891">
        <v>167.5</v>
      </c>
      <c r="D891">
        <v>168.49</v>
      </c>
      <c r="E891">
        <v>161.66</v>
      </c>
      <c r="F891" t="s">
        <v>849</v>
      </c>
      <c r="G891" s="2">
        <v>-1.89E-2</v>
      </c>
    </row>
    <row r="892" spans="1:7" x14ac:dyDescent="0.2">
      <c r="A892" s="1">
        <v>43834</v>
      </c>
      <c r="B892">
        <v>166.74</v>
      </c>
      <c r="C892">
        <v>168.48</v>
      </c>
      <c r="D892">
        <v>172.15</v>
      </c>
      <c r="E892">
        <v>163.47999999999999</v>
      </c>
      <c r="F892" t="s">
        <v>850</v>
      </c>
      <c r="G892" s="2">
        <v>1.0699999999999999E-2</v>
      </c>
    </row>
    <row r="893" spans="1:7" x14ac:dyDescent="0.2">
      <c r="A893" s="1">
        <v>43833</v>
      </c>
      <c r="B893">
        <v>164.97</v>
      </c>
      <c r="C893">
        <v>155.30000000000001</v>
      </c>
      <c r="D893">
        <v>179.7</v>
      </c>
      <c r="E893">
        <v>139.01</v>
      </c>
      <c r="F893" t="s">
        <v>851</v>
      </c>
      <c r="G893" s="2">
        <v>6.2199999999999998E-2</v>
      </c>
    </row>
    <row r="894" spans="1:7" x14ac:dyDescent="0.2">
      <c r="A894" s="1">
        <v>43832</v>
      </c>
      <c r="B894">
        <v>155.31</v>
      </c>
      <c r="C894">
        <v>144.94999999999999</v>
      </c>
      <c r="D894">
        <v>155.97999999999999</v>
      </c>
      <c r="E894">
        <v>141.9</v>
      </c>
      <c r="F894" t="s">
        <v>852</v>
      </c>
      <c r="G894" s="2">
        <v>6.4500000000000002E-2</v>
      </c>
    </row>
    <row r="895" spans="1:7" x14ac:dyDescent="0.2">
      <c r="A895" s="1">
        <v>43831</v>
      </c>
      <c r="B895">
        <v>145.9</v>
      </c>
      <c r="C895">
        <v>136.79</v>
      </c>
      <c r="D895">
        <v>145.99</v>
      </c>
      <c r="E895">
        <v>135.9</v>
      </c>
      <c r="F895" t="s">
        <v>853</v>
      </c>
      <c r="G895" s="2">
        <v>7.6899999999999996E-2</v>
      </c>
    </row>
    <row r="896" spans="1:7" x14ac:dyDescent="0.2">
      <c r="A896" s="1">
        <v>43477</v>
      </c>
      <c r="B896">
        <v>135.47999999999999</v>
      </c>
      <c r="C896">
        <v>138.13999999999999</v>
      </c>
      <c r="D896">
        <v>141.77000000000001</v>
      </c>
      <c r="E896">
        <v>135.38</v>
      </c>
      <c r="F896" t="s">
        <v>854</v>
      </c>
      <c r="G896" s="2">
        <v>-3.5200000000000002E-2</v>
      </c>
    </row>
    <row r="897" spans="1:7" x14ac:dyDescent="0.2">
      <c r="A897" s="1">
        <v>43476</v>
      </c>
      <c r="B897">
        <v>140.41999999999999</v>
      </c>
      <c r="C897">
        <v>140.72999999999999</v>
      </c>
      <c r="D897">
        <v>141.31</v>
      </c>
      <c r="E897">
        <v>134.44999999999999</v>
      </c>
      <c r="F897" t="s">
        <v>855</v>
      </c>
      <c r="G897" s="2">
        <v>-5.7999999999999996E-3</v>
      </c>
    </row>
    <row r="898" spans="1:7" x14ac:dyDescent="0.2">
      <c r="A898" s="1">
        <v>43475</v>
      </c>
      <c r="B898">
        <v>141.24</v>
      </c>
      <c r="C898">
        <v>141.26</v>
      </c>
      <c r="D898">
        <v>146.03</v>
      </c>
      <c r="E898">
        <v>136.99</v>
      </c>
      <c r="F898" t="s">
        <v>856</v>
      </c>
      <c r="G898" s="2">
        <v>-1.29E-2</v>
      </c>
    </row>
    <row r="899" spans="1:7" x14ac:dyDescent="0.2">
      <c r="A899" s="1">
        <v>43474</v>
      </c>
      <c r="B899">
        <v>143.08000000000001</v>
      </c>
      <c r="C899">
        <v>147.09</v>
      </c>
      <c r="D899">
        <v>148.66999999999999</v>
      </c>
      <c r="E899">
        <v>136.54</v>
      </c>
      <c r="F899" t="s">
        <v>857</v>
      </c>
      <c r="G899" s="2">
        <v>-2.8500000000000001E-2</v>
      </c>
    </row>
    <row r="900" spans="1:7" x14ac:dyDescent="0.2">
      <c r="A900" s="1">
        <v>43473</v>
      </c>
      <c r="B900">
        <v>147.28</v>
      </c>
      <c r="C900">
        <v>133.38999999999999</v>
      </c>
      <c r="D900">
        <v>148.9</v>
      </c>
      <c r="E900">
        <v>133.26</v>
      </c>
      <c r="F900" t="s">
        <v>858</v>
      </c>
      <c r="G900" s="2">
        <v>0.10829999999999999</v>
      </c>
    </row>
    <row r="901" spans="1:7" x14ac:dyDescent="0.2">
      <c r="A901" s="1">
        <v>43472</v>
      </c>
      <c r="B901">
        <v>132.88999999999999</v>
      </c>
      <c r="C901">
        <v>132.57</v>
      </c>
      <c r="D901">
        <v>134.29</v>
      </c>
      <c r="E901">
        <v>129.68</v>
      </c>
      <c r="F901" t="s">
        <v>859</v>
      </c>
      <c r="G901" s="2">
        <v>5.9999999999999995E-4</v>
      </c>
    </row>
    <row r="902" spans="1:7" x14ac:dyDescent="0.2">
      <c r="A902" s="1">
        <v>43471</v>
      </c>
      <c r="B902">
        <v>132.81</v>
      </c>
      <c r="C902">
        <v>131.91</v>
      </c>
      <c r="D902">
        <v>133.51</v>
      </c>
      <c r="E902">
        <v>130.12</v>
      </c>
      <c r="F902" t="s">
        <v>860</v>
      </c>
      <c r="G902" s="2">
        <v>7.4000000000000003E-3</v>
      </c>
    </row>
    <row r="903" spans="1:7" x14ac:dyDescent="0.2">
      <c r="A903" s="1">
        <v>43470</v>
      </c>
      <c r="B903">
        <v>131.83000000000001</v>
      </c>
      <c r="C903">
        <v>123.69</v>
      </c>
      <c r="D903">
        <v>131.9</v>
      </c>
      <c r="E903">
        <v>123.04</v>
      </c>
      <c r="F903" t="s">
        <v>861</v>
      </c>
      <c r="G903" s="2">
        <v>6.6199999999999995E-2</v>
      </c>
    </row>
    <row r="904" spans="1:7" x14ac:dyDescent="0.2">
      <c r="A904" s="1">
        <v>43469</v>
      </c>
      <c r="B904">
        <v>123.65</v>
      </c>
      <c r="C904">
        <v>125.29</v>
      </c>
      <c r="D904">
        <v>125.36</v>
      </c>
      <c r="E904">
        <v>122.11</v>
      </c>
      <c r="F904" t="s">
        <v>862</v>
      </c>
      <c r="G904" s="2">
        <v>-2.2100000000000002E-2</v>
      </c>
    </row>
    <row r="905" spans="1:7" x14ac:dyDescent="0.2">
      <c r="A905" s="1">
        <v>43468</v>
      </c>
      <c r="B905">
        <v>126.44</v>
      </c>
      <c r="C905">
        <v>119.33</v>
      </c>
      <c r="D905">
        <v>126.69</v>
      </c>
      <c r="E905">
        <v>118.64</v>
      </c>
      <c r="F905" t="s">
        <v>863</v>
      </c>
      <c r="G905" s="2">
        <v>5.3499999999999999E-2</v>
      </c>
    </row>
    <row r="906" spans="1:7" x14ac:dyDescent="0.2">
      <c r="A906" s="1">
        <v>43467</v>
      </c>
      <c r="B906">
        <v>120.02</v>
      </c>
      <c r="C906">
        <v>121.48</v>
      </c>
      <c r="D906">
        <v>122.54</v>
      </c>
      <c r="E906">
        <v>119.71</v>
      </c>
      <c r="F906" t="s">
        <v>864</v>
      </c>
      <c r="G906" s="2">
        <v>-1.6E-2</v>
      </c>
    </row>
    <row r="907" spans="1:7" x14ac:dyDescent="0.2">
      <c r="A907" s="1">
        <v>43466</v>
      </c>
      <c r="B907">
        <v>121.97</v>
      </c>
      <c r="C907">
        <v>121.66</v>
      </c>
      <c r="D907">
        <v>123.86</v>
      </c>
      <c r="E907">
        <v>119.39</v>
      </c>
      <c r="F907" t="s">
        <v>865</v>
      </c>
      <c r="G907" s="2">
        <v>3.8E-3</v>
      </c>
    </row>
    <row r="908" spans="1:7" x14ac:dyDescent="0.2">
      <c r="A908" s="1">
        <v>43112</v>
      </c>
      <c r="B908">
        <v>121.51</v>
      </c>
      <c r="C908">
        <v>114.68</v>
      </c>
      <c r="D908">
        <v>122.03</v>
      </c>
      <c r="E908">
        <v>114.66</v>
      </c>
      <c r="F908" t="s">
        <v>866</v>
      </c>
      <c r="G908" s="2">
        <v>5.3600000000000002E-2</v>
      </c>
    </row>
    <row r="909" spans="1:7" x14ac:dyDescent="0.2">
      <c r="A909" s="1">
        <v>43111</v>
      </c>
      <c r="B909">
        <v>115.33</v>
      </c>
      <c r="C909">
        <v>112.85</v>
      </c>
      <c r="D909">
        <v>115.76</v>
      </c>
      <c r="E909">
        <v>111.9</v>
      </c>
      <c r="F909" t="s">
        <v>867</v>
      </c>
      <c r="G909" s="2">
        <v>1.54E-2</v>
      </c>
    </row>
    <row r="910" spans="1:7" x14ac:dyDescent="0.2">
      <c r="A910" s="1">
        <v>43110</v>
      </c>
      <c r="B910">
        <v>113.58</v>
      </c>
      <c r="C910">
        <v>116.66</v>
      </c>
      <c r="D910">
        <v>117.13</v>
      </c>
      <c r="E910">
        <v>112.62</v>
      </c>
      <c r="F910" t="s">
        <v>868</v>
      </c>
      <c r="G910" s="2">
        <v>-3.15E-2</v>
      </c>
    </row>
    <row r="911" spans="1:7" x14ac:dyDescent="0.2">
      <c r="A911" s="1">
        <v>43109</v>
      </c>
      <c r="B911">
        <v>117.27</v>
      </c>
      <c r="C911">
        <v>119.96</v>
      </c>
      <c r="D911">
        <v>120.4</v>
      </c>
      <c r="E911">
        <v>116.19</v>
      </c>
      <c r="F911" t="s">
        <v>869</v>
      </c>
      <c r="G911" s="2">
        <v>-3.0800000000000001E-2</v>
      </c>
    </row>
    <row r="912" spans="1:7" x14ac:dyDescent="0.2">
      <c r="A912" s="1">
        <v>43108</v>
      </c>
      <c r="B912">
        <v>121</v>
      </c>
      <c r="C912">
        <v>118.29</v>
      </c>
      <c r="D912">
        <v>122.33</v>
      </c>
      <c r="E912">
        <v>118.07</v>
      </c>
      <c r="F912" t="s">
        <v>870</v>
      </c>
      <c r="G912" s="2">
        <v>1.0800000000000001E-2</v>
      </c>
    </row>
    <row r="913" spans="1:7" x14ac:dyDescent="0.2">
      <c r="A913" s="1">
        <v>43107</v>
      </c>
      <c r="B913">
        <v>119.7</v>
      </c>
      <c r="C913">
        <v>121.74</v>
      </c>
      <c r="D913">
        <v>122.92</v>
      </c>
      <c r="E913">
        <v>118.97</v>
      </c>
      <c r="F913" t="s">
        <v>871</v>
      </c>
      <c r="G913" s="2">
        <v>-1.66E-2</v>
      </c>
    </row>
    <row r="914" spans="1:7" x14ac:dyDescent="0.2">
      <c r="A914" s="1">
        <v>43106</v>
      </c>
      <c r="B914">
        <v>121.72</v>
      </c>
      <c r="C914">
        <v>120.17</v>
      </c>
      <c r="D914">
        <v>122.5</v>
      </c>
      <c r="E914">
        <v>118.42</v>
      </c>
      <c r="F914" t="s">
        <v>872</v>
      </c>
      <c r="G914" s="2">
        <v>4.1000000000000003E-3</v>
      </c>
    </row>
    <row r="915" spans="1:7" x14ac:dyDescent="0.2">
      <c r="A915" s="1">
        <v>43105</v>
      </c>
      <c r="B915">
        <v>121.22</v>
      </c>
      <c r="C915">
        <v>118.77</v>
      </c>
      <c r="D915">
        <v>122.52</v>
      </c>
      <c r="E915">
        <v>116.09</v>
      </c>
      <c r="F915" t="s">
        <v>873</v>
      </c>
      <c r="G915" s="2">
        <v>1.78E-2</v>
      </c>
    </row>
    <row r="916" spans="1:7" x14ac:dyDescent="0.2">
      <c r="A916" s="1">
        <v>43104</v>
      </c>
      <c r="B916">
        <v>119.1</v>
      </c>
      <c r="C916">
        <v>121.35</v>
      </c>
      <c r="D916">
        <v>122.36</v>
      </c>
      <c r="E916">
        <v>116.94</v>
      </c>
      <c r="F916" t="s">
        <v>874</v>
      </c>
      <c r="G916" s="2">
        <v>-2.3E-2</v>
      </c>
    </row>
    <row r="917" spans="1:7" x14ac:dyDescent="0.2">
      <c r="A917" s="1">
        <v>43103</v>
      </c>
      <c r="B917">
        <v>121.9</v>
      </c>
      <c r="C917">
        <v>118.43</v>
      </c>
      <c r="D917">
        <v>122.29</v>
      </c>
      <c r="E917">
        <v>117.59</v>
      </c>
      <c r="F917" t="s">
        <v>875</v>
      </c>
      <c r="G917" s="2">
        <v>2.6499999999999999E-2</v>
      </c>
    </row>
    <row r="918" spans="1:7" x14ac:dyDescent="0.2">
      <c r="A918" s="1">
        <v>43102</v>
      </c>
      <c r="B918">
        <v>118.75</v>
      </c>
      <c r="C918">
        <v>122.48</v>
      </c>
      <c r="D918">
        <v>122.53</v>
      </c>
      <c r="E918">
        <v>116.51</v>
      </c>
      <c r="F918" t="s">
        <v>876</v>
      </c>
      <c r="G918" s="2">
        <v>-3.2399999999999998E-2</v>
      </c>
    </row>
    <row r="919" spans="1:7" x14ac:dyDescent="0.2">
      <c r="A919" s="1">
        <v>43101</v>
      </c>
      <c r="B919">
        <v>122.73</v>
      </c>
      <c r="C919">
        <v>126.49</v>
      </c>
      <c r="D919">
        <v>126.51</v>
      </c>
      <c r="E919">
        <v>121.7</v>
      </c>
      <c r="F919" t="s">
        <v>877</v>
      </c>
      <c r="G919" s="2">
        <v>-3.2599999999999997E-2</v>
      </c>
    </row>
    <row r="920" spans="1:7" x14ac:dyDescent="0.2">
      <c r="A920" s="1">
        <v>42747</v>
      </c>
      <c r="B920">
        <v>126.86</v>
      </c>
      <c r="C920">
        <v>125.87</v>
      </c>
      <c r="D920">
        <v>128.59</v>
      </c>
      <c r="E920">
        <v>123.95</v>
      </c>
      <c r="F920" t="s">
        <v>878</v>
      </c>
      <c r="G920" s="2">
        <v>1.3899999999999999E-2</v>
      </c>
    </row>
    <row r="921" spans="1:7" x14ac:dyDescent="0.2">
      <c r="A921" s="1">
        <v>42746</v>
      </c>
      <c r="B921">
        <v>125.12</v>
      </c>
      <c r="C921">
        <v>124.35</v>
      </c>
      <c r="D921">
        <v>127.29</v>
      </c>
      <c r="E921">
        <v>123.96</v>
      </c>
      <c r="F921" t="s">
        <v>879</v>
      </c>
      <c r="G921" s="2">
        <v>5.3E-3</v>
      </c>
    </row>
    <row r="922" spans="1:7" x14ac:dyDescent="0.2">
      <c r="A922" s="1">
        <v>42745</v>
      </c>
      <c r="B922">
        <v>124.46</v>
      </c>
      <c r="C922">
        <v>124.81</v>
      </c>
      <c r="D922">
        <v>126.09</v>
      </c>
      <c r="E922">
        <v>122.42</v>
      </c>
      <c r="F922" t="s">
        <v>880</v>
      </c>
      <c r="G922" s="2">
        <v>-2.3999999999999998E-3</v>
      </c>
    </row>
    <row r="923" spans="1:7" x14ac:dyDescent="0.2">
      <c r="A923" s="1">
        <v>42744</v>
      </c>
      <c r="B923">
        <v>124.76</v>
      </c>
      <c r="C923">
        <v>127.31</v>
      </c>
      <c r="D923">
        <v>129.57</v>
      </c>
      <c r="E923">
        <v>123.97</v>
      </c>
      <c r="F923" t="s">
        <v>881</v>
      </c>
      <c r="G923" s="2">
        <v>-2.52E-2</v>
      </c>
    </row>
    <row r="924" spans="1:7" x14ac:dyDescent="0.2">
      <c r="A924" s="1">
        <v>42743</v>
      </c>
      <c r="B924">
        <v>127.99</v>
      </c>
      <c r="C924">
        <v>123.18</v>
      </c>
      <c r="D924">
        <v>128.52000000000001</v>
      </c>
      <c r="E924">
        <v>123.16</v>
      </c>
      <c r="F924" t="s">
        <v>882</v>
      </c>
      <c r="G924" s="2">
        <v>3.1800000000000002E-2</v>
      </c>
    </row>
    <row r="925" spans="1:7" x14ac:dyDescent="0.2">
      <c r="A925" s="1">
        <v>42742</v>
      </c>
      <c r="B925">
        <v>124.04</v>
      </c>
      <c r="C925">
        <v>125</v>
      </c>
      <c r="D925">
        <v>126.03</v>
      </c>
      <c r="E925">
        <v>122.58</v>
      </c>
      <c r="F925" t="s">
        <v>883</v>
      </c>
      <c r="G925" s="2">
        <v>-8.6E-3</v>
      </c>
    </row>
    <row r="926" spans="1:7" x14ac:dyDescent="0.2">
      <c r="A926" s="1">
        <v>42741</v>
      </c>
      <c r="B926">
        <v>125.12</v>
      </c>
      <c r="C926">
        <v>123.7</v>
      </c>
      <c r="D926">
        <v>128.57</v>
      </c>
      <c r="E926">
        <v>123.66</v>
      </c>
      <c r="F926" t="s">
        <v>884</v>
      </c>
      <c r="G926" s="2">
        <v>5.7999999999999996E-3</v>
      </c>
    </row>
    <row r="927" spans="1:7" x14ac:dyDescent="0.2">
      <c r="A927" s="1">
        <v>42740</v>
      </c>
      <c r="B927">
        <v>124.4</v>
      </c>
      <c r="C927">
        <v>121.69</v>
      </c>
      <c r="D927">
        <v>124.64</v>
      </c>
      <c r="E927">
        <v>119.91</v>
      </c>
      <c r="F927" t="s">
        <v>885</v>
      </c>
      <c r="G927" s="2">
        <v>1.6799999999999999E-2</v>
      </c>
    </row>
    <row r="928" spans="1:7" x14ac:dyDescent="0.2">
      <c r="A928" s="1">
        <v>42739</v>
      </c>
      <c r="B928">
        <v>122.35</v>
      </c>
      <c r="C928">
        <v>120.45</v>
      </c>
      <c r="D928">
        <v>124.98</v>
      </c>
      <c r="E928">
        <v>120.36</v>
      </c>
      <c r="F928" t="s">
        <v>886</v>
      </c>
      <c r="G928" s="2">
        <v>1.3599999999999999E-2</v>
      </c>
    </row>
    <row r="929" spans="1:7" x14ac:dyDescent="0.2">
      <c r="A929" s="1">
        <v>42738</v>
      </c>
      <c r="B929">
        <v>120.71</v>
      </c>
      <c r="C929">
        <v>119.44</v>
      </c>
      <c r="D929">
        <v>121.97</v>
      </c>
      <c r="E929">
        <v>116.49</v>
      </c>
      <c r="F929" t="s">
        <v>887</v>
      </c>
      <c r="G929" s="2">
        <v>-8.5000000000000006E-3</v>
      </c>
    </row>
    <row r="930" spans="1:7" x14ac:dyDescent="0.2">
      <c r="A930" s="1">
        <v>42737</v>
      </c>
      <c r="B930">
        <v>121.74</v>
      </c>
      <c r="C930">
        <v>119.1</v>
      </c>
      <c r="D930">
        <v>122.27</v>
      </c>
      <c r="E930">
        <v>118.47</v>
      </c>
      <c r="F930" t="s">
        <v>888</v>
      </c>
      <c r="G930" s="2">
        <v>1.37E-2</v>
      </c>
    </row>
    <row r="931" spans="1:7" x14ac:dyDescent="0.2">
      <c r="A931" s="1">
        <v>42736</v>
      </c>
      <c r="B931">
        <v>120.1</v>
      </c>
      <c r="C931">
        <v>118.41</v>
      </c>
      <c r="D931">
        <v>123.14</v>
      </c>
      <c r="E931">
        <v>118.18</v>
      </c>
      <c r="F931" t="s">
        <v>889</v>
      </c>
      <c r="G931" s="2">
        <v>8.0999999999999996E-3</v>
      </c>
    </row>
    <row r="932" spans="1:7" x14ac:dyDescent="0.2">
      <c r="A932" s="1">
        <v>42381</v>
      </c>
      <c r="B932">
        <v>119.13</v>
      </c>
      <c r="C932">
        <v>118.51</v>
      </c>
      <c r="D932">
        <v>120.62</v>
      </c>
      <c r="E932">
        <v>116.8</v>
      </c>
      <c r="F932" t="s">
        <v>890</v>
      </c>
      <c r="G932" s="2">
        <v>-9.1999999999999998E-3</v>
      </c>
    </row>
    <row r="933" spans="1:7" x14ac:dyDescent="0.2">
      <c r="A933" s="1">
        <v>42380</v>
      </c>
      <c r="B933">
        <v>120.24</v>
      </c>
      <c r="C933">
        <v>130.16</v>
      </c>
      <c r="D933">
        <v>132.11000000000001</v>
      </c>
      <c r="E933">
        <v>119.25</v>
      </c>
      <c r="F933" t="s">
        <v>891</v>
      </c>
      <c r="G933" s="2">
        <v>-8.3900000000000002E-2</v>
      </c>
    </row>
    <row r="934" spans="1:7" x14ac:dyDescent="0.2">
      <c r="A934" s="1">
        <v>42379</v>
      </c>
      <c r="B934">
        <v>131.25</v>
      </c>
      <c r="C934">
        <v>137.68</v>
      </c>
      <c r="D934">
        <v>137.77000000000001</v>
      </c>
      <c r="E934">
        <v>130.06</v>
      </c>
      <c r="F934" t="s">
        <v>892</v>
      </c>
      <c r="G934" s="2">
        <v>-4.5499999999999999E-2</v>
      </c>
    </row>
    <row r="935" spans="1:7" x14ac:dyDescent="0.2">
      <c r="A935" s="1">
        <v>42378</v>
      </c>
      <c r="B935">
        <v>137.51</v>
      </c>
      <c r="C935">
        <v>138.62</v>
      </c>
      <c r="D935">
        <v>140.41999999999999</v>
      </c>
      <c r="E935">
        <v>133.03</v>
      </c>
      <c r="F935" t="s">
        <v>893</v>
      </c>
      <c r="G935" s="2">
        <v>-1.6899999999999998E-2</v>
      </c>
    </row>
    <row r="936" spans="1:7" x14ac:dyDescent="0.2">
      <c r="A936" s="1">
        <v>42377</v>
      </c>
      <c r="B936">
        <v>139.87</v>
      </c>
      <c r="C936">
        <v>139.78</v>
      </c>
      <c r="D936">
        <v>140.86000000000001</v>
      </c>
      <c r="E936">
        <v>137.32</v>
      </c>
      <c r="F936" t="s">
        <v>894</v>
      </c>
      <c r="G936" s="2">
        <v>-1.1900000000000001E-2</v>
      </c>
    </row>
    <row r="937" spans="1:7" x14ac:dyDescent="0.2">
      <c r="A937" s="1">
        <v>42376</v>
      </c>
      <c r="B937">
        <v>141.56</v>
      </c>
      <c r="C937">
        <v>140.81</v>
      </c>
      <c r="D937">
        <v>143.62</v>
      </c>
      <c r="E937">
        <v>136.99</v>
      </c>
      <c r="F937" t="s">
        <v>895</v>
      </c>
      <c r="G937" s="2">
        <v>1.9199999999999998E-2</v>
      </c>
    </row>
    <row r="938" spans="1:7" x14ac:dyDescent="0.2">
      <c r="A938" s="1">
        <v>42375</v>
      </c>
      <c r="B938">
        <v>138.9</v>
      </c>
      <c r="C938">
        <v>130.63</v>
      </c>
      <c r="D938">
        <v>140.13</v>
      </c>
      <c r="E938">
        <v>130.11000000000001</v>
      </c>
      <c r="F938" t="s">
        <v>896</v>
      </c>
      <c r="G938" s="2">
        <v>6.7100000000000007E-2</v>
      </c>
    </row>
    <row r="939" spans="1:7" x14ac:dyDescent="0.2">
      <c r="A939" s="1">
        <v>42374</v>
      </c>
      <c r="B939">
        <v>130.16</v>
      </c>
      <c r="C939">
        <v>128.66</v>
      </c>
      <c r="D939">
        <v>132.32</v>
      </c>
      <c r="E939">
        <v>127.8</v>
      </c>
      <c r="F939" t="s">
        <v>897</v>
      </c>
      <c r="G939" s="2">
        <v>6.0000000000000001E-3</v>
      </c>
    </row>
    <row r="940" spans="1:7" x14ac:dyDescent="0.2">
      <c r="A940" s="1">
        <v>42373</v>
      </c>
      <c r="B940">
        <v>129.38</v>
      </c>
      <c r="C940">
        <v>130.97999999999999</v>
      </c>
      <c r="D940">
        <v>132.99</v>
      </c>
      <c r="E940">
        <v>127.12</v>
      </c>
      <c r="F940" t="s">
        <v>898</v>
      </c>
      <c r="G940" s="2">
        <v>-9.4000000000000004E-3</v>
      </c>
    </row>
    <row r="941" spans="1:7" x14ac:dyDescent="0.2">
      <c r="A941" s="1">
        <v>42372</v>
      </c>
      <c r="B941">
        <v>130.61000000000001</v>
      </c>
      <c r="C941">
        <v>130.82</v>
      </c>
      <c r="D941">
        <v>131.09</v>
      </c>
      <c r="E941">
        <v>127.21</v>
      </c>
      <c r="F941" t="s">
        <v>899</v>
      </c>
      <c r="G941" s="2">
        <v>-2.8E-3</v>
      </c>
    </row>
    <row r="942" spans="1:7" x14ac:dyDescent="0.2">
      <c r="A942" s="1">
        <v>42371</v>
      </c>
      <c r="B942">
        <v>130.97999999999999</v>
      </c>
      <c r="C942">
        <v>126.79</v>
      </c>
      <c r="D942">
        <v>135.25</v>
      </c>
      <c r="E942">
        <v>126.29</v>
      </c>
      <c r="F942" t="s">
        <v>900</v>
      </c>
      <c r="G942" s="2">
        <v>2.8899999999999999E-2</v>
      </c>
    </row>
    <row r="943" spans="1:7" x14ac:dyDescent="0.2">
      <c r="A943" s="1">
        <v>42370</v>
      </c>
      <c r="B943">
        <v>127.3</v>
      </c>
      <c r="C943">
        <v>121.93</v>
      </c>
      <c r="D943">
        <v>127.92</v>
      </c>
      <c r="E943">
        <v>120.66</v>
      </c>
      <c r="F943" t="s">
        <v>901</v>
      </c>
      <c r="G943" s="2">
        <v>5.57E-2</v>
      </c>
    </row>
    <row r="944" spans="1:7" x14ac:dyDescent="0.2">
      <c r="A944" s="1">
        <v>42016</v>
      </c>
      <c r="B944">
        <v>120.58</v>
      </c>
      <c r="C944">
        <v>121.26</v>
      </c>
      <c r="D944">
        <v>124.1</v>
      </c>
      <c r="E944">
        <v>118.99</v>
      </c>
      <c r="F944" t="s">
        <v>902</v>
      </c>
      <c r="G944" s="2">
        <v>-7.1999999999999998E-3</v>
      </c>
    </row>
    <row r="945" spans="1:7" x14ac:dyDescent="0.2">
      <c r="A945" s="1">
        <v>42015</v>
      </c>
      <c r="B945">
        <v>121.45</v>
      </c>
      <c r="C945">
        <v>121.78</v>
      </c>
      <c r="D945">
        <v>122.18</v>
      </c>
      <c r="E945">
        <v>118</v>
      </c>
      <c r="F945" t="s">
        <v>903</v>
      </c>
      <c r="G945" s="2">
        <v>-1.0800000000000001E-2</v>
      </c>
    </row>
    <row r="946" spans="1:7" x14ac:dyDescent="0.2">
      <c r="A946" s="1">
        <v>42014</v>
      </c>
      <c r="B946">
        <v>122.78</v>
      </c>
      <c r="C946">
        <v>124.08</v>
      </c>
      <c r="D946">
        <v>126.21</v>
      </c>
      <c r="E946">
        <v>121.66</v>
      </c>
      <c r="F946" t="s">
        <v>904</v>
      </c>
      <c r="G946" s="2">
        <v>-6.1999999999999998E-3</v>
      </c>
    </row>
    <row r="947" spans="1:7" x14ac:dyDescent="0.2">
      <c r="A947" s="1">
        <v>42013</v>
      </c>
      <c r="B947">
        <v>123.54</v>
      </c>
      <c r="C947">
        <v>121.64</v>
      </c>
      <c r="D947">
        <v>124.29</v>
      </c>
      <c r="E947">
        <v>118.55</v>
      </c>
      <c r="F947" t="s">
        <v>905</v>
      </c>
      <c r="G947" s="2">
        <v>1.7500000000000002E-2</v>
      </c>
    </row>
    <row r="948" spans="1:7" x14ac:dyDescent="0.2">
      <c r="A948" s="1">
        <v>42012</v>
      </c>
      <c r="B948">
        <v>121.42</v>
      </c>
      <c r="C948">
        <v>122.32</v>
      </c>
      <c r="D948">
        <v>128.91999999999999</v>
      </c>
      <c r="E948">
        <v>121.19</v>
      </c>
      <c r="F948" t="s">
        <v>906</v>
      </c>
      <c r="G948" s="2">
        <v>-9.1000000000000004E-3</v>
      </c>
    </row>
    <row r="949" spans="1:7" x14ac:dyDescent="0.2">
      <c r="A949" s="1">
        <v>42011</v>
      </c>
      <c r="B949">
        <v>122.53</v>
      </c>
      <c r="C949">
        <v>115.82</v>
      </c>
      <c r="D949">
        <v>122.9</v>
      </c>
      <c r="E949">
        <v>115.39</v>
      </c>
      <c r="F949" t="s">
        <v>907</v>
      </c>
      <c r="G949" s="2">
        <v>4.3200000000000002E-2</v>
      </c>
    </row>
    <row r="950" spans="1:7" x14ac:dyDescent="0.2">
      <c r="A950" s="1">
        <v>42010</v>
      </c>
      <c r="B950">
        <v>117.46</v>
      </c>
      <c r="C950">
        <v>122.11</v>
      </c>
      <c r="D950">
        <v>122.38</v>
      </c>
      <c r="E950">
        <v>114.88</v>
      </c>
      <c r="F950" t="s">
        <v>908</v>
      </c>
      <c r="G950" s="2">
        <v>-4.2799999999999998E-2</v>
      </c>
    </row>
    <row r="951" spans="1:7" x14ac:dyDescent="0.2">
      <c r="A951" s="1">
        <v>42009</v>
      </c>
      <c r="B951">
        <v>122.71</v>
      </c>
      <c r="C951">
        <v>124.73</v>
      </c>
      <c r="D951">
        <v>125.04</v>
      </c>
      <c r="E951">
        <v>118.13</v>
      </c>
      <c r="F951" t="s">
        <v>909</v>
      </c>
      <c r="G951" s="2">
        <v>-2.5700000000000001E-2</v>
      </c>
    </row>
    <row r="952" spans="1:7" x14ac:dyDescent="0.2">
      <c r="A952" s="1">
        <v>42008</v>
      </c>
      <c r="B952">
        <v>125.95</v>
      </c>
      <c r="C952">
        <v>131.33000000000001</v>
      </c>
      <c r="D952">
        <v>132.47999999999999</v>
      </c>
      <c r="E952">
        <v>124.51</v>
      </c>
      <c r="F952" t="s">
        <v>910</v>
      </c>
      <c r="G952" s="2">
        <v>-3.6299999999999999E-2</v>
      </c>
    </row>
    <row r="953" spans="1:7" x14ac:dyDescent="0.2">
      <c r="A953" s="1">
        <v>42007</v>
      </c>
      <c r="B953">
        <v>130.69</v>
      </c>
      <c r="C953">
        <v>129</v>
      </c>
      <c r="D953">
        <v>132.76</v>
      </c>
      <c r="E953">
        <v>122.97</v>
      </c>
      <c r="F953" t="s">
        <v>911</v>
      </c>
      <c r="G953" s="2">
        <v>8.9999999999999993E-3</v>
      </c>
    </row>
    <row r="954" spans="1:7" x14ac:dyDescent="0.2">
      <c r="A954" s="1">
        <v>42006</v>
      </c>
      <c r="B954">
        <v>129.53</v>
      </c>
      <c r="C954">
        <v>136.69999999999999</v>
      </c>
      <c r="D954">
        <v>137.91999999999999</v>
      </c>
      <c r="E954">
        <v>125.92</v>
      </c>
      <c r="F954" t="s">
        <v>912</v>
      </c>
      <c r="G954" s="2">
        <v>-6.3299999999999995E-2</v>
      </c>
    </row>
    <row r="955" spans="1:7" x14ac:dyDescent="0.2">
      <c r="A955" s="1">
        <v>42005</v>
      </c>
      <c r="B955">
        <v>138.28</v>
      </c>
      <c r="C955">
        <v>126.29</v>
      </c>
      <c r="D955">
        <v>138.5</v>
      </c>
      <c r="E955">
        <v>126.15</v>
      </c>
      <c r="F955" t="s">
        <v>913</v>
      </c>
      <c r="G955" s="2">
        <v>9.8199999999999996E-2</v>
      </c>
    </row>
    <row r="959" spans="1:7" x14ac:dyDescent="0.2">
      <c r="A959" s="104" t="s">
        <v>914</v>
      </c>
      <c r="B959" s="104"/>
      <c r="C959" s="104"/>
      <c r="D959" s="104"/>
      <c r="E959" s="104"/>
      <c r="F959" s="104"/>
      <c r="G959" s="104"/>
    </row>
    <row r="960" spans="1:7" x14ac:dyDescent="0.2">
      <c r="A960" t="s">
        <v>0</v>
      </c>
      <c r="B960" t="s">
        <v>1</v>
      </c>
      <c r="C960" t="s">
        <v>2</v>
      </c>
      <c r="D960" t="s">
        <v>3</v>
      </c>
      <c r="E960" t="s">
        <v>4</v>
      </c>
      <c r="F960" t="s">
        <v>5</v>
      </c>
      <c r="G960" t="s">
        <v>6</v>
      </c>
    </row>
    <row r="961" spans="1:7" x14ac:dyDescent="0.2">
      <c r="A961" s="1">
        <v>46023</v>
      </c>
      <c r="B961">
        <v>753.57</v>
      </c>
      <c r="C961">
        <v>761.76</v>
      </c>
      <c r="D961">
        <v>770.05</v>
      </c>
      <c r="E961">
        <v>737.51</v>
      </c>
      <c r="F961" t="s">
        <v>915</v>
      </c>
      <c r="G961" s="2">
        <v>-2.9999999999999997E-4</v>
      </c>
    </row>
    <row r="962" spans="1:7" x14ac:dyDescent="0.2">
      <c r="A962" s="1">
        <v>45669</v>
      </c>
      <c r="B962">
        <v>753.78</v>
      </c>
      <c r="C962">
        <v>744.91</v>
      </c>
      <c r="D962">
        <v>781.64</v>
      </c>
      <c r="E962">
        <v>730.18</v>
      </c>
      <c r="F962" t="s">
        <v>916</v>
      </c>
      <c r="G962" s="2">
        <v>2.0999999999999999E-3</v>
      </c>
    </row>
    <row r="963" spans="1:7" x14ac:dyDescent="0.2">
      <c r="A963" s="1">
        <v>45668</v>
      </c>
      <c r="B963">
        <v>752.2</v>
      </c>
      <c r="C963">
        <v>801.41</v>
      </c>
      <c r="D963">
        <v>802.25</v>
      </c>
      <c r="E963">
        <v>702.96</v>
      </c>
      <c r="F963" t="s">
        <v>917</v>
      </c>
      <c r="G963" s="2">
        <v>-5.1700000000000003E-2</v>
      </c>
    </row>
    <row r="964" spans="1:7" x14ac:dyDescent="0.2">
      <c r="A964" s="1">
        <v>45667</v>
      </c>
      <c r="B964">
        <v>793.21</v>
      </c>
      <c r="C964">
        <v>743.21</v>
      </c>
      <c r="D964">
        <v>806.99</v>
      </c>
      <c r="E964">
        <v>735.91</v>
      </c>
      <c r="F964" t="s">
        <v>918</v>
      </c>
      <c r="G964" s="2">
        <v>6.2399999999999997E-2</v>
      </c>
    </row>
    <row r="965" spans="1:7" x14ac:dyDescent="0.2">
      <c r="A965" s="1">
        <v>45666</v>
      </c>
      <c r="B965">
        <v>746.63</v>
      </c>
      <c r="C965">
        <v>683.61</v>
      </c>
      <c r="D965">
        <v>753.59</v>
      </c>
      <c r="E965">
        <v>680.1</v>
      </c>
      <c r="F965" t="s">
        <v>919</v>
      </c>
      <c r="G965" s="2">
        <v>7.1199999999999999E-2</v>
      </c>
    </row>
    <row r="966" spans="1:7" x14ac:dyDescent="0.2">
      <c r="A966" s="1">
        <v>45665</v>
      </c>
      <c r="B966">
        <v>697.02</v>
      </c>
      <c r="C966">
        <v>683.16</v>
      </c>
      <c r="D966">
        <v>710.88</v>
      </c>
      <c r="E966">
        <v>671.11</v>
      </c>
      <c r="F966" t="s">
        <v>920</v>
      </c>
      <c r="G966" s="2">
        <v>9.4999999999999998E-3</v>
      </c>
    </row>
    <row r="967" spans="1:7" x14ac:dyDescent="0.2">
      <c r="A967" s="1">
        <v>45664</v>
      </c>
      <c r="B967">
        <v>690.47</v>
      </c>
      <c r="C967">
        <v>660.86</v>
      </c>
      <c r="D967">
        <v>705.26</v>
      </c>
      <c r="E967">
        <v>651.75</v>
      </c>
      <c r="F967" t="s">
        <v>921</v>
      </c>
      <c r="G967" s="2">
        <v>4.1000000000000002E-2</v>
      </c>
    </row>
    <row r="968" spans="1:7" x14ac:dyDescent="0.2">
      <c r="A968" s="1">
        <v>45663</v>
      </c>
      <c r="B968">
        <v>663.28</v>
      </c>
      <c r="C968">
        <v>605</v>
      </c>
      <c r="D968">
        <v>664.76</v>
      </c>
      <c r="E968">
        <v>604.07000000000005</v>
      </c>
      <c r="F968" t="s">
        <v>922</v>
      </c>
      <c r="G968" s="2">
        <v>9.3899999999999997E-2</v>
      </c>
    </row>
    <row r="969" spans="1:7" x14ac:dyDescent="0.2">
      <c r="A969" s="1">
        <v>45662</v>
      </c>
      <c r="B969">
        <v>606.37</v>
      </c>
      <c r="C969">
        <v>562.75</v>
      </c>
      <c r="D969">
        <v>618.69000000000005</v>
      </c>
      <c r="E969">
        <v>553.87</v>
      </c>
      <c r="F969" t="s">
        <v>923</v>
      </c>
      <c r="G969" s="2">
        <v>0.1036</v>
      </c>
    </row>
    <row r="970" spans="1:7" x14ac:dyDescent="0.2">
      <c r="A970" s="1">
        <v>45661</v>
      </c>
      <c r="B970">
        <v>549.45000000000005</v>
      </c>
      <c r="C970">
        <v>540</v>
      </c>
      <c r="D970">
        <v>556.23</v>
      </c>
      <c r="E970">
        <v>451</v>
      </c>
      <c r="F970" t="s">
        <v>924</v>
      </c>
      <c r="G970" s="2">
        <v>1.2999999999999999E-2</v>
      </c>
    </row>
    <row r="971" spans="1:7" x14ac:dyDescent="0.2">
      <c r="A971" s="1">
        <v>45660</v>
      </c>
      <c r="B971">
        <v>542.38</v>
      </c>
      <c r="C971">
        <v>600.92999999999995</v>
      </c>
      <c r="D971">
        <v>601.99</v>
      </c>
      <c r="E971">
        <v>526.9</v>
      </c>
      <c r="F971" t="s">
        <v>925</v>
      </c>
      <c r="G971" s="2">
        <v>-9.3700000000000006E-2</v>
      </c>
    </row>
    <row r="972" spans="1:7" x14ac:dyDescent="0.2">
      <c r="A972" s="1">
        <v>45659</v>
      </c>
      <c r="B972">
        <v>598.48</v>
      </c>
      <c r="C972">
        <v>601.51</v>
      </c>
      <c r="D972">
        <v>646.27</v>
      </c>
      <c r="E972">
        <v>581.29</v>
      </c>
      <c r="F972" t="s">
        <v>926</v>
      </c>
      <c r="G972" s="2">
        <v>-2.9399999999999999E-2</v>
      </c>
    </row>
    <row r="973" spans="1:7" x14ac:dyDescent="0.2">
      <c r="A973" s="1">
        <v>45658</v>
      </c>
      <c r="B973">
        <v>616.61</v>
      </c>
      <c r="C973">
        <v>627</v>
      </c>
      <c r="D973">
        <v>648.76</v>
      </c>
      <c r="E973">
        <v>600.65</v>
      </c>
      <c r="F973" t="s">
        <v>927</v>
      </c>
      <c r="G973" s="2">
        <v>-8.3000000000000001E-3</v>
      </c>
    </row>
    <row r="974" spans="1:7" x14ac:dyDescent="0.2">
      <c r="A974" s="1">
        <v>45303</v>
      </c>
      <c r="B974">
        <v>621.79999999999995</v>
      </c>
      <c r="C974">
        <v>623.54</v>
      </c>
      <c r="D974">
        <v>648.66</v>
      </c>
      <c r="E974">
        <v>615.91</v>
      </c>
      <c r="F974" t="s">
        <v>928</v>
      </c>
      <c r="G974" s="2">
        <v>-6.9999999999999999E-4</v>
      </c>
    </row>
    <row r="975" spans="1:7" x14ac:dyDescent="0.2">
      <c r="A975" s="1">
        <v>45302</v>
      </c>
      <c r="B975">
        <v>622.25</v>
      </c>
      <c r="C975">
        <v>583.36</v>
      </c>
      <c r="D975">
        <v>627.57000000000005</v>
      </c>
      <c r="E975">
        <v>583</v>
      </c>
      <c r="F975" t="s">
        <v>929</v>
      </c>
      <c r="G975" s="2">
        <v>6.8599999999999994E-2</v>
      </c>
    </row>
    <row r="976" spans="1:7" x14ac:dyDescent="0.2">
      <c r="A976" s="1">
        <v>45301</v>
      </c>
      <c r="B976">
        <v>582.29999999999995</v>
      </c>
      <c r="C976">
        <v>585</v>
      </c>
      <c r="D976">
        <v>612.04999999999995</v>
      </c>
      <c r="E976">
        <v>568.03</v>
      </c>
      <c r="F976" t="s">
        <v>929</v>
      </c>
      <c r="G976" s="2">
        <v>-7.1999999999999998E-3</v>
      </c>
    </row>
    <row r="977" spans="1:7" x14ac:dyDescent="0.2">
      <c r="A977" s="1">
        <v>45300</v>
      </c>
      <c r="B977">
        <v>586.52</v>
      </c>
      <c r="C977">
        <v>569.15</v>
      </c>
      <c r="D977">
        <v>594.25</v>
      </c>
      <c r="E977">
        <v>530.87</v>
      </c>
      <c r="F977" t="s">
        <v>930</v>
      </c>
      <c r="G977" s="2">
        <v>2.1899999999999999E-2</v>
      </c>
    </row>
    <row r="978" spans="1:7" x14ac:dyDescent="0.2">
      <c r="A978" s="1">
        <v>45299</v>
      </c>
      <c r="B978">
        <v>573.97</v>
      </c>
      <c r="C978">
        <v>567.41999999999996</v>
      </c>
      <c r="D978">
        <v>586.16999999999996</v>
      </c>
      <c r="E978">
        <v>494.12</v>
      </c>
      <c r="F978" t="s">
        <v>931</v>
      </c>
      <c r="G978" s="2">
        <v>1.0500000000000001E-2</v>
      </c>
    </row>
    <row r="979" spans="1:7" x14ac:dyDescent="0.2">
      <c r="A979" s="1">
        <v>45298</v>
      </c>
      <c r="B979">
        <v>568.01</v>
      </c>
      <c r="C979">
        <v>578.03</v>
      </c>
      <c r="D979">
        <v>609.15</v>
      </c>
      <c r="E979">
        <v>544.21</v>
      </c>
      <c r="F979" t="s">
        <v>932</v>
      </c>
      <c r="G979" s="2">
        <v>-1.49E-2</v>
      </c>
    </row>
    <row r="980" spans="1:7" x14ac:dyDescent="0.2">
      <c r="A980" s="1">
        <v>45297</v>
      </c>
      <c r="B980">
        <v>576.59</v>
      </c>
      <c r="C980">
        <v>539.97</v>
      </c>
      <c r="D980">
        <v>593.1</v>
      </c>
      <c r="E980">
        <v>530.21</v>
      </c>
      <c r="F980" t="s">
        <v>933</v>
      </c>
      <c r="G980" s="2">
        <v>7.85E-2</v>
      </c>
    </row>
    <row r="981" spans="1:7" x14ac:dyDescent="0.2">
      <c r="A981" s="1">
        <v>45296</v>
      </c>
      <c r="B981">
        <v>534.61</v>
      </c>
      <c r="C981">
        <v>492.09</v>
      </c>
      <c r="D981">
        <v>551.82000000000005</v>
      </c>
      <c r="E981">
        <v>487.53</v>
      </c>
      <c r="F981" t="s">
        <v>934</v>
      </c>
      <c r="G981" s="2">
        <v>8.0600000000000005E-2</v>
      </c>
    </row>
    <row r="982" spans="1:7" x14ac:dyDescent="0.2">
      <c r="A982" s="1">
        <v>45295</v>
      </c>
      <c r="B982">
        <v>494.73</v>
      </c>
      <c r="C982">
        <v>525.01</v>
      </c>
      <c r="D982">
        <v>528.6</v>
      </c>
      <c r="E982">
        <v>478.25</v>
      </c>
      <c r="F982" t="s">
        <v>935</v>
      </c>
      <c r="G982" s="2">
        <v>-5.6500000000000002E-2</v>
      </c>
    </row>
    <row r="983" spans="1:7" x14ac:dyDescent="0.2">
      <c r="A983" s="1">
        <v>45294</v>
      </c>
      <c r="B983">
        <v>524.34</v>
      </c>
      <c r="C983">
        <v>519.24</v>
      </c>
      <c r="D983">
        <v>536.63</v>
      </c>
      <c r="E983">
        <v>511.23</v>
      </c>
      <c r="F983" t="s">
        <v>936</v>
      </c>
      <c r="G983" s="2">
        <v>1.2699999999999999E-2</v>
      </c>
    </row>
    <row r="984" spans="1:7" x14ac:dyDescent="0.2">
      <c r="A984" s="1">
        <v>45293</v>
      </c>
      <c r="B984">
        <v>517.79</v>
      </c>
      <c r="C984">
        <v>496.41</v>
      </c>
      <c r="D984">
        <v>523.63</v>
      </c>
      <c r="E984">
        <v>493.53</v>
      </c>
      <c r="F984" t="s">
        <v>937</v>
      </c>
      <c r="G984" s="2">
        <v>4.8300000000000003E-2</v>
      </c>
    </row>
    <row r="985" spans="1:7" x14ac:dyDescent="0.2">
      <c r="A985" s="1">
        <v>45292</v>
      </c>
      <c r="B985">
        <v>493.91</v>
      </c>
      <c r="C985">
        <v>477.67</v>
      </c>
      <c r="D985">
        <v>513.77</v>
      </c>
      <c r="E985">
        <v>460.48</v>
      </c>
      <c r="F985" t="s">
        <v>938</v>
      </c>
      <c r="G985" s="2">
        <v>2.0500000000000001E-2</v>
      </c>
    </row>
    <row r="986" spans="1:7" x14ac:dyDescent="0.2">
      <c r="A986" s="1">
        <v>44938</v>
      </c>
      <c r="B986">
        <v>484</v>
      </c>
      <c r="C986">
        <v>461.09</v>
      </c>
      <c r="D986">
        <v>487.84</v>
      </c>
      <c r="E986">
        <v>454.77</v>
      </c>
      <c r="F986" t="s">
        <v>939</v>
      </c>
      <c r="G986" s="2">
        <v>4.7600000000000003E-2</v>
      </c>
    </row>
    <row r="987" spans="1:7" x14ac:dyDescent="0.2">
      <c r="A987" s="1">
        <v>44937</v>
      </c>
      <c r="B987">
        <v>462.03</v>
      </c>
      <c r="C987">
        <v>408.43</v>
      </c>
      <c r="D987">
        <v>466.67</v>
      </c>
      <c r="E987">
        <v>408.43</v>
      </c>
      <c r="F987" t="s">
        <v>940</v>
      </c>
      <c r="G987" s="2">
        <v>0.13300000000000001</v>
      </c>
    </row>
    <row r="988" spans="1:7" x14ac:dyDescent="0.2">
      <c r="A988" s="1">
        <v>44936</v>
      </c>
      <c r="B988">
        <v>407.8</v>
      </c>
      <c r="C988">
        <v>415.21</v>
      </c>
      <c r="D988">
        <v>434.76</v>
      </c>
      <c r="E988">
        <v>397.76</v>
      </c>
      <c r="F988" t="s">
        <v>941</v>
      </c>
      <c r="G988" s="2">
        <v>-1.7100000000000001E-2</v>
      </c>
    </row>
    <row r="989" spans="1:7" x14ac:dyDescent="0.2">
      <c r="A989" s="1">
        <v>44935</v>
      </c>
      <c r="B989">
        <v>414.9</v>
      </c>
      <c r="C989">
        <v>447.79</v>
      </c>
      <c r="D989">
        <v>449.02</v>
      </c>
      <c r="E989">
        <v>406.01</v>
      </c>
      <c r="F989" t="s">
        <v>942</v>
      </c>
      <c r="G989" s="2">
        <v>-6.7400000000000002E-2</v>
      </c>
    </row>
    <row r="990" spans="1:7" x14ac:dyDescent="0.2">
      <c r="A990" s="1">
        <v>44934</v>
      </c>
      <c r="B990">
        <v>444.88</v>
      </c>
      <c r="C990">
        <v>452.88</v>
      </c>
      <c r="D990">
        <v>455.88</v>
      </c>
      <c r="E990">
        <v>412.33</v>
      </c>
      <c r="F990" t="s">
        <v>943</v>
      </c>
      <c r="G990" s="2">
        <v>-2.18E-2</v>
      </c>
    </row>
    <row r="991" spans="1:7" x14ac:dyDescent="0.2">
      <c r="A991" s="1">
        <v>44933</v>
      </c>
      <c r="B991">
        <v>454.81</v>
      </c>
      <c r="C991">
        <v>442.38</v>
      </c>
      <c r="D991">
        <v>462.97</v>
      </c>
      <c r="E991">
        <v>432</v>
      </c>
      <c r="F991" t="s">
        <v>944</v>
      </c>
      <c r="G991" s="2">
        <v>2.86E-2</v>
      </c>
    </row>
    <row r="992" spans="1:7" x14ac:dyDescent="0.2">
      <c r="A992" s="1">
        <v>44932</v>
      </c>
      <c r="B992">
        <v>442.16</v>
      </c>
      <c r="C992">
        <v>415.58</v>
      </c>
      <c r="D992">
        <v>447.92</v>
      </c>
      <c r="E992">
        <v>413.73</v>
      </c>
      <c r="F992" t="s">
        <v>945</v>
      </c>
      <c r="G992" s="2">
        <v>6.0600000000000001E-2</v>
      </c>
    </row>
    <row r="993" spans="1:7" x14ac:dyDescent="0.2">
      <c r="A993" s="1">
        <v>44931</v>
      </c>
      <c r="B993">
        <v>416.88</v>
      </c>
      <c r="C993">
        <v>384.07</v>
      </c>
      <c r="D993">
        <v>426.16</v>
      </c>
      <c r="E993">
        <v>374.85</v>
      </c>
      <c r="F993" t="s">
        <v>946</v>
      </c>
      <c r="G993" s="2">
        <v>8.4599999999999995E-2</v>
      </c>
    </row>
    <row r="994" spans="1:7" x14ac:dyDescent="0.2">
      <c r="A994" s="1">
        <v>44930</v>
      </c>
      <c r="B994">
        <v>384.36</v>
      </c>
      <c r="C994">
        <v>383.24</v>
      </c>
      <c r="D994">
        <v>386.3</v>
      </c>
      <c r="E994">
        <v>368.39</v>
      </c>
      <c r="F994" t="s">
        <v>947</v>
      </c>
      <c r="G994" s="2">
        <v>-2.8999999999999998E-3</v>
      </c>
    </row>
    <row r="995" spans="1:7" x14ac:dyDescent="0.2">
      <c r="A995" s="1">
        <v>44929</v>
      </c>
      <c r="B995">
        <v>385.47</v>
      </c>
      <c r="C995">
        <v>352.15</v>
      </c>
      <c r="D995">
        <v>385.76</v>
      </c>
      <c r="E995">
        <v>343.39</v>
      </c>
      <c r="F995" t="s">
        <v>948</v>
      </c>
      <c r="G995" s="2">
        <v>9.4700000000000006E-2</v>
      </c>
    </row>
    <row r="996" spans="1:7" x14ac:dyDescent="0.2">
      <c r="A996" s="1">
        <v>44928</v>
      </c>
      <c r="B996">
        <v>352.12</v>
      </c>
      <c r="C996">
        <v>350.19</v>
      </c>
      <c r="D996">
        <v>372.21</v>
      </c>
      <c r="E996">
        <v>348.71</v>
      </c>
      <c r="F996" t="s">
        <v>949</v>
      </c>
      <c r="G996" s="2">
        <v>5.0000000000000001E-3</v>
      </c>
    </row>
    <row r="997" spans="1:7" x14ac:dyDescent="0.2">
      <c r="A997" s="1">
        <v>44927</v>
      </c>
      <c r="B997">
        <v>350.38</v>
      </c>
      <c r="C997">
        <v>322.36</v>
      </c>
      <c r="D997">
        <v>354.52</v>
      </c>
      <c r="E997">
        <v>310</v>
      </c>
      <c r="F997" t="s">
        <v>950</v>
      </c>
      <c r="G997" s="2">
        <v>9.7000000000000003E-2</v>
      </c>
    </row>
    <row r="998" spans="1:7" x14ac:dyDescent="0.2">
      <c r="A998" s="1">
        <v>44573</v>
      </c>
      <c r="B998">
        <v>319.41000000000003</v>
      </c>
      <c r="C998">
        <v>348.44</v>
      </c>
      <c r="D998">
        <v>357.47</v>
      </c>
      <c r="E998">
        <v>310.75</v>
      </c>
      <c r="F998" t="s">
        <v>951</v>
      </c>
      <c r="G998" s="2">
        <v>-8.2000000000000003E-2</v>
      </c>
    </row>
    <row r="999" spans="1:7" x14ac:dyDescent="0.2">
      <c r="A999" s="1">
        <v>44572</v>
      </c>
      <c r="B999">
        <v>347.94</v>
      </c>
      <c r="C999">
        <v>334.37</v>
      </c>
      <c r="D999">
        <v>348.74</v>
      </c>
      <c r="E999">
        <v>303.58</v>
      </c>
      <c r="F999" t="s">
        <v>952</v>
      </c>
      <c r="G999" s="2">
        <v>5.3699999999999998E-2</v>
      </c>
    </row>
    <row r="1000" spans="1:7" x14ac:dyDescent="0.2">
      <c r="A1000" s="1">
        <v>44571</v>
      </c>
      <c r="B1000">
        <v>330.2</v>
      </c>
      <c r="C1000">
        <v>310.08</v>
      </c>
      <c r="D1000">
        <v>334.91</v>
      </c>
      <c r="E1000">
        <v>291.61</v>
      </c>
      <c r="F1000" t="s">
        <v>953</v>
      </c>
      <c r="G1000" s="2">
        <v>7.4300000000000005E-2</v>
      </c>
    </row>
    <row r="1001" spans="1:7" x14ac:dyDescent="0.2">
      <c r="A1001" s="1">
        <v>44570</v>
      </c>
      <c r="B1001">
        <v>307.37</v>
      </c>
      <c r="C1001">
        <v>345.35</v>
      </c>
      <c r="D1001">
        <v>360.34</v>
      </c>
      <c r="E1001">
        <v>307.14999999999998</v>
      </c>
      <c r="F1001" t="s">
        <v>954</v>
      </c>
      <c r="G1001" s="2">
        <v>-0.12</v>
      </c>
    </row>
    <row r="1002" spans="1:7" x14ac:dyDescent="0.2">
      <c r="A1002" s="1">
        <v>44569</v>
      </c>
      <c r="B1002">
        <v>349.28</v>
      </c>
      <c r="C1002">
        <v>367.2</v>
      </c>
      <c r="D1002">
        <v>391.6</v>
      </c>
      <c r="E1002">
        <v>349.19</v>
      </c>
      <c r="F1002" t="s">
        <v>955</v>
      </c>
      <c r="G1002" s="2">
        <v>-5.6500000000000002E-2</v>
      </c>
    </row>
    <row r="1003" spans="1:7" x14ac:dyDescent="0.2">
      <c r="A1003" s="1">
        <v>44568</v>
      </c>
      <c r="B1003">
        <v>370.2</v>
      </c>
      <c r="C1003">
        <v>324.82</v>
      </c>
      <c r="D1003">
        <v>371.14</v>
      </c>
      <c r="E1003">
        <v>321.33</v>
      </c>
      <c r="F1003" t="s">
        <v>956</v>
      </c>
      <c r="G1003" s="2">
        <v>0.13370000000000001</v>
      </c>
    </row>
    <row r="1004" spans="1:7" x14ac:dyDescent="0.2">
      <c r="A1004" s="1">
        <v>44567</v>
      </c>
      <c r="B1004">
        <v>326.55</v>
      </c>
      <c r="C1004">
        <v>364.7</v>
      </c>
      <c r="D1004">
        <v>369.64</v>
      </c>
      <c r="E1004">
        <v>313.66000000000003</v>
      </c>
      <c r="F1004" t="s">
        <v>957</v>
      </c>
      <c r="G1004" s="2">
        <v>-9.5699999999999993E-2</v>
      </c>
    </row>
    <row r="1005" spans="1:7" x14ac:dyDescent="0.2">
      <c r="A1005" s="1">
        <v>44566</v>
      </c>
      <c r="B1005">
        <v>361.1</v>
      </c>
      <c r="C1005">
        <v>366.38</v>
      </c>
      <c r="D1005">
        <v>387.02</v>
      </c>
      <c r="E1005">
        <v>327.06</v>
      </c>
      <c r="F1005" t="s">
        <v>958</v>
      </c>
      <c r="G1005" s="2">
        <v>-1.66E-2</v>
      </c>
    </row>
    <row r="1006" spans="1:7" x14ac:dyDescent="0.2">
      <c r="A1006" s="1">
        <v>44565</v>
      </c>
      <c r="B1006">
        <v>367.2</v>
      </c>
      <c r="C1006">
        <v>416.5</v>
      </c>
      <c r="D1006">
        <v>423.56</v>
      </c>
      <c r="E1006">
        <v>364.31</v>
      </c>
      <c r="F1006" t="s">
        <v>959</v>
      </c>
      <c r="G1006" s="2">
        <v>-0.1183</v>
      </c>
    </row>
    <row r="1007" spans="1:7" x14ac:dyDescent="0.2">
      <c r="A1007" s="1">
        <v>44564</v>
      </c>
      <c r="B1007">
        <v>416.48</v>
      </c>
      <c r="C1007">
        <v>402.59</v>
      </c>
      <c r="D1007">
        <v>429.56</v>
      </c>
      <c r="E1007">
        <v>365.92</v>
      </c>
      <c r="F1007" t="s">
        <v>960</v>
      </c>
      <c r="G1007" s="2">
        <v>3.1099999999999999E-2</v>
      </c>
    </row>
    <row r="1008" spans="1:7" x14ac:dyDescent="0.2">
      <c r="A1008" s="1">
        <v>44563</v>
      </c>
      <c r="B1008">
        <v>403.91</v>
      </c>
      <c r="C1008">
        <v>423</v>
      </c>
      <c r="D1008">
        <v>429.68</v>
      </c>
      <c r="E1008">
        <v>369.01</v>
      </c>
      <c r="F1008" t="s">
        <v>961</v>
      </c>
      <c r="G1008" s="2">
        <v>-4.3499999999999997E-2</v>
      </c>
    </row>
    <row r="1009" spans="1:7" x14ac:dyDescent="0.2">
      <c r="A1009" s="1">
        <v>44562</v>
      </c>
      <c r="B1009">
        <v>422.26</v>
      </c>
      <c r="C1009">
        <v>458.73</v>
      </c>
      <c r="D1009">
        <v>463</v>
      </c>
      <c r="E1009">
        <v>380.63</v>
      </c>
      <c r="F1009" t="s">
        <v>962</v>
      </c>
      <c r="G1009" s="2">
        <v>-7.8399999999999997E-2</v>
      </c>
    </row>
    <row r="1010" spans="1:7" x14ac:dyDescent="0.2">
      <c r="A1010" s="1">
        <v>44208</v>
      </c>
      <c r="B1010">
        <v>458.17</v>
      </c>
      <c r="C1010">
        <v>451.55</v>
      </c>
      <c r="D1010">
        <v>467.06</v>
      </c>
      <c r="E1010">
        <v>430.74</v>
      </c>
      <c r="F1010" t="s">
        <v>963</v>
      </c>
      <c r="G1010" s="2">
        <v>2.3400000000000001E-2</v>
      </c>
    </row>
    <row r="1011" spans="1:7" x14ac:dyDescent="0.2">
      <c r="A1011" s="1">
        <v>44207</v>
      </c>
      <c r="B1011">
        <v>447.69</v>
      </c>
      <c r="C1011">
        <v>434.38</v>
      </c>
      <c r="D1011">
        <v>463.68</v>
      </c>
      <c r="E1011">
        <v>431.95</v>
      </c>
      <c r="F1011" t="s">
        <v>964</v>
      </c>
      <c r="G1011" s="2">
        <v>3.1199999999999999E-2</v>
      </c>
    </row>
    <row r="1012" spans="1:7" x14ac:dyDescent="0.2">
      <c r="A1012" s="1">
        <v>44206</v>
      </c>
      <c r="B1012">
        <v>434.16</v>
      </c>
      <c r="C1012">
        <v>403.14</v>
      </c>
      <c r="D1012">
        <v>434.43</v>
      </c>
      <c r="E1012">
        <v>394.06</v>
      </c>
      <c r="F1012" t="s">
        <v>965</v>
      </c>
      <c r="G1012" s="2">
        <v>8.1900000000000001E-2</v>
      </c>
    </row>
    <row r="1013" spans="1:7" x14ac:dyDescent="0.2">
      <c r="A1013" s="1">
        <v>44205</v>
      </c>
      <c r="B1013">
        <v>401.29</v>
      </c>
      <c r="C1013">
        <v>428.14</v>
      </c>
      <c r="D1013">
        <v>430.28</v>
      </c>
      <c r="E1013">
        <v>401.29</v>
      </c>
      <c r="F1013" t="s">
        <v>966</v>
      </c>
      <c r="G1013" s="2">
        <v>-5.9499999999999997E-2</v>
      </c>
    </row>
    <row r="1014" spans="1:7" x14ac:dyDescent="0.2">
      <c r="A1014" s="1">
        <v>44204</v>
      </c>
      <c r="B1014">
        <v>426.68</v>
      </c>
      <c r="C1014">
        <v>414.07</v>
      </c>
      <c r="D1014">
        <v>429.86</v>
      </c>
      <c r="E1014">
        <v>405.12</v>
      </c>
      <c r="F1014" t="s">
        <v>967</v>
      </c>
      <c r="G1014" s="2">
        <v>3.5099999999999999E-2</v>
      </c>
    </row>
    <row r="1015" spans="1:7" x14ac:dyDescent="0.2">
      <c r="A1015" s="1">
        <v>44203</v>
      </c>
      <c r="B1015">
        <v>412.21</v>
      </c>
      <c r="C1015">
        <v>398.37</v>
      </c>
      <c r="D1015">
        <v>415.4</v>
      </c>
      <c r="E1015">
        <v>394.44</v>
      </c>
      <c r="F1015" t="s">
        <v>968</v>
      </c>
      <c r="G1015" s="2">
        <v>3.3700000000000001E-2</v>
      </c>
    </row>
    <row r="1016" spans="1:7" x14ac:dyDescent="0.2">
      <c r="A1016" s="1">
        <v>44202</v>
      </c>
      <c r="B1016">
        <v>398.77</v>
      </c>
      <c r="C1016">
        <v>373.98</v>
      </c>
      <c r="D1016">
        <v>400.17</v>
      </c>
      <c r="E1016">
        <v>366.75</v>
      </c>
      <c r="F1016" t="s">
        <v>969</v>
      </c>
      <c r="G1016" s="2">
        <v>7.1199999999999999E-2</v>
      </c>
    </row>
    <row r="1017" spans="1:7" x14ac:dyDescent="0.2">
      <c r="A1017" s="1">
        <v>44201</v>
      </c>
      <c r="B1017">
        <v>372.28</v>
      </c>
      <c r="C1017">
        <v>378.7</v>
      </c>
      <c r="D1017">
        <v>379.47</v>
      </c>
      <c r="E1017">
        <v>350.99</v>
      </c>
      <c r="F1017" t="s">
        <v>970</v>
      </c>
      <c r="G1017" s="2">
        <v>-1.24E-2</v>
      </c>
    </row>
    <row r="1018" spans="1:7" x14ac:dyDescent="0.2">
      <c r="A1018" s="1">
        <v>44200</v>
      </c>
      <c r="B1018">
        <v>376.94</v>
      </c>
      <c r="C1018">
        <v>363.24</v>
      </c>
      <c r="D1018">
        <v>388.73</v>
      </c>
      <c r="E1018">
        <v>363</v>
      </c>
      <c r="F1018" t="s">
        <v>971</v>
      </c>
      <c r="G1018" s="2">
        <v>5.1499999999999997E-2</v>
      </c>
    </row>
    <row r="1019" spans="1:7" x14ac:dyDescent="0.2">
      <c r="A1019" s="1">
        <v>44199</v>
      </c>
      <c r="B1019">
        <v>358.49</v>
      </c>
      <c r="C1019">
        <v>362.5</v>
      </c>
      <c r="D1019">
        <v>369.57</v>
      </c>
      <c r="E1019">
        <v>335.6</v>
      </c>
      <c r="F1019" t="s">
        <v>972</v>
      </c>
      <c r="G1019" s="2">
        <v>5.5999999999999999E-3</v>
      </c>
    </row>
    <row r="1020" spans="1:7" x14ac:dyDescent="0.2">
      <c r="A1020" s="1">
        <v>44198</v>
      </c>
      <c r="B1020">
        <v>356.5</v>
      </c>
      <c r="C1020">
        <v>355.43</v>
      </c>
      <c r="D1020">
        <v>382.73</v>
      </c>
      <c r="E1020">
        <v>350.31</v>
      </c>
      <c r="F1020" t="s">
        <v>973</v>
      </c>
      <c r="G1020" s="2">
        <v>1.4800000000000001E-2</v>
      </c>
    </row>
    <row r="1021" spans="1:7" x14ac:dyDescent="0.2">
      <c r="A1021" s="1">
        <v>44197</v>
      </c>
      <c r="B1021">
        <v>351.3</v>
      </c>
      <c r="C1021">
        <v>355.38</v>
      </c>
      <c r="D1021">
        <v>369.52</v>
      </c>
      <c r="E1021">
        <v>343.14</v>
      </c>
      <c r="F1021" t="s">
        <v>974</v>
      </c>
      <c r="G1021" s="2">
        <v>-7.0000000000000001E-3</v>
      </c>
    </row>
    <row r="1022" spans="1:7" x14ac:dyDescent="0.2">
      <c r="A1022" s="1">
        <v>43842</v>
      </c>
      <c r="B1022">
        <v>353.79</v>
      </c>
      <c r="C1022">
        <v>337.55</v>
      </c>
      <c r="D1022">
        <v>357.69</v>
      </c>
      <c r="E1022">
        <v>334.08</v>
      </c>
      <c r="F1022" t="s">
        <v>975</v>
      </c>
      <c r="G1022" s="2">
        <v>5.5100000000000003E-2</v>
      </c>
    </row>
    <row r="1023" spans="1:7" x14ac:dyDescent="0.2">
      <c r="A1023" s="1">
        <v>43841</v>
      </c>
      <c r="B1023">
        <v>335.33</v>
      </c>
      <c r="C1023">
        <v>300.38</v>
      </c>
      <c r="D1023">
        <v>336.25</v>
      </c>
      <c r="E1023">
        <v>295.39999999999998</v>
      </c>
      <c r="F1023" t="s">
        <v>976</v>
      </c>
      <c r="G1023" s="2">
        <v>0.12529999999999999</v>
      </c>
    </row>
    <row r="1024" spans="1:7" x14ac:dyDescent="0.2">
      <c r="A1024" s="1">
        <v>43840</v>
      </c>
      <c r="B1024">
        <v>297.99</v>
      </c>
      <c r="C1024">
        <v>315.58999999999997</v>
      </c>
      <c r="D1024">
        <v>333.46</v>
      </c>
      <c r="E1024">
        <v>294.79000000000002</v>
      </c>
      <c r="F1024" t="s">
        <v>977</v>
      </c>
      <c r="G1024" s="2">
        <v>-4.3200000000000002E-2</v>
      </c>
    </row>
    <row r="1025" spans="1:7" x14ac:dyDescent="0.2">
      <c r="A1025" s="1">
        <v>43839</v>
      </c>
      <c r="B1025">
        <v>311.45</v>
      </c>
      <c r="C1025">
        <v>331.78</v>
      </c>
      <c r="D1025">
        <v>340.74</v>
      </c>
      <c r="E1025">
        <v>291.18</v>
      </c>
      <c r="F1025" t="s">
        <v>978</v>
      </c>
      <c r="G1025" s="2">
        <v>-5.0900000000000001E-2</v>
      </c>
    </row>
    <row r="1026" spans="1:7" x14ac:dyDescent="0.2">
      <c r="A1026" s="1">
        <v>43838</v>
      </c>
      <c r="B1026">
        <v>328.15</v>
      </c>
      <c r="C1026">
        <v>299.48</v>
      </c>
      <c r="D1026">
        <v>330.32</v>
      </c>
      <c r="E1026">
        <v>296.51</v>
      </c>
      <c r="F1026" t="s">
        <v>979</v>
      </c>
      <c r="G1026" s="2">
        <v>0.1114</v>
      </c>
    </row>
    <row r="1027" spans="1:7" x14ac:dyDescent="0.2">
      <c r="A1027" s="1">
        <v>43837</v>
      </c>
      <c r="B1027">
        <v>295.27</v>
      </c>
      <c r="C1027">
        <v>278.64999999999998</v>
      </c>
      <c r="D1027">
        <v>295.33</v>
      </c>
      <c r="E1027">
        <v>276.14</v>
      </c>
      <c r="F1027" t="s">
        <v>980</v>
      </c>
      <c r="G1027" s="2">
        <v>5.9400000000000001E-2</v>
      </c>
    </row>
    <row r="1028" spans="1:7" x14ac:dyDescent="0.2">
      <c r="A1028" s="1">
        <v>43836</v>
      </c>
      <c r="B1028">
        <v>278.70999999999998</v>
      </c>
      <c r="C1028">
        <v>259.98</v>
      </c>
      <c r="D1028">
        <v>282.04000000000002</v>
      </c>
      <c r="E1028">
        <v>258.61</v>
      </c>
      <c r="F1028" t="s">
        <v>981</v>
      </c>
      <c r="G1028" s="2">
        <v>6.7699999999999996E-2</v>
      </c>
    </row>
    <row r="1029" spans="1:7" x14ac:dyDescent="0.2">
      <c r="A1029" s="1">
        <v>43835</v>
      </c>
      <c r="B1029">
        <v>261.02999999999997</v>
      </c>
      <c r="C1029">
        <v>236.57</v>
      </c>
      <c r="D1029">
        <v>262.55</v>
      </c>
      <c r="E1029">
        <v>232.57</v>
      </c>
      <c r="F1029" t="s">
        <v>982</v>
      </c>
      <c r="G1029" s="2">
        <v>7.8600000000000003E-2</v>
      </c>
    </row>
    <row r="1030" spans="1:7" x14ac:dyDescent="0.2">
      <c r="A1030" s="1">
        <v>43834</v>
      </c>
      <c r="B1030">
        <v>242</v>
      </c>
      <c r="C1030">
        <v>204.86</v>
      </c>
      <c r="D1030">
        <v>244.2</v>
      </c>
      <c r="E1030">
        <v>200</v>
      </c>
      <c r="F1030" t="s">
        <v>983</v>
      </c>
      <c r="G1030" s="2">
        <v>0.14199999999999999</v>
      </c>
    </row>
    <row r="1031" spans="1:7" x14ac:dyDescent="0.2">
      <c r="A1031" s="1">
        <v>43833</v>
      </c>
      <c r="B1031">
        <v>211.9</v>
      </c>
      <c r="C1031">
        <v>239.38</v>
      </c>
      <c r="D1031">
        <v>251.2</v>
      </c>
      <c r="E1031">
        <v>179.45</v>
      </c>
      <c r="F1031" t="s">
        <v>984</v>
      </c>
      <c r="G1031" s="2">
        <v>-0.1008</v>
      </c>
    </row>
    <row r="1032" spans="1:7" x14ac:dyDescent="0.2">
      <c r="A1032" s="1">
        <v>43832</v>
      </c>
      <c r="B1032">
        <v>235.65</v>
      </c>
      <c r="C1032">
        <v>254.45</v>
      </c>
      <c r="D1032">
        <v>273.73</v>
      </c>
      <c r="E1032">
        <v>223.79</v>
      </c>
      <c r="F1032" t="s">
        <v>985</v>
      </c>
      <c r="G1032" s="2">
        <v>-7.2900000000000006E-2</v>
      </c>
    </row>
    <row r="1033" spans="1:7" x14ac:dyDescent="0.2">
      <c r="A1033" s="1">
        <v>43831</v>
      </c>
      <c r="B1033">
        <v>254.18</v>
      </c>
      <c r="C1033">
        <v>247.05</v>
      </c>
      <c r="D1033">
        <v>263.99</v>
      </c>
      <c r="E1033">
        <v>243.84</v>
      </c>
      <c r="F1033" t="s">
        <v>986</v>
      </c>
      <c r="G1033" s="2">
        <v>3.8100000000000002E-2</v>
      </c>
    </row>
    <row r="1034" spans="1:7" x14ac:dyDescent="0.2">
      <c r="A1034" s="1">
        <v>43477</v>
      </c>
      <c r="B1034">
        <v>244.85</v>
      </c>
      <c r="C1034">
        <v>236.42</v>
      </c>
      <c r="D1034">
        <v>246.75</v>
      </c>
      <c r="E1034">
        <v>228.01</v>
      </c>
      <c r="F1034" t="s">
        <v>987</v>
      </c>
      <c r="G1034" s="2">
        <v>3.6799999999999999E-2</v>
      </c>
    </row>
    <row r="1035" spans="1:7" x14ac:dyDescent="0.2">
      <c r="A1035" s="1">
        <v>43476</v>
      </c>
      <c r="B1035">
        <v>236.15</v>
      </c>
      <c r="C1035">
        <v>224.58</v>
      </c>
      <c r="D1035">
        <v>237.15</v>
      </c>
      <c r="E1035">
        <v>224.13</v>
      </c>
      <c r="F1035" t="s">
        <v>988</v>
      </c>
      <c r="G1035" s="2">
        <v>5.5899999999999998E-2</v>
      </c>
    </row>
    <row r="1036" spans="1:7" x14ac:dyDescent="0.2">
      <c r="A1036" s="1">
        <v>43475</v>
      </c>
      <c r="B1036">
        <v>223.64</v>
      </c>
      <c r="C1036">
        <v>216.51</v>
      </c>
      <c r="D1036">
        <v>224.49</v>
      </c>
      <c r="E1036">
        <v>206.92</v>
      </c>
      <c r="F1036" t="s">
        <v>989</v>
      </c>
      <c r="G1036" s="2">
        <v>3.7499999999999999E-2</v>
      </c>
    </row>
    <row r="1037" spans="1:7" x14ac:dyDescent="0.2">
      <c r="A1037" s="1">
        <v>43474</v>
      </c>
      <c r="B1037">
        <v>215.55</v>
      </c>
      <c r="C1037">
        <v>211.96</v>
      </c>
      <c r="D1037">
        <v>221</v>
      </c>
      <c r="E1037">
        <v>210.15</v>
      </c>
      <c r="F1037" t="s">
        <v>990</v>
      </c>
      <c r="G1037" s="2">
        <v>9.2999999999999992E-3</v>
      </c>
    </row>
    <row r="1038" spans="1:7" x14ac:dyDescent="0.2">
      <c r="A1038" s="1">
        <v>43473</v>
      </c>
      <c r="B1038">
        <v>213.56</v>
      </c>
      <c r="C1038">
        <v>218.74</v>
      </c>
      <c r="D1038">
        <v>223.2</v>
      </c>
      <c r="E1038">
        <v>202.62</v>
      </c>
      <c r="F1038" t="s">
        <v>991</v>
      </c>
      <c r="G1038" s="2">
        <v>-2.1899999999999999E-2</v>
      </c>
    </row>
    <row r="1039" spans="1:7" x14ac:dyDescent="0.2">
      <c r="A1039" s="1">
        <v>43472</v>
      </c>
      <c r="B1039">
        <v>218.35</v>
      </c>
      <c r="C1039">
        <v>215.37</v>
      </c>
      <c r="D1039">
        <v>223.67</v>
      </c>
      <c r="E1039">
        <v>212.89</v>
      </c>
      <c r="F1039" t="s">
        <v>992</v>
      </c>
      <c r="G1039" s="2">
        <v>3.5400000000000001E-2</v>
      </c>
    </row>
    <row r="1040" spans="1:7" x14ac:dyDescent="0.2">
      <c r="A1040" s="1">
        <v>43471</v>
      </c>
      <c r="B1040">
        <v>210.89</v>
      </c>
      <c r="C1040">
        <v>194.79</v>
      </c>
      <c r="D1040">
        <v>214.04</v>
      </c>
      <c r="E1040">
        <v>189.69</v>
      </c>
      <c r="F1040" t="s">
        <v>993</v>
      </c>
      <c r="G1040" s="2">
        <v>8.4500000000000006E-2</v>
      </c>
    </row>
    <row r="1041" spans="1:7" x14ac:dyDescent="0.2">
      <c r="A1041" s="1">
        <v>43470</v>
      </c>
      <c r="B1041">
        <v>194.46</v>
      </c>
      <c r="C1041">
        <v>215.41</v>
      </c>
      <c r="D1041">
        <v>215.77</v>
      </c>
      <c r="E1041">
        <v>194.39</v>
      </c>
      <c r="F1041" t="s">
        <v>925</v>
      </c>
      <c r="G1041" s="2">
        <v>-8.8800000000000004E-2</v>
      </c>
    </row>
    <row r="1042" spans="1:7" x14ac:dyDescent="0.2">
      <c r="A1042" s="1">
        <v>43469</v>
      </c>
      <c r="B1042">
        <v>213.41</v>
      </c>
      <c r="C1042">
        <v>202.75</v>
      </c>
      <c r="D1042">
        <v>215.04</v>
      </c>
      <c r="E1042">
        <v>201.5</v>
      </c>
      <c r="F1042" t="s">
        <v>994</v>
      </c>
      <c r="G1042" s="2">
        <v>6.3700000000000007E-2</v>
      </c>
    </row>
    <row r="1043" spans="1:7" x14ac:dyDescent="0.2">
      <c r="A1043" s="1">
        <v>43468</v>
      </c>
      <c r="B1043">
        <v>200.63</v>
      </c>
      <c r="C1043">
        <v>194.86</v>
      </c>
      <c r="D1043">
        <v>204.24</v>
      </c>
      <c r="E1043">
        <v>187.13</v>
      </c>
      <c r="F1043" t="s">
        <v>995</v>
      </c>
      <c r="G1043" s="2">
        <v>3.7600000000000001E-2</v>
      </c>
    </row>
    <row r="1044" spans="1:7" x14ac:dyDescent="0.2">
      <c r="A1044" s="1">
        <v>43467</v>
      </c>
      <c r="B1044">
        <v>193.36</v>
      </c>
      <c r="C1044">
        <v>180.37</v>
      </c>
      <c r="D1044">
        <v>194.99</v>
      </c>
      <c r="E1044">
        <v>180.16</v>
      </c>
      <c r="F1044" t="s">
        <v>996</v>
      </c>
      <c r="G1044" s="2">
        <v>7.3300000000000004E-2</v>
      </c>
    </row>
    <row r="1045" spans="1:7" x14ac:dyDescent="0.2">
      <c r="A1045" s="1">
        <v>43466</v>
      </c>
      <c r="B1045">
        <v>180.16</v>
      </c>
      <c r="C1045">
        <v>163.55000000000001</v>
      </c>
      <c r="D1045">
        <v>181.15</v>
      </c>
      <c r="E1045">
        <v>158.5</v>
      </c>
      <c r="F1045" t="s">
        <v>997</v>
      </c>
      <c r="G1045" s="2">
        <v>7.9899999999999999E-2</v>
      </c>
    </row>
    <row r="1046" spans="1:7" x14ac:dyDescent="0.2">
      <c r="A1046" s="1">
        <v>43112</v>
      </c>
      <c r="B1046">
        <v>166.83</v>
      </c>
      <c r="C1046">
        <v>187.15</v>
      </c>
      <c r="D1046">
        <v>187.52</v>
      </c>
      <c r="E1046">
        <v>154.72</v>
      </c>
      <c r="F1046" t="s">
        <v>998</v>
      </c>
      <c r="G1046" s="2">
        <v>-8.6699999999999999E-2</v>
      </c>
    </row>
    <row r="1047" spans="1:7" x14ac:dyDescent="0.2">
      <c r="A1047" s="1">
        <v>43111</v>
      </c>
      <c r="B1047">
        <v>182.67</v>
      </c>
      <c r="C1047">
        <v>185.81</v>
      </c>
      <c r="D1047">
        <v>190.64</v>
      </c>
      <c r="E1047">
        <v>169.68</v>
      </c>
      <c r="F1047" t="s">
        <v>999</v>
      </c>
      <c r="G1047" s="2">
        <v>-1.47E-2</v>
      </c>
    </row>
    <row r="1048" spans="1:7" x14ac:dyDescent="0.2">
      <c r="A1048" s="1">
        <v>43110</v>
      </c>
      <c r="B1048">
        <v>185.39</v>
      </c>
      <c r="C1048">
        <v>203.58</v>
      </c>
      <c r="D1048">
        <v>204.44</v>
      </c>
      <c r="E1048">
        <v>175.12</v>
      </c>
      <c r="F1048" t="s">
        <v>1000</v>
      </c>
      <c r="G1048" s="2">
        <v>-8.48E-2</v>
      </c>
    </row>
    <row r="1049" spans="1:7" x14ac:dyDescent="0.2">
      <c r="A1049" s="1">
        <v>43109</v>
      </c>
      <c r="B1049">
        <v>202.56</v>
      </c>
      <c r="C1049">
        <v>202.44</v>
      </c>
      <c r="D1049">
        <v>203.34</v>
      </c>
      <c r="E1049">
        <v>197.45</v>
      </c>
      <c r="F1049" t="s">
        <v>1001</v>
      </c>
      <c r="G1049" s="2">
        <v>-1.1999999999999999E-3</v>
      </c>
    </row>
    <row r="1050" spans="1:7" x14ac:dyDescent="0.2">
      <c r="A1050" s="1">
        <v>43108</v>
      </c>
      <c r="B1050">
        <v>202.8</v>
      </c>
      <c r="C1050">
        <v>187.5</v>
      </c>
      <c r="D1050">
        <v>203.13</v>
      </c>
      <c r="E1050">
        <v>186.51</v>
      </c>
      <c r="F1050" t="s">
        <v>1002</v>
      </c>
      <c r="G1050" s="2">
        <v>8.9399999999999993E-2</v>
      </c>
    </row>
    <row r="1051" spans="1:7" x14ac:dyDescent="0.2">
      <c r="A1051" s="1">
        <v>43107</v>
      </c>
      <c r="B1051">
        <v>186.16</v>
      </c>
      <c r="C1051">
        <v>179.99</v>
      </c>
      <c r="D1051">
        <v>193.5</v>
      </c>
      <c r="E1051">
        <v>179.66</v>
      </c>
      <c r="F1051" t="s">
        <v>1003</v>
      </c>
      <c r="G1051" s="2">
        <v>2.6200000000000001E-2</v>
      </c>
    </row>
    <row r="1052" spans="1:7" x14ac:dyDescent="0.2">
      <c r="A1052" s="1">
        <v>43106</v>
      </c>
      <c r="B1052">
        <v>181.4</v>
      </c>
      <c r="C1052">
        <v>184.16</v>
      </c>
      <c r="D1052">
        <v>190.46</v>
      </c>
      <c r="E1052">
        <v>178.97</v>
      </c>
      <c r="F1052" t="s">
        <v>1004</v>
      </c>
      <c r="G1052" s="2">
        <v>-8.8000000000000005E-3</v>
      </c>
    </row>
    <row r="1053" spans="1:7" x14ac:dyDescent="0.2">
      <c r="A1053" s="1">
        <v>43105</v>
      </c>
      <c r="B1053">
        <v>183.01</v>
      </c>
      <c r="C1053">
        <v>170.57</v>
      </c>
      <c r="D1053">
        <v>184.5</v>
      </c>
      <c r="E1053">
        <v>170.18</v>
      </c>
      <c r="F1053" t="s">
        <v>1005</v>
      </c>
      <c r="G1053" s="2">
        <v>7.0499999999999993E-2</v>
      </c>
    </row>
    <row r="1054" spans="1:7" x14ac:dyDescent="0.2">
      <c r="A1054" s="1">
        <v>43104</v>
      </c>
      <c r="B1054">
        <v>170.96</v>
      </c>
      <c r="C1054">
        <v>170.27</v>
      </c>
      <c r="D1054">
        <v>178.57</v>
      </c>
      <c r="E1054">
        <v>164.62</v>
      </c>
      <c r="F1054" t="s">
        <v>1006</v>
      </c>
      <c r="G1054" s="2">
        <v>-2.0000000000000001E-4</v>
      </c>
    </row>
    <row r="1055" spans="1:7" x14ac:dyDescent="0.2">
      <c r="A1055" s="1">
        <v>43103</v>
      </c>
      <c r="B1055">
        <v>171</v>
      </c>
      <c r="C1055">
        <v>177.84</v>
      </c>
      <c r="D1055">
        <v>186.36</v>
      </c>
      <c r="E1055">
        <v>166.45</v>
      </c>
      <c r="F1055" t="s">
        <v>1007</v>
      </c>
      <c r="G1055" s="2">
        <v>-3.5799999999999998E-2</v>
      </c>
    </row>
    <row r="1056" spans="1:7" x14ac:dyDescent="0.2">
      <c r="A1056" s="1">
        <v>43102</v>
      </c>
      <c r="B1056">
        <v>177.34</v>
      </c>
      <c r="C1056">
        <v>176.38</v>
      </c>
      <c r="D1056">
        <v>181.08</v>
      </c>
      <c r="E1056">
        <v>157.96</v>
      </c>
      <c r="F1056" t="s">
        <v>1008</v>
      </c>
      <c r="G1056" s="2">
        <v>1E-3</v>
      </c>
    </row>
    <row r="1057" spans="1:7" x14ac:dyDescent="0.2">
      <c r="A1057" s="1">
        <v>43101</v>
      </c>
      <c r="B1057">
        <v>177.17</v>
      </c>
      <c r="C1057">
        <v>165.48</v>
      </c>
      <c r="D1057">
        <v>179.19</v>
      </c>
      <c r="E1057">
        <v>165.1</v>
      </c>
      <c r="F1057" t="s">
        <v>1009</v>
      </c>
      <c r="G1057" s="2">
        <v>7.5499999999999998E-2</v>
      </c>
    </row>
    <row r="1058" spans="1:7" x14ac:dyDescent="0.2">
      <c r="A1058" s="1">
        <v>42747</v>
      </c>
      <c r="B1058">
        <v>164.73</v>
      </c>
      <c r="C1058">
        <v>164.15</v>
      </c>
      <c r="D1058">
        <v>168.18</v>
      </c>
      <c r="E1058">
        <v>159.99</v>
      </c>
      <c r="F1058" t="s">
        <v>1010</v>
      </c>
      <c r="G1058" s="2">
        <v>-1.6999999999999999E-3</v>
      </c>
    </row>
    <row r="1059" spans="1:7" x14ac:dyDescent="0.2">
      <c r="A1059" s="1">
        <v>42746</v>
      </c>
      <c r="B1059">
        <v>165.01</v>
      </c>
      <c r="C1059">
        <v>164</v>
      </c>
      <c r="D1059">
        <v>168.23</v>
      </c>
      <c r="E1059">
        <v>162.03</v>
      </c>
      <c r="F1059" t="s">
        <v>1011</v>
      </c>
      <c r="G1059" s="2">
        <v>1.09E-2</v>
      </c>
    </row>
    <row r="1060" spans="1:7" x14ac:dyDescent="0.2">
      <c r="A1060" s="1">
        <v>42745</v>
      </c>
      <c r="B1060">
        <v>163.22999999999999</v>
      </c>
      <c r="C1060">
        <v>152.41</v>
      </c>
      <c r="D1060">
        <v>163.61000000000001</v>
      </c>
      <c r="E1060">
        <v>151.6</v>
      </c>
      <c r="F1060" t="s">
        <v>1012</v>
      </c>
      <c r="G1060" s="2">
        <v>7.3999999999999996E-2</v>
      </c>
    </row>
    <row r="1061" spans="1:7" x14ac:dyDescent="0.2">
      <c r="A1061" s="1">
        <v>42744</v>
      </c>
      <c r="B1061">
        <v>151.99</v>
      </c>
      <c r="C1061">
        <v>151.55000000000001</v>
      </c>
      <c r="D1061">
        <v>152.72999999999999</v>
      </c>
      <c r="E1061">
        <v>148.22999999999999</v>
      </c>
      <c r="F1061" t="s">
        <v>1013</v>
      </c>
      <c r="G1061" s="2">
        <v>5.1000000000000004E-3</v>
      </c>
    </row>
    <row r="1062" spans="1:7" x14ac:dyDescent="0.2">
      <c r="A1062" s="1">
        <v>42743</v>
      </c>
      <c r="B1062">
        <v>151.22</v>
      </c>
      <c r="C1062">
        <v>147.22999999999999</v>
      </c>
      <c r="D1062">
        <v>151.43</v>
      </c>
      <c r="E1062">
        <v>144.77000000000001</v>
      </c>
      <c r="F1062" t="s">
        <v>1014</v>
      </c>
      <c r="G1062" s="2">
        <v>3.1099999999999999E-2</v>
      </c>
    </row>
    <row r="1063" spans="1:7" x14ac:dyDescent="0.2">
      <c r="A1063" s="1">
        <v>42742</v>
      </c>
      <c r="B1063">
        <v>146.66</v>
      </c>
      <c r="C1063">
        <v>141.58000000000001</v>
      </c>
      <c r="D1063">
        <v>149.78</v>
      </c>
      <c r="E1063">
        <v>139.43</v>
      </c>
      <c r="F1063" t="s">
        <v>1015</v>
      </c>
      <c r="G1063" s="2">
        <v>4.1300000000000003E-2</v>
      </c>
    </row>
    <row r="1064" spans="1:7" x14ac:dyDescent="0.2">
      <c r="A1064" s="1">
        <v>42741</v>
      </c>
      <c r="B1064">
        <v>140.84</v>
      </c>
      <c r="C1064">
        <v>145.37</v>
      </c>
      <c r="D1064">
        <v>148.26</v>
      </c>
      <c r="E1064">
        <v>139.75</v>
      </c>
      <c r="F1064" t="s">
        <v>1016</v>
      </c>
      <c r="G1064" s="2">
        <v>-2.8199999999999999E-2</v>
      </c>
    </row>
    <row r="1065" spans="1:7" x14ac:dyDescent="0.2">
      <c r="A1065" s="1">
        <v>42740</v>
      </c>
      <c r="B1065">
        <v>144.91999999999999</v>
      </c>
      <c r="C1065">
        <v>139.29</v>
      </c>
      <c r="D1065">
        <v>145.84</v>
      </c>
      <c r="E1065">
        <v>139.06</v>
      </c>
      <c r="F1065" t="s">
        <v>1017</v>
      </c>
      <c r="G1065" s="2">
        <v>4.41E-2</v>
      </c>
    </row>
    <row r="1066" spans="1:7" x14ac:dyDescent="0.2">
      <c r="A1066" s="1">
        <v>42739</v>
      </c>
      <c r="B1066">
        <v>138.80000000000001</v>
      </c>
      <c r="C1066">
        <v>135.68</v>
      </c>
      <c r="D1066">
        <v>139.19999999999999</v>
      </c>
      <c r="E1066">
        <v>132.87</v>
      </c>
      <c r="F1066" t="s">
        <v>934</v>
      </c>
      <c r="G1066" s="2">
        <v>2.3400000000000001E-2</v>
      </c>
    </row>
    <row r="1067" spans="1:7" x14ac:dyDescent="0.2">
      <c r="A1067" s="1">
        <v>42738</v>
      </c>
      <c r="B1067">
        <v>135.63</v>
      </c>
      <c r="C1067">
        <v>133.71</v>
      </c>
      <c r="D1067">
        <v>136.66999999999999</v>
      </c>
      <c r="E1067">
        <v>132.71</v>
      </c>
      <c r="F1067" t="s">
        <v>1018</v>
      </c>
      <c r="G1067" s="2">
        <v>1.9800000000000002E-2</v>
      </c>
    </row>
    <row r="1068" spans="1:7" x14ac:dyDescent="0.2">
      <c r="A1068" s="1">
        <v>42737</v>
      </c>
      <c r="B1068">
        <v>133</v>
      </c>
      <c r="C1068">
        <v>127.97</v>
      </c>
      <c r="D1068">
        <v>134.04</v>
      </c>
      <c r="E1068">
        <v>126.85</v>
      </c>
      <c r="F1068" t="s">
        <v>1019</v>
      </c>
      <c r="G1068" s="2">
        <v>4.9399999999999999E-2</v>
      </c>
    </row>
    <row r="1069" spans="1:7" x14ac:dyDescent="0.2">
      <c r="A1069" s="1">
        <v>42736</v>
      </c>
      <c r="B1069">
        <v>126.74</v>
      </c>
      <c r="C1069">
        <v>122.29</v>
      </c>
      <c r="D1069">
        <v>128.6</v>
      </c>
      <c r="E1069">
        <v>121.73</v>
      </c>
      <c r="F1069" t="s">
        <v>1020</v>
      </c>
      <c r="G1069" s="2">
        <v>4.3099999999999999E-2</v>
      </c>
    </row>
    <row r="1070" spans="1:7" x14ac:dyDescent="0.2">
      <c r="A1070" s="1">
        <v>42381</v>
      </c>
      <c r="B1070">
        <v>121.5</v>
      </c>
      <c r="C1070">
        <v>120.36</v>
      </c>
      <c r="D1070">
        <v>124.5</v>
      </c>
      <c r="E1070">
        <v>116.89</v>
      </c>
      <c r="F1070" t="s">
        <v>1021</v>
      </c>
      <c r="G1070" s="2">
        <v>9.5999999999999992E-3</v>
      </c>
    </row>
    <row r="1071" spans="1:7" x14ac:dyDescent="0.2">
      <c r="A1071" s="1">
        <v>42380</v>
      </c>
      <c r="B1071">
        <v>120.35</v>
      </c>
      <c r="C1071">
        <v>119.84</v>
      </c>
      <c r="D1071">
        <v>122.26</v>
      </c>
      <c r="E1071">
        <v>116.33</v>
      </c>
      <c r="F1071" t="s">
        <v>1022</v>
      </c>
      <c r="G1071" s="2">
        <v>5.3E-3</v>
      </c>
    </row>
    <row r="1072" spans="1:7" x14ac:dyDescent="0.2">
      <c r="A1072" s="1">
        <v>42379</v>
      </c>
      <c r="B1072">
        <v>119.72</v>
      </c>
      <c r="C1072">
        <v>120.18</v>
      </c>
      <c r="D1072">
        <v>121.42</v>
      </c>
      <c r="E1072">
        <v>117.5</v>
      </c>
      <c r="F1072" t="s">
        <v>1023</v>
      </c>
      <c r="G1072" s="2">
        <v>-5.4000000000000003E-3</v>
      </c>
    </row>
    <row r="1073" spans="1:7" x14ac:dyDescent="0.2">
      <c r="A1073" s="1">
        <v>42378</v>
      </c>
      <c r="B1073">
        <v>120.37</v>
      </c>
      <c r="C1073">
        <v>117.7</v>
      </c>
      <c r="D1073">
        <v>120.73</v>
      </c>
      <c r="E1073">
        <v>115</v>
      </c>
      <c r="F1073" t="s">
        <v>1024</v>
      </c>
      <c r="G1073" s="2">
        <v>2.1000000000000001E-2</v>
      </c>
    </row>
    <row r="1074" spans="1:7" x14ac:dyDescent="0.2">
      <c r="A1074" s="1">
        <v>42377</v>
      </c>
      <c r="B1074">
        <v>117.89</v>
      </c>
      <c r="C1074">
        <v>115.38</v>
      </c>
      <c r="D1074">
        <v>118.68</v>
      </c>
      <c r="E1074">
        <v>114.08</v>
      </c>
      <c r="F1074" t="s">
        <v>1025</v>
      </c>
      <c r="G1074" s="2">
        <v>2.3400000000000001E-2</v>
      </c>
    </row>
    <row r="1075" spans="1:7" x14ac:dyDescent="0.2">
      <c r="A1075" s="1">
        <v>42376</v>
      </c>
      <c r="B1075">
        <v>115.2</v>
      </c>
      <c r="C1075">
        <v>106.97</v>
      </c>
      <c r="D1075">
        <v>115.56</v>
      </c>
      <c r="E1075">
        <v>105.42</v>
      </c>
      <c r="F1075" t="s">
        <v>1026</v>
      </c>
      <c r="G1075" s="2">
        <v>7.5700000000000003E-2</v>
      </c>
    </row>
    <row r="1076" spans="1:7" x14ac:dyDescent="0.2">
      <c r="A1076" s="1">
        <v>42375</v>
      </c>
      <c r="B1076">
        <v>107.09</v>
      </c>
      <c r="C1076">
        <v>109.62</v>
      </c>
      <c r="D1076">
        <v>110.65</v>
      </c>
      <c r="E1076">
        <v>101.46</v>
      </c>
      <c r="F1076" t="s">
        <v>1027</v>
      </c>
      <c r="G1076" s="2">
        <v>-2.64E-2</v>
      </c>
    </row>
    <row r="1077" spans="1:7" x14ac:dyDescent="0.2">
      <c r="A1077" s="1">
        <v>42374</v>
      </c>
      <c r="B1077">
        <v>109.99</v>
      </c>
      <c r="C1077">
        <v>104.5</v>
      </c>
      <c r="D1077">
        <v>110.08</v>
      </c>
      <c r="E1077">
        <v>103.17</v>
      </c>
      <c r="F1077" t="s">
        <v>1028</v>
      </c>
      <c r="G1077" s="2">
        <v>5.3400000000000003E-2</v>
      </c>
    </row>
    <row r="1078" spans="1:7" x14ac:dyDescent="0.2">
      <c r="A1078" s="1">
        <v>42373</v>
      </c>
      <c r="B1078">
        <v>104.41</v>
      </c>
      <c r="C1078">
        <v>108.9</v>
      </c>
      <c r="D1078">
        <v>110.41</v>
      </c>
      <c r="E1078">
        <v>103.51</v>
      </c>
      <c r="F1078" t="s">
        <v>1029</v>
      </c>
      <c r="G1078" s="2">
        <v>-4.6699999999999998E-2</v>
      </c>
    </row>
    <row r="1079" spans="1:7" x14ac:dyDescent="0.2">
      <c r="A1079" s="1">
        <v>42372</v>
      </c>
      <c r="B1079">
        <v>109.53</v>
      </c>
      <c r="C1079">
        <v>101.78</v>
      </c>
      <c r="D1079">
        <v>110.23</v>
      </c>
      <c r="E1079">
        <v>101.65</v>
      </c>
      <c r="F1079" t="s">
        <v>1030</v>
      </c>
      <c r="G1079" s="2">
        <v>8.5099999999999995E-2</v>
      </c>
    </row>
    <row r="1080" spans="1:7" x14ac:dyDescent="0.2">
      <c r="A1080" s="1">
        <v>42371</v>
      </c>
      <c r="B1080">
        <v>100.94</v>
      </c>
      <c r="C1080">
        <v>101.45</v>
      </c>
      <c r="D1080">
        <v>102.62</v>
      </c>
      <c r="E1080">
        <v>92.95</v>
      </c>
      <c r="F1080" t="s">
        <v>1006</v>
      </c>
      <c r="G1080" s="2">
        <v>-9.7000000000000003E-3</v>
      </c>
    </row>
    <row r="1081" spans="1:7" x14ac:dyDescent="0.2">
      <c r="A1081" s="1">
        <v>42370</v>
      </c>
      <c r="B1081">
        <v>101.93</v>
      </c>
      <c r="C1081">
        <v>106.31</v>
      </c>
      <c r="D1081">
        <v>107.15</v>
      </c>
      <c r="E1081">
        <v>94.31</v>
      </c>
      <c r="F1081" t="s">
        <v>923</v>
      </c>
      <c r="G1081" s="2">
        <v>-5.8700000000000002E-2</v>
      </c>
    </row>
    <row r="1082" spans="1:7" x14ac:dyDescent="0.2">
      <c r="A1082" s="1">
        <v>42016</v>
      </c>
      <c r="B1082">
        <v>108.29</v>
      </c>
      <c r="C1082">
        <v>112.1</v>
      </c>
      <c r="D1082">
        <v>113.32</v>
      </c>
      <c r="E1082">
        <v>107</v>
      </c>
      <c r="F1082" t="s">
        <v>1031</v>
      </c>
      <c r="G1082" s="2">
        <v>-3.1099999999999999E-2</v>
      </c>
    </row>
    <row r="1083" spans="1:7" x14ac:dyDescent="0.2">
      <c r="A1083" s="1">
        <v>42015</v>
      </c>
      <c r="B1083">
        <v>111.77</v>
      </c>
      <c r="C1083">
        <v>110.97</v>
      </c>
      <c r="D1083">
        <v>113.09</v>
      </c>
      <c r="E1083">
        <v>107.23</v>
      </c>
      <c r="F1083" t="s">
        <v>1032</v>
      </c>
      <c r="G1083" s="2">
        <v>1.1900000000000001E-2</v>
      </c>
    </row>
    <row r="1084" spans="1:7" x14ac:dyDescent="0.2">
      <c r="A1084" s="1">
        <v>42014</v>
      </c>
      <c r="B1084">
        <v>110.46</v>
      </c>
      <c r="C1084">
        <v>100.32</v>
      </c>
      <c r="D1084">
        <v>111.54</v>
      </c>
      <c r="E1084">
        <v>98.53</v>
      </c>
      <c r="F1084" t="s">
        <v>1033</v>
      </c>
      <c r="G1084" s="2">
        <v>0.1046</v>
      </c>
    </row>
    <row r="1085" spans="1:7" x14ac:dyDescent="0.2">
      <c r="A1085" s="1">
        <v>42013</v>
      </c>
      <c r="B1085">
        <v>100</v>
      </c>
      <c r="C1085">
        <v>101.32</v>
      </c>
      <c r="D1085">
        <v>105.7</v>
      </c>
      <c r="E1085">
        <v>97.25</v>
      </c>
      <c r="F1085" t="s">
        <v>1033</v>
      </c>
      <c r="G1085" s="2">
        <v>-2.29E-2</v>
      </c>
    </row>
    <row r="1086" spans="1:7" x14ac:dyDescent="0.2">
      <c r="A1086" s="1">
        <v>42012</v>
      </c>
      <c r="B1086">
        <v>102.34</v>
      </c>
      <c r="C1086">
        <v>108.56</v>
      </c>
      <c r="D1086">
        <v>109.22</v>
      </c>
      <c r="E1086">
        <v>77.11</v>
      </c>
      <c r="F1086" t="s">
        <v>1034</v>
      </c>
      <c r="G1086" s="2">
        <v>-5.8000000000000003E-2</v>
      </c>
    </row>
    <row r="1087" spans="1:7" x14ac:dyDescent="0.2">
      <c r="A1087" s="1">
        <v>42011</v>
      </c>
      <c r="B1087">
        <v>108.64</v>
      </c>
      <c r="C1087">
        <v>107.29</v>
      </c>
      <c r="D1087">
        <v>111.73</v>
      </c>
      <c r="E1087">
        <v>104.38</v>
      </c>
      <c r="F1087" t="s">
        <v>1035</v>
      </c>
      <c r="G1087" s="2">
        <v>2.2700000000000001E-2</v>
      </c>
    </row>
    <row r="1088" spans="1:7" x14ac:dyDescent="0.2">
      <c r="A1088" s="1">
        <v>42010</v>
      </c>
      <c r="B1088">
        <v>106.23</v>
      </c>
      <c r="C1088">
        <v>110.98</v>
      </c>
      <c r="D1088">
        <v>111.54</v>
      </c>
      <c r="E1088">
        <v>105.85</v>
      </c>
      <c r="F1088" t="s">
        <v>1036</v>
      </c>
      <c r="G1088" s="2">
        <v>-3.9300000000000002E-2</v>
      </c>
    </row>
    <row r="1089" spans="1:7" x14ac:dyDescent="0.2">
      <c r="A1089" s="1">
        <v>42009</v>
      </c>
      <c r="B1089">
        <v>110.58</v>
      </c>
      <c r="C1089">
        <v>108.25</v>
      </c>
      <c r="D1089">
        <v>111.55</v>
      </c>
      <c r="E1089">
        <v>106.27</v>
      </c>
      <c r="F1089" t="s">
        <v>1037</v>
      </c>
      <c r="G1089" s="2">
        <v>2.4899999999999999E-2</v>
      </c>
    </row>
    <row r="1090" spans="1:7" x14ac:dyDescent="0.2">
      <c r="A1090" s="1">
        <v>42008</v>
      </c>
      <c r="B1090">
        <v>107.89</v>
      </c>
      <c r="C1090">
        <v>106.1</v>
      </c>
      <c r="D1090">
        <v>110.71</v>
      </c>
      <c r="E1090">
        <v>104.72</v>
      </c>
      <c r="F1090" t="s">
        <v>1038</v>
      </c>
      <c r="G1090" s="2">
        <v>1.29E-2</v>
      </c>
    </row>
    <row r="1091" spans="1:7" x14ac:dyDescent="0.2">
      <c r="A1091" s="1">
        <v>42007</v>
      </c>
      <c r="B1091">
        <v>106.52</v>
      </c>
      <c r="C1091">
        <v>109.33</v>
      </c>
      <c r="D1091">
        <v>110.29</v>
      </c>
      <c r="E1091">
        <v>104.34</v>
      </c>
      <c r="F1091" t="s">
        <v>1039</v>
      </c>
      <c r="G1091" s="2">
        <v>-2.46E-2</v>
      </c>
    </row>
    <row r="1092" spans="1:7" x14ac:dyDescent="0.2">
      <c r="A1092" s="1">
        <v>42006</v>
      </c>
      <c r="B1092">
        <v>109.21</v>
      </c>
      <c r="C1092">
        <v>101</v>
      </c>
      <c r="D1092">
        <v>109.86</v>
      </c>
      <c r="E1092">
        <v>99.42</v>
      </c>
      <c r="F1092" t="s">
        <v>1040</v>
      </c>
      <c r="G1092" s="2">
        <v>8.3299999999999999E-2</v>
      </c>
    </row>
    <row r="1093" spans="1:7" x14ac:dyDescent="0.2">
      <c r="A1093" s="1">
        <v>42005</v>
      </c>
      <c r="B1093">
        <v>100.81</v>
      </c>
      <c r="C1093">
        <v>105.03</v>
      </c>
      <c r="D1093">
        <v>105.43</v>
      </c>
      <c r="E1093">
        <v>100.13</v>
      </c>
      <c r="F1093" t="s">
        <v>1041</v>
      </c>
      <c r="G1093" s="2">
        <v>-3.5099999999999999E-2</v>
      </c>
    </row>
    <row r="1097" spans="1:7" x14ac:dyDescent="0.2">
      <c r="A1097" s="104" t="s">
        <v>1042</v>
      </c>
      <c r="B1097" s="104"/>
      <c r="C1097" s="104"/>
      <c r="D1097" s="104"/>
      <c r="E1097" s="104"/>
      <c r="F1097" s="104"/>
      <c r="G1097" s="104"/>
    </row>
    <row r="1098" spans="1:7" x14ac:dyDescent="0.2">
      <c r="A1098" t="s">
        <v>0</v>
      </c>
      <c r="B1098" t="s">
        <v>1</v>
      </c>
      <c r="C1098" t="s">
        <v>2</v>
      </c>
      <c r="D1098" t="s">
        <v>3</v>
      </c>
      <c r="E1098" t="s">
        <v>4</v>
      </c>
      <c r="F1098" t="s">
        <v>5</v>
      </c>
      <c r="G1098" t="s">
        <v>6</v>
      </c>
    </row>
    <row r="1099" spans="1:7" x14ac:dyDescent="0.2">
      <c r="A1099" s="1">
        <v>46023</v>
      </c>
      <c r="B1099">
        <v>90.37</v>
      </c>
      <c r="C1099">
        <v>88.42</v>
      </c>
      <c r="D1099">
        <v>92.82</v>
      </c>
      <c r="E1099">
        <v>87.84</v>
      </c>
      <c r="F1099" t="s">
        <v>1043</v>
      </c>
      <c r="G1099" s="2">
        <v>2.12E-2</v>
      </c>
    </row>
    <row r="1100" spans="1:7" x14ac:dyDescent="0.2">
      <c r="A1100" s="1">
        <v>45669</v>
      </c>
      <c r="B1100">
        <v>88.49</v>
      </c>
      <c r="C1100">
        <v>90.45</v>
      </c>
      <c r="D1100">
        <v>90.81</v>
      </c>
      <c r="E1100">
        <v>87.47</v>
      </c>
      <c r="F1100" t="s">
        <v>1044</v>
      </c>
      <c r="G1100" s="2">
        <v>-3.1199999999999999E-2</v>
      </c>
    </row>
    <row r="1101" spans="1:7" x14ac:dyDescent="0.2">
      <c r="A1101" s="1">
        <v>45668</v>
      </c>
      <c r="B1101">
        <v>91.34</v>
      </c>
      <c r="C1101">
        <v>88.2</v>
      </c>
      <c r="D1101">
        <v>91.6</v>
      </c>
      <c r="E1101">
        <v>87.86</v>
      </c>
      <c r="F1101" t="s">
        <v>1045</v>
      </c>
      <c r="G1101" s="2">
        <v>2.4199999999999999E-2</v>
      </c>
    </row>
    <row r="1102" spans="1:7" x14ac:dyDescent="0.2">
      <c r="A1102" s="1">
        <v>45667</v>
      </c>
      <c r="B1102">
        <v>89.18</v>
      </c>
      <c r="C1102">
        <v>91.37</v>
      </c>
      <c r="D1102">
        <v>92.93</v>
      </c>
      <c r="E1102">
        <v>88.08</v>
      </c>
      <c r="F1102" t="s">
        <v>1046</v>
      </c>
      <c r="G1102" s="2">
        <v>-2.4500000000000001E-2</v>
      </c>
    </row>
    <row r="1103" spans="1:7" x14ac:dyDescent="0.2">
      <c r="A1103" s="1">
        <v>45666</v>
      </c>
      <c r="B1103">
        <v>91.42</v>
      </c>
      <c r="C1103">
        <v>91.41</v>
      </c>
      <c r="D1103">
        <v>93.58</v>
      </c>
      <c r="E1103">
        <v>90.06</v>
      </c>
      <c r="F1103" t="s">
        <v>1047</v>
      </c>
      <c r="G1103" s="2">
        <v>-8.8999999999999999E-3</v>
      </c>
    </row>
    <row r="1104" spans="1:7" x14ac:dyDescent="0.2">
      <c r="A1104" s="1">
        <v>45665</v>
      </c>
      <c r="B1104">
        <v>92.24</v>
      </c>
      <c r="C1104">
        <v>90.03</v>
      </c>
      <c r="D1104">
        <v>92.61</v>
      </c>
      <c r="E1104">
        <v>88.08</v>
      </c>
      <c r="F1104" t="s">
        <v>1048</v>
      </c>
      <c r="G1104" s="2">
        <v>3.4799999999999998E-2</v>
      </c>
    </row>
    <row r="1105" spans="1:7" x14ac:dyDescent="0.2">
      <c r="A1105" s="1">
        <v>45664</v>
      </c>
      <c r="B1105">
        <v>89.14</v>
      </c>
      <c r="C1105">
        <v>88.88</v>
      </c>
      <c r="D1105">
        <v>92.18</v>
      </c>
      <c r="E1105">
        <v>88.76</v>
      </c>
      <c r="F1105" t="s">
        <v>1049</v>
      </c>
      <c r="G1105" s="2">
        <v>8.9999999999999998E-4</v>
      </c>
    </row>
    <row r="1106" spans="1:7" x14ac:dyDescent="0.2">
      <c r="A1106" s="1">
        <v>45663</v>
      </c>
      <c r="B1106">
        <v>89.06</v>
      </c>
      <c r="C1106">
        <v>88.63</v>
      </c>
      <c r="D1106">
        <v>91.77</v>
      </c>
      <c r="E1106">
        <v>87.18</v>
      </c>
      <c r="F1106" t="s">
        <v>1050</v>
      </c>
      <c r="G1106" s="2">
        <v>-2.8999999999999998E-3</v>
      </c>
    </row>
    <row r="1107" spans="1:7" x14ac:dyDescent="0.2">
      <c r="A1107" s="1">
        <v>45662</v>
      </c>
      <c r="B1107">
        <v>89.32</v>
      </c>
      <c r="C1107">
        <v>88.64</v>
      </c>
      <c r="D1107">
        <v>90.43</v>
      </c>
      <c r="E1107">
        <v>86.36</v>
      </c>
      <c r="F1107" t="s">
        <v>1051</v>
      </c>
      <c r="G1107" s="2">
        <v>1.12E-2</v>
      </c>
    </row>
    <row r="1108" spans="1:7" x14ac:dyDescent="0.2">
      <c r="A1108" s="1">
        <v>45661</v>
      </c>
      <c r="B1108">
        <v>88.33</v>
      </c>
      <c r="C1108">
        <v>90.79</v>
      </c>
      <c r="D1108">
        <v>91.28</v>
      </c>
      <c r="E1108">
        <v>76.92</v>
      </c>
      <c r="F1108" t="s">
        <v>1052</v>
      </c>
      <c r="G1108" s="2">
        <v>-2.4400000000000002E-2</v>
      </c>
    </row>
    <row r="1109" spans="1:7" x14ac:dyDescent="0.2">
      <c r="A1109" s="1">
        <v>45660</v>
      </c>
      <c r="B1109">
        <v>90.54</v>
      </c>
      <c r="C1109">
        <v>94.04</v>
      </c>
      <c r="D1109">
        <v>94.95</v>
      </c>
      <c r="E1109">
        <v>88.29</v>
      </c>
      <c r="F1109" t="s">
        <v>1053</v>
      </c>
      <c r="G1109" s="2">
        <v>-3.5799999999999998E-2</v>
      </c>
    </row>
    <row r="1110" spans="1:7" x14ac:dyDescent="0.2">
      <c r="A1110" s="1">
        <v>45659</v>
      </c>
      <c r="B1110">
        <v>93.9</v>
      </c>
      <c r="C1110">
        <v>89.75</v>
      </c>
      <c r="D1110">
        <v>93.94</v>
      </c>
      <c r="E1110">
        <v>88.92</v>
      </c>
      <c r="F1110" t="s">
        <v>1054</v>
      </c>
      <c r="G1110" s="2">
        <v>3.6999999999999998E-2</v>
      </c>
    </row>
    <row r="1111" spans="1:7" x14ac:dyDescent="0.2">
      <c r="A1111" s="1">
        <v>45658</v>
      </c>
      <c r="B1111">
        <v>90.55</v>
      </c>
      <c r="C1111">
        <v>89.09</v>
      </c>
      <c r="D1111">
        <v>91.94</v>
      </c>
      <c r="E1111">
        <v>85.28</v>
      </c>
      <c r="F1111" t="s">
        <v>1055</v>
      </c>
      <c r="G1111" s="2">
        <v>1.6500000000000001E-2</v>
      </c>
    </row>
    <row r="1112" spans="1:7" x14ac:dyDescent="0.2">
      <c r="A1112" s="1">
        <v>45303</v>
      </c>
      <c r="B1112">
        <v>89.08</v>
      </c>
      <c r="C1112">
        <v>97.66</v>
      </c>
      <c r="D1112">
        <v>97.74</v>
      </c>
      <c r="E1112">
        <v>87.44</v>
      </c>
      <c r="F1112" t="s">
        <v>1056</v>
      </c>
      <c r="G1112" s="2">
        <v>-9.2499999999999999E-2</v>
      </c>
    </row>
    <row r="1113" spans="1:7" x14ac:dyDescent="0.2">
      <c r="A1113" s="1">
        <v>45302</v>
      </c>
      <c r="B1113">
        <v>98.16</v>
      </c>
      <c r="C1113">
        <v>94.68</v>
      </c>
      <c r="D1113">
        <v>99.2</v>
      </c>
      <c r="E1113">
        <v>92.37</v>
      </c>
      <c r="F1113" t="s">
        <v>1057</v>
      </c>
      <c r="G1113" s="2">
        <v>4.2599999999999999E-2</v>
      </c>
    </row>
    <row r="1114" spans="1:7" x14ac:dyDescent="0.2">
      <c r="A1114" s="1">
        <v>45301</v>
      </c>
      <c r="B1114">
        <v>94.15</v>
      </c>
      <c r="C1114">
        <v>97.63</v>
      </c>
      <c r="D1114">
        <v>97.8</v>
      </c>
      <c r="E1114">
        <v>93.43</v>
      </c>
      <c r="F1114" t="s">
        <v>1058</v>
      </c>
      <c r="G1114" s="2">
        <v>-3.3599999999999998E-2</v>
      </c>
    </row>
    <row r="1115" spans="1:7" x14ac:dyDescent="0.2">
      <c r="A1115" s="1">
        <v>45300</v>
      </c>
      <c r="B1115">
        <v>97.42</v>
      </c>
      <c r="C1115">
        <v>94.74</v>
      </c>
      <c r="D1115">
        <v>99.58</v>
      </c>
      <c r="E1115">
        <v>94.19</v>
      </c>
      <c r="F1115" t="s">
        <v>1059</v>
      </c>
      <c r="G1115" s="2">
        <v>2.41E-2</v>
      </c>
    </row>
    <row r="1116" spans="1:7" x14ac:dyDescent="0.2">
      <c r="A1116" s="1">
        <v>45299</v>
      </c>
      <c r="B1116">
        <v>95.13</v>
      </c>
      <c r="C1116">
        <v>91.46</v>
      </c>
      <c r="D1116">
        <v>95.37</v>
      </c>
      <c r="E1116">
        <v>88.27</v>
      </c>
      <c r="F1116" t="s">
        <v>1060</v>
      </c>
      <c r="G1116" s="2">
        <v>5.2200000000000003E-2</v>
      </c>
    </row>
    <row r="1117" spans="1:7" x14ac:dyDescent="0.2">
      <c r="A1117" s="1">
        <v>45298</v>
      </c>
      <c r="B1117">
        <v>90.41</v>
      </c>
      <c r="C1117">
        <v>83.69</v>
      </c>
      <c r="D1117">
        <v>91.54</v>
      </c>
      <c r="E1117">
        <v>82.46</v>
      </c>
      <c r="F1117" t="s">
        <v>1061</v>
      </c>
      <c r="G1117" s="2">
        <v>7.9399999999999998E-2</v>
      </c>
    </row>
    <row r="1118" spans="1:7" x14ac:dyDescent="0.2">
      <c r="A1118" s="1">
        <v>45297</v>
      </c>
      <c r="B1118">
        <v>83.76</v>
      </c>
      <c r="C1118">
        <v>83.69</v>
      </c>
      <c r="D1118">
        <v>85.46</v>
      </c>
      <c r="E1118">
        <v>82.1</v>
      </c>
      <c r="F1118" t="s">
        <v>1062</v>
      </c>
      <c r="G1118" s="2">
        <v>6.1999999999999998E-3</v>
      </c>
    </row>
    <row r="1119" spans="1:7" x14ac:dyDescent="0.2">
      <c r="A1119" s="1">
        <v>45296</v>
      </c>
      <c r="B1119">
        <v>83.24</v>
      </c>
      <c r="C1119">
        <v>79.5</v>
      </c>
      <c r="D1119">
        <v>85.42</v>
      </c>
      <c r="E1119">
        <v>79.37</v>
      </c>
      <c r="F1119" t="s">
        <v>1063</v>
      </c>
      <c r="G1119" s="2">
        <v>4.5600000000000002E-2</v>
      </c>
    </row>
    <row r="1120" spans="1:7" x14ac:dyDescent="0.2">
      <c r="A1120" s="1">
        <v>45295</v>
      </c>
      <c r="B1120">
        <v>79.61</v>
      </c>
      <c r="C1120">
        <v>86.74</v>
      </c>
      <c r="D1120">
        <v>86.74</v>
      </c>
      <c r="E1120">
        <v>78.27</v>
      </c>
      <c r="F1120" t="s">
        <v>1064</v>
      </c>
      <c r="G1120" s="2">
        <v>-7.9399999999999998E-2</v>
      </c>
    </row>
    <row r="1121" spans="1:7" x14ac:dyDescent="0.2">
      <c r="A1121" s="1">
        <v>45294</v>
      </c>
      <c r="B1121">
        <v>86.48</v>
      </c>
      <c r="C1121">
        <v>85.42</v>
      </c>
      <c r="D1121">
        <v>88.07</v>
      </c>
      <c r="E1121">
        <v>83.68</v>
      </c>
      <c r="F1121" t="s">
        <v>1065</v>
      </c>
      <c r="G1121" s="2">
        <v>1.09E-2</v>
      </c>
    </row>
    <row r="1122" spans="1:7" x14ac:dyDescent="0.2">
      <c r="A1122" s="1">
        <v>45293</v>
      </c>
      <c r="B1122">
        <v>85.55</v>
      </c>
      <c r="C1122">
        <v>83.8</v>
      </c>
      <c r="D1122">
        <v>86</v>
      </c>
      <c r="E1122">
        <v>81.540000000000006</v>
      </c>
      <c r="F1122" t="s">
        <v>1066</v>
      </c>
      <c r="G1122" s="2">
        <v>1.9800000000000002E-2</v>
      </c>
    </row>
    <row r="1123" spans="1:7" x14ac:dyDescent="0.2">
      <c r="A1123" s="1">
        <v>45292</v>
      </c>
      <c r="B1123">
        <v>83.89</v>
      </c>
      <c r="C1123">
        <v>88.05</v>
      </c>
      <c r="D1123">
        <v>89.26</v>
      </c>
      <c r="E1123">
        <v>83.73</v>
      </c>
      <c r="F1123" t="s">
        <v>1067</v>
      </c>
      <c r="G1123" s="2">
        <v>-5.0599999999999999E-2</v>
      </c>
    </row>
    <row r="1124" spans="1:7" x14ac:dyDescent="0.2">
      <c r="A1124" s="1">
        <v>44938</v>
      </c>
      <c r="B1124">
        <v>88.36</v>
      </c>
      <c r="C1124">
        <v>81.66</v>
      </c>
      <c r="D1124">
        <v>90.09</v>
      </c>
      <c r="E1124">
        <v>81.42</v>
      </c>
      <c r="F1124" t="s">
        <v>1068</v>
      </c>
      <c r="G1124" s="2">
        <v>8.1100000000000005E-2</v>
      </c>
    </row>
    <row r="1125" spans="1:7" x14ac:dyDescent="0.2">
      <c r="A1125" s="1">
        <v>44937</v>
      </c>
      <c r="B1125">
        <v>81.73</v>
      </c>
      <c r="C1125">
        <v>73.02</v>
      </c>
      <c r="D1125">
        <v>81.93</v>
      </c>
      <c r="E1125">
        <v>72.540000000000006</v>
      </c>
      <c r="F1125" t="s">
        <v>1069</v>
      </c>
      <c r="G1125" s="2">
        <v>0.1208</v>
      </c>
    </row>
    <row r="1126" spans="1:7" x14ac:dyDescent="0.2">
      <c r="A1126" s="1">
        <v>44936</v>
      </c>
      <c r="B1126">
        <v>72.92</v>
      </c>
      <c r="C1126">
        <v>75.41</v>
      </c>
      <c r="D1126">
        <v>77.28</v>
      </c>
      <c r="E1126">
        <v>70.61</v>
      </c>
      <c r="F1126" t="s">
        <v>1070</v>
      </c>
      <c r="G1126" s="2">
        <v>-3.6200000000000003E-2</v>
      </c>
    </row>
    <row r="1127" spans="1:7" x14ac:dyDescent="0.2">
      <c r="A1127" s="1">
        <v>44935</v>
      </c>
      <c r="B1127">
        <v>75.66</v>
      </c>
      <c r="C1127">
        <v>82.9</v>
      </c>
      <c r="D1127">
        <v>83.17</v>
      </c>
      <c r="E1127">
        <v>74.849999999999994</v>
      </c>
      <c r="F1127" t="s">
        <v>1071</v>
      </c>
      <c r="G1127" s="2">
        <v>-8.1600000000000006E-2</v>
      </c>
    </row>
    <row r="1128" spans="1:7" x14ac:dyDescent="0.2">
      <c r="A1128" s="1">
        <v>44934</v>
      </c>
      <c r="B1128">
        <v>82.38</v>
      </c>
      <c r="C1128">
        <v>85.04</v>
      </c>
      <c r="D1128">
        <v>85.42</v>
      </c>
      <c r="E1128">
        <v>79.040000000000006</v>
      </c>
      <c r="F1128" t="s">
        <v>1072</v>
      </c>
      <c r="G1128" s="2">
        <v>-3.3799999999999997E-2</v>
      </c>
    </row>
    <row r="1129" spans="1:7" x14ac:dyDescent="0.2">
      <c r="A1129" s="1">
        <v>44933</v>
      </c>
      <c r="B1129">
        <v>85.26</v>
      </c>
      <c r="C1129">
        <v>83.43</v>
      </c>
      <c r="D1129">
        <v>87.32</v>
      </c>
      <c r="E1129">
        <v>82.36</v>
      </c>
      <c r="F1129" t="s">
        <v>1073</v>
      </c>
      <c r="G1129" s="2">
        <v>2.0299999999999999E-2</v>
      </c>
    </row>
    <row r="1130" spans="1:7" x14ac:dyDescent="0.2">
      <c r="A1130" s="1">
        <v>44932</v>
      </c>
      <c r="B1130">
        <v>83.56</v>
      </c>
      <c r="C1130">
        <v>79.900000000000006</v>
      </c>
      <c r="D1130">
        <v>84.68</v>
      </c>
      <c r="E1130">
        <v>79.150000000000006</v>
      </c>
      <c r="F1130" t="s">
        <v>1074</v>
      </c>
      <c r="G1130" s="2">
        <v>4.4499999999999998E-2</v>
      </c>
    </row>
    <row r="1131" spans="1:7" x14ac:dyDescent="0.2">
      <c r="A1131" s="1">
        <v>44931</v>
      </c>
      <c r="B1131">
        <v>80</v>
      </c>
      <c r="C1131">
        <v>83.31</v>
      </c>
      <c r="D1131">
        <v>83.62</v>
      </c>
      <c r="E1131">
        <v>77.81</v>
      </c>
      <c r="F1131" t="s">
        <v>1075</v>
      </c>
      <c r="G1131" s="2">
        <v>-3.9600000000000003E-2</v>
      </c>
    </row>
    <row r="1132" spans="1:7" x14ac:dyDescent="0.2">
      <c r="A1132" s="1">
        <v>44930</v>
      </c>
      <c r="B1132">
        <v>83.3</v>
      </c>
      <c r="C1132">
        <v>82.94</v>
      </c>
      <c r="D1132">
        <v>83.98</v>
      </c>
      <c r="E1132">
        <v>80.290000000000006</v>
      </c>
      <c r="F1132" t="s">
        <v>1076</v>
      </c>
      <c r="G1132" s="2">
        <v>3.0999999999999999E-3</v>
      </c>
    </row>
    <row r="1133" spans="1:7" x14ac:dyDescent="0.2">
      <c r="A1133" s="1">
        <v>44929</v>
      </c>
      <c r="B1133">
        <v>83.04</v>
      </c>
      <c r="C1133">
        <v>85.12</v>
      </c>
      <c r="D1133">
        <v>87.41</v>
      </c>
      <c r="E1133">
        <v>76.22</v>
      </c>
      <c r="F1133" t="s">
        <v>1077</v>
      </c>
      <c r="G1133" s="2">
        <v>-3.1300000000000001E-2</v>
      </c>
    </row>
    <row r="1134" spans="1:7" x14ac:dyDescent="0.2">
      <c r="A1134" s="1">
        <v>44928</v>
      </c>
      <c r="B1134">
        <v>85.72</v>
      </c>
      <c r="C1134">
        <v>90.57</v>
      </c>
      <c r="D1134">
        <v>94.53</v>
      </c>
      <c r="E1134">
        <v>85.26</v>
      </c>
      <c r="F1134" t="s">
        <v>1078</v>
      </c>
      <c r="G1134" s="2">
        <v>-5.8599999999999999E-2</v>
      </c>
    </row>
    <row r="1135" spans="1:7" x14ac:dyDescent="0.2">
      <c r="A1135" s="1">
        <v>44927</v>
      </c>
      <c r="B1135">
        <v>91.06</v>
      </c>
      <c r="C1135">
        <v>83.17</v>
      </c>
      <c r="D1135">
        <v>91.17</v>
      </c>
      <c r="E1135">
        <v>81.66</v>
      </c>
      <c r="F1135" t="s">
        <v>1079</v>
      </c>
      <c r="G1135" s="2">
        <v>0.104</v>
      </c>
    </row>
    <row r="1136" spans="1:7" x14ac:dyDescent="0.2">
      <c r="A1136" s="1">
        <v>44573</v>
      </c>
      <c r="B1136">
        <v>82.48</v>
      </c>
      <c r="C1136">
        <v>88.72</v>
      </c>
      <c r="D1136">
        <v>89.47</v>
      </c>
      <c r="E1136">
        <v>80.489999999999995</v>
      </c>
      <c r="F1136" t="s">
        <v>1080</v>
      </c>
      <c r="G1136" s="2">
        <v>-6.3600000000000004E-2</v>
      </c>
    </row>
    <row r="1137" spans="1:7" x14ac:dyDescent="0.2">
      <c r="A1137" s="1">
        <v>44572</v>
      </c>
      <c r="B1137">
        <v>88.08</v>
      </c>
      <c r="C1137">
        <v>83.88</v>
      </c>
      <c r="D1137">
        <v>88.14</v>
      </c>
      <c r="E1137">
        <v>79.03</v>
      </c>
      <c r="F1137" t="s">
        <v>1081</v>
      </c>
      <c r="G1137" s="2">
        <v>6.1499999999999999E-2</v>
      </c>
    </row>
    <row r="1138" spans="1:7" x14ac:dyDescent="0.2">
      <c r="A1138" s="1">
        <v>44571</v>
      </c>
      <c r="B1138">
        <v>82.98</v>
      </c>
      <c r="C1138">
        <v>81.400000000000006</v>
      </c>
      <c r="D1138">
        <v>83.87</v>
      </c>
      <c r="E1138">
        <v>74.66</v>
      </c>
      <c r="F1138" t="s">
        <v>1082</v>
      </c>
      <c r="G1138" s="2">
        <v>3.5099999999999999E-2</v>
      </c>
    </row>
    <row r="1139" spans="1:7" x14ac:dyDescent="0.2">
      <c r="A1139" s="1">
        <v>44570</v>
      </c>
      <c r="B1139">
        <v>80.17</v>
      </c>
      <c r="C1139">
        <v>92.45</v>
      </c>
      <c r="D1139">
        <v>96.92</v>
      </c>
      <c r="E1139">
        <v>78.73</v>
      </c>
      <c r="F1139" t="s">
        <v>1083</v>
      </c>
      <c r="G1139" s="2">
        <v>-0.13800000000000001</v>
      </c>
    </row>
    <row r="1140" spans="1:7" x14ac:dyDescent="0.2">
      <c r="A1140" s="1">
        <v>44569</v>
      </c>
      <c r="B1140">
        <v>93.01</v>
      </c>
      <c r="C1140">
        <v>98.45</v>
      </c>
      <c r="D1140">
        <v>102.37</v>
      </c>
      <c r="E1140">
        <v>92.79</v>
      </c>
      <c r="F1140" t="s">
        <v>1084</v>
      </c>
      <c r="G1140" s="2">
        <v>-6.0100000000000001E-2</v>
      </c>
    </row>
    <row r="1141" spans="1:7" x14ac:dyDescent="0.2">
      <c r="A1141" s="1">
        <v>44568</v>
      </c>
      <c r="B1141">
        <v>98.96</v>
      </c>
      <c r="C1141">
        <v>90.97</v>
      </c>
      <c r="D1141">
        <v>99.32</v>
      </c>
      <c r="E1141">
        <v>89.45</v>
      </c>
      <c r="F1141" t="s">
        <v>1085</v>
      </c>
      <c r="G1141" s="2">
        <v>8.6199999999999999E-2</v>
      </c>
    </row>
    <row r="1142" spans="1:7" x14ac:dyDescent="0.2">
      <c r="A1142" s="1">
        <v>44567</v>
      </c>
      <c r="B1142">
        <v>91.11</v>
      </c>
      <c r="C1142">
        <v>99.4</v>
      </c>
      <c r="D1142">
        <v>99.65</v>
      </c>
      <c r="E1142">
        <v>86.63</v>
      </c>
      <c r="F1142" t="s">
        <v>1086</v>
      </c>
      <c r="G1142" s="2">
        <v>-8.0299999999999996E-2</v>
      </c>
    </row>
    <row r="1143" spans="1:7" x14ac:dyDescent="0.2">
      <c r="A1143" s="1">
        <v>44566</v>
      </c>
      <c r="B1143">
        <v>99.07</v>
      </c>
      <c r="C1143">
        <v>103.87</v>
      </c>
      <c r="D1143">
        <v>104.54</v>
      </c>
      <c r="E1143">
        <v>92.88</v>
      </c>
      <c r="F1143" t="s">
        <v>1087</v>
      </c>
      <c r="G1143" s="2">
        <v>-4.6899999999999997E-2</v>
      </c>
    </row>
    <row r="1144" spans="1:7" x14ac:dyDescent="0.2">
      <c r="A1144" s="1">
        <v>44565</v>
      </c>
      <c r="B1144">
        <v>103.94</v>
      </c>
      <c r="C1144">
        <v>108.87</v>
      </c>
      <c r="D1144">
        <v>113.41</v>
      </c>
      <c r="E1144">
        <v>103.68</v>
      </c>
      <c r="F1144" t="s">
        <v>1088</v>
      </c>
      <c r="G1144" s="2">
        <v>-4.0899999999999999E-2</v>
      </c>
    </row>
    <row r="1145" spans="1:7" x14ac:dyDescent="0.2">
      <c r="A1145" s="1">
        <v>44564</v>
      </c>
      <c r="B1145">
        <v>108.37</v>
      </c>
      <c r="C1145">
        <v>102.8</v>
      </c>
      <c r="D1145">
        <v>110.69</v>
      </c>
      <c r="E1145">
        <v>101.45</v>
      </c>
      <c r="F1145" t="s">
        <v>1089</v>
      </c>
      <c r="G1145" s="2">
        <v>5.6899999999999999E-2</v>
      </c>
    </row>
    <row r="1146" spans="1:7" x14ac:dyDescent="0.2">
      <c r="A1146" s="1">
        <v>44563</v>
      </c>
      <c r="B1146">
        <v>102.54</v>
      </c>
      <c r="C1146">
        <v>106.15</v>
      </c>
      <c r="D1146">
        <v>107.52</v>
      </c>
      <c r="E1146">
        <v>97.71</v>
      </c>
      <c r="F1146" t="s">
        <v>1090</v>
      </c>
      <c r="G1146" s="2">
        <v>-3.4799999999999998E-2</v>
      </c>
    </row>
    <row r="1147" spans="1:7" x14ac:dyDescent="0.2">
      <c r="A1147" s="1">
        <v>44562</v>
      </c>
      <c r="B1147">
        <v>106.24</v>
      </c>
      <c r="C1147">
        <v>116.21</v>
      </c>
      <c r="D1147">
        <v>116.24</v>
      </c>
      <c r="E1147">
        <v>100.62</v>
      </c>
      <c r="F1147" t="s">
        <v>1091</v>
      </c>
      <c r="G1147" s="2">
        <v>-8.4199999999999997E-2</v>
      </c>
    </row>
    <row r="1148" spans="1:7" x14ac:dyDescent="0.2">
      <c r="A1148" s="1">
        <v>44208</v>
      </c>
      <c r="B1148">
        <v>116.01</v>
      </c>
      <c r="C1148">
        <v>107.74</v>
      </c>
      <c r="D1148">
        <v>116.71</v>
      </c>
      <c r="E1148">
        <v>104.95</v>
      </c>
      <c r="F1148" t="s">
        <v>1092</v>
      </c>
      <c r="G1148" s="2">
        <v>8.6800000000000002E-2</v>
      </c>
    </row>
    <row r="1149" spans="1:7" x14ac:dyDescent="0.2">
      <c r="A1149" s="1">
        <v>44207</v>
      </c>
      <c r="B1149">
        <v>106.74</v>
      </c>
      <c r="C1149">
        <v>109.3</v>
      </c>
      <c r="D1149">
        <v>111.29</v>
      </c>
      <c r="E1149">
        <v>106.65</v>
      </c>
      <c r="F1149" t="s">
        <v>1093</v>
      </c>
      <c r="G1149" s="2">
        <v>-2.1100000000000001E-2</v>
      </c>
    </row>
    <row r="1150" spans="1:7" x14ac:dyDescent="0.2">
      <c r="A1150" s="1">
        <v>44206</v>
      </c>
      <c r="B1150">
        <v>109.04</v>
      </c>
      <c r="C1150">
        <v>102.44</v>
      </c>
      <c r="D1150">
        <v>110.3</v>
      </c>
      <c r="E1150">
        <v>101</v>
      </c>
      <c r="F1150" t="s">
        <v>1094</v>
      </c>
      <c r="G1150" s="2">
        <v>7.1300000000000002E-2</v>
      </c>
    </row>
    <row r="1151" spans="1:7" x14ac:dyDescent="0.2">
      <c r="A1151" s="1">
        <v>44205</v>
      </c>
      <c r="B1151">
        <v>101.78</v>
      </c>
      <c r="C1151">
        <v>108.84</v>
      </c>
      <c r="D1151">
        <v>111.06</v>
      </c>
      <c r="E1151">
        <v>101.78</v>
      </c>
      <c r="F1151" t="s">
        <v>1095</v>
      </c>
      <c r="G1151" s="2">
        <v>-6.2600000000000003E-2</v>
      </c>
    </row>
    <row r="1152" spans="1:7" x14ac:dyDescent="0.2">
      <c r="A1152" s="1">
        <v>44204</v>
      </c>
      <c r="B1152">
        <v>108.58</v>
      </c>
      <c r="C1152">
        <v>106.87</v>
      </c>
      <c r="D1152">
        <v>108.71</v>
      </c>
      <c r="E1152">
        <v>104.85</v>
      </c>
      <c r="F1152" t="s">
        <v>1096</v>
      </c>
      <c r="G1152" s="2">
        <v>2.1499999999999998E-2</v>
      </c>
    </row>
    <row r="1153" spans="1:7" x14ac:dyDescent="0.2">
      <c r="A1153" s="1">
        <v>44203</v>
      </c>
      <c r="B1153">
        <v>106.29</v>
      </c>
      <c r="C1153">
        <v>102.03</v>
      </c>
      <c r="D1153">
        <v>107.72</v>
      </c>
      <c r="E1153">
        <v>101.5</v>
      </c>
      <c r="F1153" t="s">
        <v>1097</v>
      </c>
      <c r="G1153" s="2">
        <v>4.4200000000000003E-2</v>
      </c>
    </row>
    <row r="1154" spans="1:7" x14ac:dyDescent="0.2">
      <c r="A1154" s="1">
        <v>44202</v>
      </c>
      <c r="B1154">
        <v>101.79</v>
      </c>
      <c r="C1154">
        <v>100.37</v>
      </c>
      <c r="D1154">
        <v>105.77</v>
      </c>
      <c r="E1154">
        <v>100.01</v>
      </c>
      <c r="F1154" t="s">
        <v>1098</v>
      </c>
      <c r="G1154" s="2">
        <v>1.9099999999999999E-2</v>
      </c>
    </row>
    <row r="1155" spans="1:7" x14ac:dyDescent="0.2">
      <c r="A1155" s="1">
        <v>44201</v>
      </c>
      <c r="B1155">
        <v>99.88</v>
      </c>
      <c r="C1155">
        <v>99.56</v>
      </c>
      <c r="D1155">
        <v>100.17</v>
      </c>
      <c r="E1155">
        <v>94.64</v>
      </c>
      <c r="F1155" t="s">
        <v>1099</v>
      </c>
      <c r="G1155" s="2">
        <v>8.0999999999999996E-3</v>
      </c>
    </row>
    <row r="1156" spans="1:7" x14ac:dyDescent="0.2">
      <c r="A1156" s="1">
        <v>44200</v>
      </c>
      <c r="B1156">
        <v>99.08</v>
      </c>
      <c r="C1156">
        <v>92.34</v>
      </c>
      <c r="D1156">
        <v>99.3</v>
      </c>
      <c r="E1156">
        <v>92</v>
      </c>
      <c r="F1156" t="s">
        <v>1100</v>
      </c>
      <c r="G1156" s="2">
        <v>7.8600000000000003E-2</v>
      </c>
    </row>
    <row r="1157" spans="1:7" x14ac:dyDescent="0.2">
      <c r="A1157" s="1">
        <v>44199</v>
      </c>
      <c r="B1157">
        <v>91.86</v>
      </c>
      <c r="C1157">
        <v>88.87</v>
      </c>
      <c r="D1157">
        <v>93.2</v>
      </c>
      <c r="E1157">
        <v>84.44</v>
      </c>
      <c r="F1157" t="s">
        <v>1101</v>
      </c>
      <c r="G1157" s="2">
        <v>4.5400000000000003E-2</v>
      </c>
    </row>
    <row r="1158" spans="1:7" x14ac:dyDescent="0.2">
      <c r="A1158" s="1">
        <v>44198</v>
      </c>
      <c r="B1158">
        <v>87.87</v>
      </c>
      <c r="C1158">
        <v>85.48</v>
      </c>
      <c r="D1158">
        <v>91.45</v>
      </c>
      <c r="E1158">
        <v>84.42</v>
      </c>
      <c r="F1158" t="s">
        <v>1058</v>
      </c>
      <c r="G1158" s="2">
        <v>3.4299999999999997E-2</v>
      </c>
    </row>
    <row r="1159" spans="1:7" x14ac:dyDescent="0.2">
      <c r="A1159" s="1">
        <v>44197</v>
      </c>
      <c r="B1159">
        <v>84.96</v>
      </c>
      <c r="C1159">
        <v>85.2</v>
      </c>
      <c r="D1159">
        <v>87.31</v>
      </c>
      <c r="E1159">
        <v>81.23</v>
      </c>
      <c r="F1159" t="s">
        <v>1102</v>
      </c>
      <c r="G1159" s="2">
        <v>4.0000000000000002E-4</v>
      </c>
    </row>
    <row r="1160" spans="1:7" x14ac:dyDescent="0.2">
      <c r="A1160" s="1">
        <v>43842</v>
      </c>
      <c r="B1160">
        <v>84.93</v>
      </c>
      <c r="C1160">
        <v>84.96</v>
      </c>
      <c r="D1160">
        <v>86.77</v>
      </c>
      <c r="E1160">
        <v>83.23</v>
      </c>
      <c r="F1160" t="s">
        <v>1103</v>
      </c>
      <c r="G1160" s="2">
        <v>1.11E-2</v>
      </c>
    </row>
    <row r="1161" spans="1:7" x14ac:dyDescent="0.2">
      <c r="A1161" s="1">
        <v>43841</v>
      </c>
      <c r="B1161">
        <v>84</v>
      </c>
      <c r="C1161">
        <v>77.400000000000006</v>
      </c>
      <c r="D1161">
        <v>88.29</v>
      </c>
      <c r="E1161">
        <v>76.88</v>
      </c>
      <c r="F1161" t="s">
        <v>1104</v>
      </c>
      <c r="G1161" s="2">
        <v>9.6699999999999994E-2</v>
      </c>
    </row>
    <row r="1162" spans="1:7" x14ac:dyDescent="0.2">
      <c r="A1162" s="1">
        <v>43840</v>
      </c>
      <c r="B1162">
        <v>76.59</v>
      </c>
      <c r="C1162">
        <v>79.28</v>
      </c>
      <c r="D1162">
        <v>83.88</v>
      </c>
      <c r="E1162">
        <v>75.459999999999994</v>
      </c>
      <c r="F1162" t="s">
        <v>1105</v>
      </c>
      <c r="G1162" s="2">
        <v>-0.03</v>
      </c>
    </row>
    <row r="1163" spans="1:7" x14ac:dyDescent="0.2">
      <c r="A1163" s="1">
        <v>43839</v>
      </c>
      <c r="B1163">
        <v>78.959999999999994</v>
      </c>
      <c r="C1163">
        <v>81.47</v>
      </c>
      <c r="D1163">
        <v>84.49</v>
      </c>
      <c r="E1163">
        <v>75.72</v>
      </c>
      <c r="F1163" t="s">
        <v>1106</v>
      </c>
      <c r="G1163" s="2">
        <v>-3.4099999999999998E-2</v>
      </c>
    </row>
    <row r="1164" spans="1:7" x14ac:dyDescent="0.2">
      <c r="A1164" s="1">
        <v>43838</v>
      </c>
      <c r="B1164">
        <v>81.75</v>
      </c>
      <c r="C1164">
        <v>81.42</v>
      </c>
      <c r="D1164">
        <v>83.47</v>
      </c>
      <c r="E1164">
        <v>79.38</v>
      </c>
      <c r="F1164" t="s">
        <v>1107</v>
      </c>
      <c r="G1164" s="2">
        <v>4.4000000000000003E-3</v>
      </c>
    </row>
    <row r="1165" spans="1:7" x14ac:dyDescent="0.2">
      <c r="A1165" s="1">
        <v>43837</v>
      </c>
      <c r="B1165">
        <v>81.39</v>
      </c>
      <c r="C1165">
        <v>78.8</v>
      </c>
      <c r="D1165">
        <v>82.07</v>
      </c>
      <c r="E1165">
        <v>76.650000000000006</v>
      </c>
      <c r="F1165" t="s">
        <v>1108</v>
      </c>
      <c r="G1165" s="2">
        <v>3.6400000000000002E-2</v>
      </c>
    </row>
    <row r="1166" spans="1:7" x14ac:dyDescent="0.2">
      <c r="A1166" s="1">
        <v>43836</v>
      </c>
      <c r="B1166">
        <v>78.53</v>
      </c>
      <c r="C1166">
        <v>77.36</v>
      </c>
      <c r="D1166">
        <v>86.8</v>
      </c>
      <c r="E1166">
        <v>75.650000000000006</v>
      </c>
      <c r="F1166" t="s">
        <v>1109</v>
      </c>
      <c r="G1166" s="2">
        <v>1.4200000000000001E-2</v>
      </c>
    </row>
    <row r="1167" spans="1:7" x14ac:dyDescent="0.2">
      <c r="A1167" s="1">
        <v>43835</v>
      </c>
      <c r="B1167">
        <v>77.430000000000007</v>
      </c>
      <c r="C1167">
        <v>74.08</v>
      </c>
      <c r="D1167">
        <v>78.819999999999993</v>
      </c>
      <c r="E1167">
        <v>66.27</v>
      </c>
      <c r="F1167" t="s">
        <v>1110</v>
      </c>
      <c r="G1167" s="2">
        <v>1.7299999999999999E-2</v>
      </c>
    </row>
    <row r="1168" spans="1:7" x14ac:dyDescent="0.2">
      <c r="A1168" s="1">
        <v>43834</v>
      </c>
      <c r="B1168">
        <v>76.11</v>
      </c>
      <c r="C1168">
        <v>66.510000000000005</v>
      </c>
      <c r="D1168">
        <v>79.989999999999995</v>
      </c>
      <c r="E1168">
        <v>63.27</v>
      </c>
      <c r="F1168" t="s">
        <v>1111</v>
      </c>
      <c r="G1168" s="2">
        <v>8.9599999999999999E-2</v>
      </c>
    </row>
    <row r="1169" spans="1:7" x14ac:dyDescent="0.2">
      <c r="A1169" s="1">
        <v>43833</v>
      </c>
      <c r="B1169">
        <v>69.849999999999994</v>
      </c>
      <c r="C1169">
        <v>87.65</v>
      </c>
      <c r="D1169">
        <v>94.4</v>
      </c>
      <c r="E1169">
        <v>55.58</v>
      </c>
      <c r="F1169" t="s">
        <v>1112</v>
      </c>
      <c r="G1169" s="2">
        <v>-0.20019999999999999</v>
      </c>
    </row>
    <row r="1170" spans="1:7" x14ac:dyDescent="0.2">
      <c r="A1170" s="1">
        <v>43832</v>
      </c>
      <c r="B1170">
        <v>87.33</v>
      </c>
      <c r="C1170">
        <v>93.88</v>
      </c>
      <c r="D1170">
        <v>99.72</v>
      </c>
      <c r="E1170">
        <v>84.66</v>
      </c>
      <c r="F1170" t="s">
        <v>1113</v>
      </c>
      <c r="G1170" s="2">
        <v>-7.0300000000000001E-2</v>
      </c>
    </row>
    <row r="1171" spans="1:7" x14ac:dyDescent="0.2">
      <c r="A1171" s="1">
        <v>43831</v>
      </c>
      <c r="B1171">
        <v>93.93</v>
      </c>
      <c r="C1171">
        <v>93.19</v>
      </c>
      <c r="D1171">
        <v>96.15</v>
      </c>
      <c r="E1171">
        <v>90.85</v>
      </c>
      <c r="F1171" t="s">
        <v>1114</v>
      </c>
      <c r="G1171" s="2">
        <v>1.23E-2</v>
      </c>
    </row>
    <row r="1172" spans="1:7" x14ac:dyDescent="0.2">
      <c r="A1172" s="1">
        <v>43477</v>
      </c>
      <c r="B1172">
        <v>92.79</v>
      </c>
      <c r="C1172">
        <v>92.7</v>
      </c>
      <c r="D1172">
        <v>93.36</v>
      </c>
      <c r="E1172">
        <v>89.22</v>
      </c>
      <c r="F1172" t="s">
        <v>1115</v>
      </c>
      <c r="G1172" s="2">
        <v>-3.0000000000000001E-3</v>
      </c>
    </row>
    <row r="1173" spans="1:7" x14ac:dyDescent="0.2">
      <c r="A1173" s="1">
        <v>43476</v>
      </c>
      <c r="B1173">
        <v>93.07</v>
      </c>
      <c r="C1173">
        <v>94.41</v>
      </c>
      <c r="D1173">
        <v>94.79</v>
      </c>
      <c r="E1173">
        <v>90.52</v>
      </c>
      <c r="F1173" t="s">
        <v>1116</v>
      </c>
      <c r="G1173" s="2">
        <v>-1.2999999999999999E-2</v>
      </c>
    </row>
    <row r="1174" spans="1:7" x14ac:dyDescent="0.2">
      <c r="A1174" s="1">
        <v>43475</v>
      </c>
      <c r="B1174">
        <v>94.3</v>
      </c>
      <c r="C1174">
        <v>93.2</v>
      </c>
      <c r="D1174">
        <v>95.49</v>
      </c>
      <c r="E1174">
        <v>91.39</v>
      </c>
      <c r="F1174" t="s">
        <v>1117</v>
      </c>
      <c r="G1174" s="2">
        <v>1.1299999999999999E-2</v>
      </c>
    </row>
    <row r="1175" spans="1:7" x14ac:dyDescent="0.2">
      <c r="A1175" s="1">
        <v>43474</v>
      </c>
      <c r="B1175">
        <v>93.25</v>
      </c>
      <c r="C1175">
        <v>92.2</v>
      </c>
      <c r="D1175">
        <v>94.07</v>
      </c>
      <c r="E1175">
        <v>91.24</v>
      </c>
      <c r="F1175" t="s">
        <v>1118</v>
      </c>
      <c r="G1175" s="2">
        <v>1.12E-2</v>
      </c>
    </row>
    <row r="1176" spans="1:7" x14ac:dyDescent="0.2">
      <c r="A1176" s="1">
        <v>43473</v>
      </c>
      <c r="B1176">
        <v>92.22</v>
      </c>
      <c r="C1176">
        <v>89.01</v>
      </c>
      <c r="D1176">
        <v>92.55</v>
      </c>
      <c r="E1176">
        <v>86.45</v>
      </c>
      <c r="F1176" t="s">
        <v>1119</v>
      </c>
      <c r="G1176" s="2">
        <v>3.7499999999999999E-2</v>
      </c>
    </row>
    <row r="1177" spans="1:7" x14ac:dyDescent="0.2">
      <c r="A1177" s="1">
        <v>43472</v>
      </c>
      <c r="B1177">
        <v>88.89</v>
      </c>
      <c r="C1177">
        <v>87.98</v>
      </c>
      <c r="D1177">
        <v>91</v>
      </c>
      <c r="E1177">
        <v>86.33</v>
      </c>
      <c r="F1177" t="s">
        <v>1120</v>
      </c>
      <c r="G1177" s="2">
        <v>1.7000000000000001E-2</v>
      </c>
    </row>
    <row r="1178" spans="1:7" x14ac:dyDescent="0.2">
      <c r="A1178" s="1">
        <v>43471</v>
      </c>
      <c r="B1178">
        <v>87.4</v>
      </c>
      <c r="C1178">
        <v>87.2</v>
      </c>
      <c r="D1178">
        <v>91.85</v>
      </c>
      <c r="E1178">
        <v>85.95</v>
      </c>
      <c r="F1178" t="s">
        <v>1121</v>
      </c>
      <c r="G1178" s="2">
        <v>5.8999999999999999E-3</v>
      </c>
    </row>
    <row r="1179" spans="1:7" x14ac:dyDescent="0.2">
      <c r="A1179" s="1">
        <v>43470</v>
      </c>
      <c r="B1179">
        <v>86.89</v>
      </c>
      <c r="C1179">
        <v>86.77</v>
      </c>
      <c r="D1179">
        <v>88.59</v>
      </c>
      <c r="E1179">
        <v>84.96</v>
      </c>
      <c r="F1179" t="s">
        <v>1122</v>
      </c>
      <c r="G1179" s="2">
        <v>1.4E-3</v>
      </c>
    </row>
    <row r="1180" spans="1:7" x14ac:dyDescent="0.2">
      <c r="A1180" s="1">
        <v>43469</v>
      </c>
      <c r="B1180">
        <v>86.77</v>
      </c>
      <c r="C1180">
        <v>87</v>
      </c>
      <c r="D1180">
        <v>88.14</v>
      </c>
      <c r="E1180">
        <v>83.78</v>
      </c>
      <c r="F1180" t="s">
        <v>1123</v>
      </c>
      <c r="G1180" s="2">
        <v>-1.6000000000000001E-3</v>
      </c>
    </row>
    <row r="1181" spans="1:7" x14ac:dyDescent="0.2">
      <c r="A1181" s="1">
        <v>43468</v>
      </c>
      <c r="B1181">
        <v>86.91</v>
      </c>
      <c r="C1181">
        <v>83.94</v>
      </c>
      <c r="D1181">
        <v>87.42</v>
      </c>
      <c r="E1181">
        <v>82.82</v>
      </c>
      <c r="F1181" t="s">
        <v>1124</v>
      </c>
      <c r="G1181" s="2">
        <v>3.4799999999999998E-2</v>
      </c>
    </row>
    <row r="1182" spans="1:7" x14ac:dyDescent="0.2">
      <c r="A1182" s="1">
        <v>43467</v>
      </c>
      <c r="B1182">
        <v>83.99</v>
      </c>
      <c r="C1182">
        <v>83.49</v>
      </c>
      <c r="D1182">
        <v>85.44</v>
      </c>
      <c r="E1182">
        <v>81.72</v>
      </c>
      <c r="F1182" t="s">
        <v>1125</v>
      </c>
      <c r="G1182" s="2">
        <v>7.0000000000000001E-3</v>
      </c>
    </row>
    <row r="1183" spans="1:7" x14ac:dyDescent="0.2">
      <c r="A1183" s="1">
        <v>43466</v>
      </c>
      <c r="B1183">
        <v>83.41</v>
      </c>
      <c r="C1183">
        <v>73.56</v>
      </c>
      <c r="D1183">
        <v>83.47</v>
      </c>
      <c r="E1183">
        <v>72.53</v>
      </c>
      <c r="F1183" t="s">
        <v>1126</v>
      </c>
      <c r="G1183" s="2">
        <v>0.11849999999999999</v>
      </c>
    </row>
    <row r="1184" spans="1:7" x14ac:dyDescent="0.2">
      <c r="A1184" s="1">
        <v>43112</v>
      </c>
      <c r="B1184">
        <v>74.569999999999993</v>
      </c>
      <c r="C1184">
        <v>82.48</v>
      </c>
      <c r="D1184">
        <v>83.31</v>
      </c>
      <c r="E1184">
        <v>71.08</v>
      </c>
      <c r="F1184" t="s">
        <v>1127</v>
      </c>
      <c r="G1184" s="2">
        <v>-9.0399999999999994E-2</v>
      </c>
    </row>
    <row r="1185" spans="1:7" x14ac:dyDescent="0.2">
      <c r="A1185" s="1">
        <v>43111</v>
      </c>
      <c r="B1185">
        <v>81.98</v>
      </c>
      <c r="C1185">
        <v>78.38</v>
      </c>
      <c r="D1185">
        <v>82.05</v>
      </c>
      <c r="E1185">
        <v>77.150000000000006</v>
      </c>
      <c r="F1185" t="s">
        <v>1128</v>
      </c>
      <c r="G1185" s="2">
        <v>4.6699999999999998E-2</v>
      </c>
    </row>
    <row r="1186" spans="1:7" x14ac:dyDescent="0.2">
      <c r="A1186" s="1">
        <v>43110</v>
      </c>
      <c r="B1186">
        <v>78.319999999999993</v>
      </c>
      <c r="C1186">
        <v>80.599999999999994</v>
      </c>
      <c r="D1186">
        <v>80.819999999999993</v>
      </c>
      <c r="E1186">
        <v>75.38</v>
      </c>
      <c r="F1186" t="s">
        <v>1129</v>
      </c>
      <c r="G1186" s="2">
        <v>-2.93E-2</v>
      </c>
    </row>
    <row r="1187" spans="1:7" x14ac:dyDescent="0.2">
      <c r="A1187" s="1">
        <v>43109</v>
      </c>
      <c r="B1187">
        <v>80.680000000000007</v>
      </c>
      <c r="C1187">
        <v>83.86</v>
      </c>
      <c r="D1187">
        <v>84.07</v>
      </c>
      <c r="E1187">
        <v>79.180000000000007</v>
      </c>
      <c r="F1187" t="s">
        <v>1130</v>
      </c>
      <c r="G1187" s="2">
        <v>-4.0099999999999997E-2</v>
      </c>
    </row>
    <row r="1188" spans="1:7" x14ac:dyDescent="0.2">
      <c r="A1188" s="1">
        <v>43108</v>
      </c>
      <c r="B1188">
        <v>84.05</v>
      </c>
      <c r="C1188">
        <v>81.349999999999994</v>
      </c>
      <c r="D1188">
        <v>84.55</v>
      </c>
      <c r="E1188">
        <v>81.13</v>
      </c>
      <c r="F1188" t="s">
        <v>1131</v>
      </c>
      <c r="G1188" s="2">
        <v>2.58E-2</v>
      </c>
    </row>
    <row r="1189" spans="1:7" x14ac:dyDescent="0.2">
      <c r="A1189" s="1">
        <v>43107</v>
      </c>
      <c r="B1189">
        <v>81.94</v>
      </c>
      <c r="C1189">
        <v>81.52</v>
      </c>
      <c r="D1189">
        <v>83.15</v>
      </c>
      <c r="E1189">
        <v>79.989999999999995</v>
      </c>
      <c r="F1189" t="s">
        <v>1132</v>
      </c>
      <c r="G1189" s="2">
        <v>6.0000000000000001E-3</v>
      </c>
    </row>
    <row r="1190" spans="1:7" x14ac:dyDescent="0.2">
      <c r="A1190" s="1">
        <v>43106</v>
      </c>
      <c r="B1190">
        <v>81.45</v>
      </c>
      <c r="C1190">
        <v>78.59</v>
      </c>
      <c r="D1190">
        <v>81.8</v>
      </c>
      <c r="E1190">
        <v>78.430000000000007</v>
      </c>
      <c r="F1190" t="s">
        <v>1133</v>
      </c>
      <c r="G1190" s="2">
        <v>3.2500000000000001E-2</v>
      </c>
    </row>
    <row r="1191" spans="1:7" x14ac:dyDescent="0.2">
      <c r="A1191" s="1">
        <v>43105</v>
      </c>
      <c r="B1191">
        <v>78.89</v>
      </c>
      <c r="C1191">
        <v>76.08</v>
      </c>
      <c r="D1191">
        <v>79.39</v>
      </c>
      <c r="E1191">
        <v>75.5</v>
      </c>
      <c r="F1191" t="s">
        <v>1134</v>
      </c>
      <c r="G1191" s="2">
        <v>3.6799999999999999E-2</v>
      </c>
    </row>
    <row r="1192" spans="1:7" x14ac:dyDescent="0.2">
      <c r="A1192" s="1">
        <v>43104</v>
      </c>
      <c r="B1192">
        <v>76.09</v>
      </c>
      <c r="C1192">
        <v>75.34</v>
      </c>
      <c r="D1192">
        <v>76.709999999999994</v>
      </c>
      <c r="E1192">
        <v>73.55</v>
      </c>
      <c r="F1192" t="s">
        <v>1135</v>
      </c>
      <c r="G1192" s="2">
        <v>8.2000000000000007E-3</v>
      </c>
    </row>
    <row r="1193" spans="1:7" x14ac:dyDescent="0.2">
      <c r="A1193" s="1">
        <v>43103</v>
      </c>
      <c r="B1193">
        <v>75.47</v>
      </c>
      <c r="C1193">
        <v>73.19</v>
      </c>
      <c r="D1193">
        <v>76.66</v>
      </c>
      <c r="E1193">
        <v>72.62</v>
      </c>
      <c r="F1193" t="s">
        <v>1136</v>
      </c>
      <c r="G1193" s="2">
        <v>2.8899999999999999E-2</v>
      </c>
    </row>
    <row r="1194" spans="1:7" x14ac:dyDescent="0.2">
      <c r="A1194" s="1">
        <v>43102</v>
      </c>
      <c r="B1194">
        <v>73.349999999999994</v>
      </c>
      <c r="C1194">
        <v>79.09</v>
      </c>
      <c r="D1194">
        <v>79.739999999999995</v>
      </c>
      <c r="E1194">
        <v>72.05</v>
      </c>
      <c r="F1194" t="s">
        <v>1137</v>
      </c>
      <c r="G1194" s="2">
        <v>-7.6799999999999993E-2</v>
      </c>
    </row>
    <row r="1195" spans="1:7" x14ac:dyDescent="0.2">
      <c r="A1195" s="1">
        <v>43101</v>
      </c>
      <c r="B1195">
        <v>79.45</v>
      </c>
      <c r="C1195">
        <v>83.04</v>
      </c>
      <c r="D1195">
        <v>83.17</v>
      </c>
      <c r="E1195">
        <v>77.92</v>
      </c>
      <c r="F1195" t="s">
        <v>1138</v>
      </c>
      <c r="G1195" s="2">
        <v>-4.2500000000000003E-2</v>
      </c>
    </row>
    <row r="1196" spans="1:7" x14ac:dyDescent="0.2">
      <c r="A1196" s="1">
        <v>42747</v>
      </c>
      <c r="B1196">
        <v>82.98</v>
      </c>
      <c r="C1196">
        <v>84.49</v>
      </c>
      <c r="D1196">
        <v>86.14</v>
      </c>
      <c r="E1196">
        <v>81.180000000000007</v>
      </c>
      <c r="F1196" t="s">
        <v>1139</v>
      </c>
      <c r="G1196" s="2">
        <v>-1.67E-2</v>
      </c>
    </row>
    <row r="1197" spans="1:7" x14ac:dyDescent="0.2">
      <c r="A1197" s="1">
        <v>42746</v>
      </c>
      <c r="B1197">
        <v>84.39</v>
      </c>
      <c r="C1197">
        <v>82.34</v>
      </c>
      <c r="D1197">
        <v>85.48</v>
      </c>
      <c r="E1197">
        <v>82.15</v>
      </c>
      <c r="F1197" t="s">
        <v>1140</v>
      </c>
      <c r="G1197" s="2">
        <v>2.6599999999999999E-2</v>
      </c>
    </row>
    <row r="1198" spans="1:7" x14ac:dyDescent="0.2">
      <c r="A1198" s="1">
        <v>42745</v>
      </c>
      <c r="B1198">
        <v>82.2</v>
      </c>
      <c r="C1198">
        <v>83.22</v>
      </c>
      <c r="D1198">
        <v>85</v>
      </c>
      <c r="E1198">
        <v>81.34</v>
      </c>
      <c r="F1198" t="s">
        <v>1141</v>
      </c>
      <c r="G1198" s="2">
        <v>-1.0699999999999999E-2</v>
      </c>
    </row>
    <row r="1199" spans="1:7" x14ac:dyDescent="0.2">
      <c r="A1199" s="1">
        <v>42744</v>
      </c>
      <c r="B1199">
        <v>83.09</v>
      </c>
      <c r="C1199">
        <v>84.06</v>
      </c>
      <c r="D1199">
        <v>85.8</v>
      </c>
      <c r="E1199">
        <v>82.07</v>
      </c>
      <c r="F1199" t="s">
        <v>1142</v>
      </c>
      <c r="G1199" s="2">
        <v>-1.1299999999999999E-2</v>
      </c>
    </row>
    <row r="1200" spans="1:7" x14ac:dyDescent="0.2">
      <c r="A1200" s="1">
        <v>42743</v>
      </c>
      <c r="B1200">
        <v>84.04</v>
      </c>
      <c r="C1200">
        <v>84.52</v>
      </c>
      <c r="D1200">
        <v>85</v>
      </c>
      <c r="E1200">
        <v>81.73</v>
      </c>
      <c r="F1200" t="s">
        <v>1143</v>
      </c>
      <c r="G1200" s="2">
        <v>-2.5999999999999999E-3</v>
      </c>
    </row>
    <row r="1201" spans="1:7" x14ac:dyDescent="0.2">
      <c r="A1201" s="1">
        <v>42742</v>
      </c>
      <c r="B1201">
        <v>84.26</v>
      </c>
      <c r="C1201">
        <v>83.56</v>
      </c>
      <c r="D1201">
        <v>84.73</v>
      </c>
      <c r="E1201">
        <v>80.58</v>
      </c>
      <c r="F1201" t="s">
        <v>1144</v>
      </c>
      <c r="G1201" s="2">
        <v>1.24E-2</v>
      </c>
    </row>
    <row r="1202" spans="1:7" x14ac:dyDescent="0.2">
      <c r="A1202" s="1">
        <v>42741</v>
      </c>
      <c r="B1202">
        <v>83.23</v>
      </c>
      <c r="C1202">
        <v>81.96</v>
      </c>
      <c r="D1202">
        <v>85.39</v>
      </c>
      <c r="E1202">
        <v>81.760000000000005</v>
      </c>
      <c r="F1202" t="s">
        <v>1145</v>
      </c>
      <c r="G1202" s="2">
        <v>1.2699999999999999E-2</v>
      </c>
    </row>
    <row r="1203" spans="1:7" x14ac:dyDescent="0.2">
      <c r="A1203" s="1">
        <v>42740</v>
      </c>
      <c r="B1203">
        <v>82.19</v>
      </c>
      <c r="C1203">
        <v>83.15</v>
      </c>
      <c r="D1203">
        <v>83.65</v>
      </c>
      <c r="E1203">
        <v>80.7</v>
      </c>
      <c r="F1203" t="s">
        <v>1146</v>
      </c>
      <c r="G1203" s="2">
        <v>-7.1999999999999998E-3</v>
      </c>
    </row>
    <row r="1204" spans="1:7" x14ac:dyDescent="0.2">
      <c r="A1204" s="1">
        <v>42739</v>
      </c>
      <c r="B1204">
        <v>82.79</v>
      </c>
      <c r="C1204">
        <v>82.36</v>
      </c>
      <c r="D1204">
        <v>85.72</v>
      </c>
      <c r="E1204">
        <v>82.32</v>
      </c>
      <c r="F1204" t="s">
        <v>1147</v>
      </c>
      <c r="G1204" s="2">
        <v>2.3999999999999998E-3</v>
      </c>
    </row>
    <row r="1205" spans="1:7" x14ac:dyDescent="0.2">
      <c r="A1205" s="1">
        <v>42738</v>
      </c>
      <c r="B1205">
        <v>82.59</v>
      </c>
      <c r="C1205">
        <v>85</v>
      </c>
      <c r="D1205">
        <v>85.49</v>
      </c>
      <c r="E1205">
        <v>79.98</v>
      </c>
      <c r="F1205" t="s">
        <v>1148</v>
      </c>
      <c r="G1205" s="2">
        <v>-3.1300000000000001E-2</v>
      </c>
    </row>
    <row r="1206" spans="1:7" x14ac:dyDescent="0.2">
      <c r="A1206" s="1">
        <v>42737</v>
      </c>
      <c r="B1206">
        <v>85.26</v>
      </c>
      <c r="C1206">
        <v>82.28</v>
      </c>
      <c r="D1206">
        <v>86.16</v>
      </c>
      <c r="E1206">
        <v>81.319999999999993</v>
      </c>
      <c r="F1206" t="s">
        <v>1149</v>
      </c>
      <c r="G1206" s="2">
        <v>3.5099999999999999E-2</v>
      </c>
    </row>
    <row r="1207" spans="1:7" x14ac:dyDescent="0.2">
      <c r="A1207" s="1">
        <v>42736</v>
      </c>
      <c r="B1207">
        <v>82.37</v>
      </c>
      <c r="C1207">
        <v>82.98</v>
      </c>
      <c r="D1207">
        <v>84.7</v>
      </c>
      <c r="E1207">
        <v>81.569999999999993</v>
      </c>
      <c r="F1207" t="s">
        <v>1150</v>
      </c>
      <c r="G1207" s="2">
        <v>-1.9E-3</v>
      </c>
    </row>
    <row r="1208" spans="1:7" x14ac:dyDescent="0.2">
      <c r="A1208" s="1">
        <v>42381</v>
      </c>
      <c r="B1208">
        <v>82.53</v>
      </c>
      <c r="C1208">
        <v>79.92</v>
      </c>
      <c r="D1208">
        <v>84.26</v>
      </c>
      <c r="E1208">
        <v>78.760000000000005</v>
      </c>
      <c r="F1208" t="s">
        <v>1151</v>
      </c>
      <c r="G1208" s="2">
        <v>2.6599999999999999E-2</v>
      </c>
    </row>
    <row r="1209" spans="1:7" x14ac:dyDescent="0.2">
      <c r="A1209" s="1">
        <v>42380</v>
      </c>
      <c r="B1209">
        <v>80.39</v>
      </c>
      <c r="C1209">
        <v>81.400000000000006</v>
      </c>
      <c r="D1209">
        <v>81.73</v>
      </c>
      <c r="E1209">
        <v>76.98</v>
      </c>
      <c r="F1209" t="s">
        <v>1152</v>
      </c>
      <c r="G1209" s="2">
        <v>-1.6799999999999999E-2</v>
      </c>
    </row>
    <row r="1210" spans="1:7" x14ac:dyDescent="0.2">
      <c r="A1210" s="1">
        <v>42379</v>
      </c>
      <c r="B1210">
        <v>81.760000000000005</v>
      </c>
      <c r="C1210">
        <v>86.01</v>
      </c>
      <c r="D1210">
        <v>86.29</v>
      </c>
      <c r="E1210">
        <v>80.040000000000006</v>
      </c>
      <c r="F1210" t="s">
        <v>1153</v>
      </c>
      <c r="G1210" s="2">
        <v>-5.74E-2</v>
      </c>
    </row>
    <row r="1211" spans="1:7" x14ac:dyDescent="0.2">
      <c r="A1211" s="1">
        <v>42378</v>
      </c>
      <c r="B1211">
        <v>86.74</v>
      </c>
      <c r="C1211">
        <v>89.07</v>
      </c>
      <c r="D1211">
        <v>90.8</v>
      </c>
      <c r="E1211">
        <v>84.13</v>
      </c>
      <c r="F1211" t="s">
        <v>1154</v>
      </c>
      <c r="G1211" s="2">
        <v>-2.5100000000000001E-2</v>
      </c>
    </row>
    <row r="1212" spans="1:7" x14ac:dyDescent="0.2">
      <c r="A1212" s="1">
        <v>42377</v>
      </c>
      <c r="B1212">
        <v>88.97</v>
      </c>
      <c r="C1212">
        <v>92.33</v>
      </c>
      <c r="D1212">
        <v>92.75</v>
      </c>
      <c r="E1212">
        <v>87.59</v>
      </c>
      <c r="F1212" t="s">
        <v>1155</v>
      </c>
      <c r="G1212" s="2">
        <v>-3.7600000000000001E-2</v>
      </c>
    </row>
    <row r="1213" spans="1:7" x14ac:dyDescent="0.2">
      <c r="A1213" s="1">
        <v>42376</v>
      </c>
      <c r="B1213">
        <v>92.45</v>
      </c>
      <c r="C1213">
        <v>88.97</v>
      </c>
      <c r="D1213">
        <v>92.92</v>
      </c>
      <c r="E1213">
        <v>87.88</v>
      </c>
      <c r="F1213" t="s">
        <v>1156</v>
      </c>
      <c r="G1213" s="2">
        <v>4.2599999999999999E-2</v>
      </c>
    </row>
    <row r="1214" spans="1:7" x14ac:dyDescent="0.2">
      <c r="A1214" s="1">
        <v>42375</v>
      </c>
      <c r="B1214">
        <v>88.67</v>
      </c>
      <c r="C1214">
        <v>83.38</v>
      </c>
      <c r="D1214">
        <v>88.67</v>
      </c>
      <c r="E1214">
        <v>83.29</v>
      </c>
      <c r="F1214" t="s">
        <v>1157</v>
      </c>
      <c r="G1214" s="2">
        <v>5.9799999999999999E-2</v>
      </c>
    </row>
    <row r="1215" spans="1:7" x14ac:dyDescent="0.2">
      <c r="A1215" s="1">
        <v>42374</v>
      </c>
      <c r="B1215">
        <v>83.67</v>
      </c>
      <c r="C1215">
        <v>81.78</v>
      </c>
      <c r="D1215">
        <v>86.82</v>
      </c>
      <c r="E1215">
        <v>80.959999999999994</v>
      </c>
      <c r="F1215" t="s">
        <v>1158</v>
      </c>
      <c r="G1215" s="2">
        <v>2.2499999999999999E-2</v>
      </c>
    </row>
    <row r="1216" spans="1:7" x14ac:dyDescent="0.2">
      <c r="A1216" s="1">
        <v>42373</v>
      </c>
      <c r="B1216">
        <v>81.83</v>
      </c>
      <c r="C1216">
        <v>83.63</v>
      </c>
      <c r="D1216">
        <v>84.01</v>
      </c>
      <c r="E1216">
        <v>80.680000000000007</v>
      </c>
      <c r="F1216" t="s">
        <v>1159</v>
      </c>
      <c r="G1216" s="2">
        <v>-2.35E-2</v>
      </c>
    </row>
    <row r="1217" spans="1:7" x14ac:dyDescent="0.2">
      <c r="A1217" s="1">
        <v>42372</v>
      </c>
      <c r="B1217">
        <v>83.8</v>
      </c>
      <c r="C1217">
        <v>76.78</v>
      </c>
      <c r="D1217">
        <v>83.91</v>
      </c>
      <c r="E1217">
        <v>76.64</v>
      </c>
      <c r="F1217" t="s">
        <v>1160</v>
      </c>
      <c r="G1217" s="2">
        <v>9.2399999999999996E-2</v>
      </c>
    </row>
    <row r="1218" spans="1:7" x14ac:dyDescent="0.2">
      <c r="A1218" s="1">
        <v>42371</v>
      </c>
      <c r="B1218">
        <v>76.709999999999994</v>
      </c>
      <c r="C1218">
        <v>76.52</v>
      </c>
      <c r="D1218">
        <v>77.78</v>
      </c>
      <c r="E1218">
        <v>70.89</v>
      </c>
      <c r="F1218" t="s">
        <v>1098</v>
      </c>
      <c r="G1218" s="2">
        <v>-3.5999999999999999E-3</v>
      </c>
    </row>
    <row r="1219" spans="1:7" x14ac:dyDescent="0.2">
      <c r="A1219" s="1">
        <v>42370</v>
      </c>
      <c r="B1219">
        <v>76.989999999999995</v>
      </c>
      <c r="C1219">
        <v>79.069999999999993</v>
      </c>
      <c r="D1219">
        <v>80.540000000000006</v>
      </c>
      <c r="E1219">
        <v>72.33</v>
      </c>
      <c r="F1219" t="s">
        <v>1161</v>
      </c>
      <c r="G1219" s="2">
        <v>-3.44E-2</v>
      </c>
    </row>
    <row r="1220" spans="1:7" x14ac:dyDescent="0.2">
      <c r="A1220" s="1">
        <v>42016</v>
      </c>
      <c r="B1220">
        <v>79.73</v>
      </c>
      <c r="C1220">
        <v>79.5</v>
      </c>
      <c r="D1220">
        <v>80.91</v>
      </c>
      <c r="E1220">
        <v>77.069999999999993</v>
      </c>
      <c r="F1220" t="s">
        <v>1162</v>
      </c>
      <c r="G1220" s="2">
        <v>4.3E-3</v>
      </c>
    </row>
    <row r="1221" spans="1:7" x14ac:dyDescent="0.2">
      <c r="A1221" s="1">
        <v>42015</v>
      </c>
      <c r="B1221">
        <v>79.39</v>
      </c>
      <c r="C1221">
        <v>80.069999999999993</v>
      </c>
      <c r="D1221">
        <v>81.599999999999994</v>
      </c>
      <c r="E1221">
        <v>76.12</v>
      </c>
      <c r="F1221" t="s">
        <v>1163</v>
      </c>
      <c r="G1221" s="2">
        <v>-6.3E-3</v>
      </c>
    </row>
    <row r="1222" spans="1:7" x14ac:dyDescent="0.2">
      <c r="A1222" s="1">
        <v>42014</v>
      </c>
      <c r="B1222">
        <v>79.89</v>
      </c>
      <c r="C1222">
        <v>75.66</v>
      </c>
      <c r="D1222">
        <v>81.77</v>
      </c>
      <c r="E1222">
        <v>75.040000000000006</v>
      </c>
      <c r="F1222" t="s">
        <v>1164</v>
      </c>
      <c r="G1222" s="2">
        <v>5.7599999999999998E-2</v>
      </c>
    </row>
    <row r="1223" spans="1:7" x14ac:dyDescent="0.2">
      <c r="A1223" s="1">
        <v>42013</v>
      </c>
      <c r="B1223">
        <v>75.540000000000006</v>
      </c>
      <c r="C1223">
        <v>73.290000000000006</v>
      </c>
      <c r="D1223">
        <v>77.739999999999995</v>
      </c>
      <c r="E1223">
        <v>71.67</v>
      </c>
      <c r="F1223" t="s">
        <v>1165</v>
      </c>
      <c r="G1223" s="2">
        <v>2.0400000000000001E-2</v>
      </c>
    </row>
    <row r="1224" spans="1:7" x14ac:dyDescent="0.2">
      <c r="A1224" s="1">
        <v>42012</v>
      </c>
      <c r="B1224">
        <v>74.03</v>
      </c>
      <c r="C1224">
        <v>79.27</v>
      </c>
      <c r="D1224">
        <v>80.83</v>
      </c>
      <c r="E1224">
        <v>72.25</v>
      </c>
      <c r="F1224" t="s">
        <v>1166</v>
      </c>
      <c r="G1224" s="2">
        <v>-6.2899999999999998E-2</v>
      </c>
    </row>
    <row r="1225" spans="1:7" x14ac:dyDescent="0.2">
      <c r="A1225" s="1">
        <v>42011</v>
      </c>
      <c r="B1225">
        <v>79</v>
      </c>
      <c r="C1225">
        <v>74.38</v>
      </c>
      <c r="D1225">
        <v>79.63</v>
      </c>
      <c r="E1225">
        <v>74.36</v>
      </c>
      <c r="F1225" t="s">
        <v>1167</v>
      </c>
      <c r="G1225" s="2">
        <v>5.7700000000000001E-2</v>
      </c>
    </row>
    <row r="1226" spans="1:7" x14ac:dyDescent="0.2">
      <c r="A1226" s="1">
        <v>42010</v>
      </c>
      <c r="B1226">
        <v>74.69</v>
      </c>
      <c r="C1226">
        <v>79.39</v>
      </c>
      <c r="D1226">
        <v>80.260000000000005</v>
      </c>
      <c r="E1226">
        <v>74.5</v>
      </c>
      <c r="F1226" t="s">
        <v>1168</v>
      </c>
      <c r="G1226" s="2">
        <v>-5.62E-2</v>
      </c>
    </row>
    <row r="1227" spans="1:7" x14ac:dyDescent="0.2">
      <c r="A1227" s="1">
        <v>42009</v>
      </c>
      <c r="B1227">
        <v>79.14</v>
      </c>
      <c r="C1227">
        <v>79.47</v>
      </c>
      <c r="D1227">
        <v>81.569999999999993</v>
      </c>
      <c r="E1227">
        <v>77.72</v>
      </c>
      <c r="F1227" t="s">
        <v>1169</v>
      </c>
      <c r="G1227" s="2">
        <v>-3.0000000000000001E-3</v>
      </c>
    </row>
    <row r="1228" spans="1:7" x14ac:dyDescent="0.2">
      <c r="A1228" s="1">
        <v>42008</v>
      </c>
      <c r="B1228">
        <v>79.38</v>
      </c>
      <c r="C1228">
        <v>84.37</v>
      </c>
      <c r="D1228">
        <v>86</v>
      </c>
      <c r="E1228">
        <v>78.89</v>
      </c>
      <c r="F1228" t="s">
        <v>1170</v>
      </c>
      <c r="G1228" s="2">
        <v>-5.8500000000000003E-2</v>
      </c>
    </row>
    <row r="1229" spans="1:7" x14ac:dyDescent="0.2">
      <c r="A1229" s="1">
        <v>42007</v>
      </c>
      <c r="B1229">
        <v>84.31</v>
      </c>
      <c r="C1229">
        <v>83.58</v>
      </c>
      <c r="D1229">
        <v>87.61</v>
      </c>
      <c r="E1229">
        <v>80.22</v>
      </c>
      <c r="F1229" t="s">
        <v>1171</v>
      </c>
      <c r="G1229" s="2">
        <v>1.1299999999999999E-2</v>
      </c>
    </row>
    <row r="1230" spans="1:7" x14ac:dyDescent="0.2">
      <c r="A1230" s="1">
        <v>42006</v>
      </c>
      <c r="B1230">
        <v>83.37</v>
      </c>
      <c r="C1230">
        <v>86.53</v>
      </c>
      <c r="D1230">
        <v>87.79</v>
      </c>
      <c r="E1230">
        <v>82.43</v>
      </c>
      <c r="F1230" t="s">
        <v>1172</v>
      </c>
      <c r="G1230" s="2">
        <v>-3.6700000000000003E-2</v>
      </c>
    </row>
    <row r="1231" spans="1:7" x14ac:dyDescent="0.2">
      <c r="A1231" s="1">
        <v>42005</v>
      </c>
      <c r="B1231">
        <v>86.55</v>
      </c>
      <c r="C1231">
        <v>81.7</v>
      </c>
      <c r="D1231">
        <v>89.27</v>
      </c>
      <c r="E1231">
        <v>81.34</v>
      </c>
      <c r="F1231" t="s">
        <v>1173</v>
      </c>
      <c r="G1231" s="2">
        <v>6.8500000000000005E-2</v>
      </c>
    </row>
    <row r="1235" spans="1:7" x14ac:dyDescent="0.2">
      <c r="A1235" s="104" t="s">
        <v>1174</v>
      </c>
      <c r="B1235" s="104"/>
      <c r="C1235" s="104"/>
      <c r="D1235" s="104"/>
      <c r="E1235" s="104"/>
      <c r="F1235" s="104"/>
      <c r="G1235" s="104"/>
    </row>
    <row r="1236" spans="1:7" x14ac:dyDescent="0.2">
      <c r="A1236" t="s">
        <v>0</v>
      </c>
      <c r="B1236" t="s">
        <v>1</v>
      </c>
      <c r="C1236" t="s">
        <v>2</v>
      </c>
      <c r="D1236" t="s">
        <v>3</v>
      </c>
      <c r="E1236" t="s">
        <v>4</v>
      </c>
      <c r="F1236" t="s">
        <v>5</v>
      </c>
      <c r="G1236" t="s">
        <v>6</v>
      </c>
    </row>
    <row r="1237" spans="1:7" x14ac:dyDescent="0.2">
      <c r="A1237" s="1">
        <v>46023</v>
      </c>
      <c r="B1237">
        <v>79.53</v>
      </c>
      <c r="C1237">
        <v>76.42</v>
      </c>
      <c r="D1237">
        <v>79.59</v>
      </c>
      <c r="E1237">
        <v>76.14</v>
      </c>
      <c r="F1237" t="s">
        <v>1175</v>
      </c>
      <c r="G1237" s="2">
        <v>5.4199999999999998E-2</v>
      </c>
    </row>
    <row r="1238" spans="1:7" x14ac:dyDescent="0.2">
      <c r="A1238" s="1">
        <v>45669</v>
      </c>
      <c r="B1238">
        <v>75.44</v>
      </c>
      <c r="C1238">
        <v>74.75</v>
      </c>
      <c r="D1238">
        <v>76.25</v>
      </c>
      <c r="E1238">
        <v>74.5</v>
      </c>
      <c r="F1238" t="s">
        <v>1176</v>
      </c>
      <c r="G1238" s="2">
        <v>6.7000000000000002E-3</v>
      </c>
    </row>
    <row r="1239" spans="1:7" x14ac:dyDescent="0.2">
      <c r="A1239" s="1">
        <v>45668</v>
      </c>
      <c r="B1239">
        <v>74.94</v>
      </c>
      <c r="C1239">
        <v>74.849999999999994</v>
      </c>
      <c r="D1239">
        <v>75.89</v>
      </c>
      <c r="E1239">
        <v>72.11</v>
      </c>
      <c r="F1239" t="s">
        <v>1177</v>
      </c>
      <c r="G1239" s="2">
        <v>4.1999999999999997E-3</v>
      </c>
    </row>
    <row r="1240" spans="1:7" x14ac:dyDescent="0.2">
      <c r="A1240" s="1">
        <v>45667</v>
      </c>
      <c r="B1240">
        <v>74.63</v>
      </c>
      <c r="C1240">
        <v>73.78</v>
      </c>
      <c r="D1240">
        <v>75.75</v>
      </c>
      <c r="E1240">
        <v>72.069999999999993</v>
      </c>
      <c r="F1240" t="s">
        <v>1178</v>
      </c>
      <c r="G1240" s="2">
        <v>1.5900000000000001E-2</v>
      </c>
    </row>
    <row r="1241" spans="1:7" x14ac:dyDescent="0.2">
      <c r="A1241" s="1">
        <v>45666</v>
      </c>
      <c r="B1241">
        <v>73.459999999999994</v>
      </c>
      <c r="C1241">
        <v>70.430000000000007</v>
      </c>
      <c r="D1241">
        <v>74.209999999999994</v>
      </c>
      <c r="E1241">
        <v>70.36</v>
      </c>
      <c r="F1241" t="s">
        <v>1179</v>
      </c>
      <c r="G1241" s="2">
        <v>2.93E-2</v>
      </c>
    </row>
    <row r="1242" spans="1:7" x14ac:dyDescent="0.2">
      <c r="A1242" s="1">
        <v>45665</v>
      </c>
      <c r="B1242">
        <v>71.37</v>
      </c>
      <c r="C1242">
        <v>68.41</v>
      </c>
      <c r="D1242">
        <v>72.459999999999994</v>
      </c>
      <c r="E1242">
        <v>67.849999999999994</v>
      </c>
      <c r="F1242" t="s">
        <v>1180</v>
      </c>
      <c r="G1242" s="2">
        <v>4.24E-2</v>
      </c>
    </row>
    <row r="1243" spans="1:7" x14ac:dyDescent="0.2">
      <c r="A1243" s="1">
        <v>45664</v>
      </c>
      <c r="B1243">
        <v>68.47</v>
      </c>
      <c r="C1243">
        <v>69.02</v>
      </c>
      <c r="D1243">
        <v>71.08</v>
      </c>
      <c r="E1243">
        <v>68.36</v>
      </c>
      <c r="F1243" t="s">
        <v>1181</v>
      </c>
      <c r="G1243" s="2">
        <v>-8.9999999999999993E-3</v>
      </c>
    </row>
    <row r="1244" spans="1:7" x14ac:dyDescent="0.2">
      <c r="A1244" s="1">
        <v>45663</v>
      </c>
      <c r="B1244">
        <v>69.09</v>
      </c>
      <c r="C1244">
        <v>67.19</v>
      </c>
      <c r="D1244">
        <v>69.14</v>
      </c>
      <c r="E1244">
        <v>66.25</v>
      </c>
      <c r="F1244" t="s">
        <v>1182</v>
      </c>
      <c r="G1244" s="2">
        <v>3.2099999999999997E-2</v>
      </c>
    </row>
    <row r="1245" spans="1:7" x14ac:dyDescent="0.2">
      <c r="A1245" s="1">
        <v>45662</v>
      </c>
      <c r="B1245">
        <v>66.94</v>
      </c>
      <c r="C1245">
        <v>63.99</v>
      </c>
      <c r="D1245">
        <v>67.489999999999995</v>
      </c>
      <c r="E1245">
        <v>63.64</v>
      </c>
      <c r="F1245" t="s">
        <v>1183</v>
      </c>
      <c r="G1245" s="2">
        <v>4.82E-2</v>
      </c>
    </row>
    <row r="1246" spans="1:7" x14ac:dyDescent="0.2">
      <c r="A1246" s="1">
        <v>45661</v>
      </c>
      <c r="B1246">
        <v>63.86</v>
      </c>
      <c r="C1246">
        <v>62.09</v>
      </c>
      <c r="D1246">
        <v>64.040000000000006</v>
      </c>
      <c r="E1246">
        <v>54.98</v>
      </c>
      <c r="F1246" t="s">
        <v>1184</v>
      </c>
      <c r="G1246" s="2">
        <v>2.8299999999999999E-2</v>
      </c>
    </row>
    <row r="1247" spans="1:7" x14ac:dyDescent="0.2">
      <c r="A1247" s="1">
        <v>45660</v>
      </c>
      <c r="B1247">
        <v>62.1</v>
      </c>
      <c r="C1247">
        <v>62.94</v>
      </c>
      <c r="D1247">
        <v>64.709999999999994</v>
      </c>
      <c r="E1247">
        <v>61.44</v>
      </c>
      <c r="F1247" t="s">
        <v>1185</v>
      </c>
      <c r="G1247" s="2">
        <v>8.0000000000000004E-4</v>
      </c>
    </row>
    <row r="1248" spans="1:7" x14ac:dyDescent="0.2">
      <c r="A1248" s="1">
        <v>45659</v>
      </c>
      <c r="B1248">
        <v>62.05</v>
      </c>
      <c r="C1248">
        <v>59.88</v>
      </c>
      <c r="D1248">
        <v>63.53</v>
      </c>
      <c r="E1248">
        <v>59.75</v>
      </c>
      <c r="F1248" t="s">
        <v>1186</v>
      </c>
      <c r="G1248" s="2">
        <v>1.8499999999999999E-2</v>
      </c>
    </row>
    <row r="1249" spans="1:7" x14ac:dyDescent="0.2">
      <c r="A1249" s="1">
        <v>45658</v>
      </c>
      <c r="B1249">
        <v>60.92</v>
      </c>
      <c r="C1249">
        <v>59.07</v>
      </c>
      <c r="D1249">
        <v>61.79</v>
      </c>
      <c r="E1249">
        <v>57.58</v>
      </c>
      <c r="F1249" t="s">
        <v>1187</v>
      </c>
      <c r="G1249" s="2">
        <v>3.3799999999999997E-2</v>
      </c>
    </row>
    <row r="1250" spans="1:7" x14ac:dyDescent="0.2">
      <c r="A1250" s="1">
        <v>45303</v>
      </c>
      <c r="B1250">
        <v>58.93</v>
      </c>
      <c r="C1250">
        <v>61.71</v>
      </c>
      <c r="D1250">
        <v>63.17</v>
      </c>
      <c r="E1250">
        <v>58.29</v>
      </c>
      <c r="F1250" t="s">
        <v>1188</v>
      </c>
      <c r="G1250" s="2">
        <v>-4.4999999999999998E-2</v>
      </c>
    </row>
    <row r="1251" spans="1:7" x14ac:dyDescent="0.2">
      <c r="A1251" s="1">
        <v>45302</v>
      </c>
      <c r="B1251">
        <v>61.71</v>
      </c>
      <c r="C1251">
        <v>62.08</v>
      </c>
      <c r="D1251">
        <v>63.19</v>
      </c>
      <c r="E1251">
        <v>60.29</v>
      </c>
      <c r="F1251" t="s">
        <v>1189</v>
      </c>
      <c r="G1251" s="2">
        <v>-2.3E-3</v>
      </c>
    </row>
    <row r="1252" spans="1:7" x14ac:dyDescent="0.2">
      <c r="A1252" s="1">
        <v>45301</v>
      </c>
      <c r="B1252">
        <v>61.85</v>
      </c>
      <c r="C1252">
        <v>64.87</v>
      </c>
      <c r="D1252">
        <v>64.88</v>
      </c>
      <c r="E1252">
        <v>61.4</v>
      </c>
      <c r="F1252" t="s">
        <v>1190</v>
      </c>
      <c r="G1252" s="2">
        <v>-4.4600000000000001E-2</v>
      </c>
    </row>
    <row r="1253" spans="1:7" x14ac:dyDescent="0.2">
      <c r="A1253" s="1">
        <v>45300</v>
      </c>
      <c r="B1253">
        <v>64.739999999999995</v>
      </c>
      <c r="C1253">
        <v>63.01</v>
      </c>
      <c r="D1253">
        <v>65.52</v>
      </c>
      <c r="E1253">
        <v>60.88</v>
      </c>
      <c r="F1253" t="s">
        <v>1191</v>
      </c>
      <c r="G1253" s="2">
        <v>2.1600000000000001E-2</v>
      </c>
    </row>
    <row r="1254" spans="1:7" x14ac:dyDescent="0.2">
      <c r="A1254" s="1">
        <v>45299</v>
      </c>
      <c r="B1254">
        <v>63.37</v>
      </c>
      <c r="C1254">
        <v>61.29</v>
      </c>
      <c r="D1254">
        <v>63.53</v>
      </c>
      <c r="E1254">
        <v>56.91</v>
      </c>
      <c r="F1254" t="s">
        <v>1192</v>
      </c>
      <c r="G1254" s="2">
        <v>2.41E-2</v>
      </c>
    </row>
    <row r="1255" spans="1:7" x14ac:dyDescent="0.2">
      <c r="A1255" s="1">
        <v>45298</v>
      </c>
      <c r="B1255">
        <v>61.88</v>
      </c>
      <c r="C1255">
        <v>60.62</v>
      </c>
      <c r="D1255">
        <v>63.1</v>
      </c>
      <c r="E1255">
        <v>60.08</v>
      </c>
      <c r="F1255" t="s">
        <v>1193</v>
      </c>
      <c r="G1255" s="2">
        <v>2.6200000000000001E-2</v>
      </c>
    </row>
    <row r="1256" spans="1:7" x14ac:dyDescent="0.2">
      <c r="A1256" s="1">
        <v>45297</v>
      </c>
      <c r="B1256">
        <v>60.3</v>
      </c>
      <c r="C1256">
        <v>61.57</v>
      </c>
      <c r="D1256">
        <v>61.89</v>
      </c>
      <c r="E1256">
        <v>59.97</v>
      </c>
      <c r="F1256" t="s">
        <v>1194</v>
      </c>
      <c r="G1256" s="2">
        <v>-1.5800000000000002E-2</v>
      </c>
    </row>
    <row r="1257" spans="1:7" x14ac:dyDescent="0.2">
      <c r="A1257" s="1">
        <v>45296</v>
      </c>
      <c r="B1257">
        <v>61.27</v>
      </c>
      <c r="C1257">
        <v>58.88</v>
      </c>
      <c r="D1257">
        <v>62.35</v>
      </c>
      <c r="E1257">
        <v>58.73</v>
      </c>
      <c r="F1257" t="s">
        <v>1195</v>
      </c>
      <c r="G1257" s="2">
        <v>4.02E-2</v>
      </c>
    </row>
    <row r="1258" spans="1:7" x14ac:dyDescent="0.2">
      <c r="A1258" s="1">
        <v>45295</v>
      </c>
      <c r="B1258">
        <v>58.9</v>
      </c>
      <c r="C1258">
        <v>60.44</v>
      </c>
      <c r="D1258">
        <v>60.7</v>
      </c>
      <c r="E1258">
        <v>57.67</v>
      </c>
      <c r="F1258" t="s">
        <v>1196</v>
      </c>
      <c r="G1258" s="2">
        <v>-2.3199999999999998E-2</v>
      </c>
    </row>
    <row r="1259" spans="1:7" x14ac:dyDescent="0.2">
      <c r="A1259" s="1">
        <v>45294</v>
      </c>
      <c r="B1259">
        <v>60.3</v>
      </c>
      <c r="C1259">
        <v>58.99</v>
      </c>
      <c r="D1259">
        <v>60.51</v>
      </c>
      <c r="E1259">
        <v>58.77</v>
      </c>
      <c r="F1259" t="s">
        <v>1197</v>
      </c>
      <c r="G1259" s="2">
        <v>2.8500000000000001E-2</v>
      </c>
    </row>
    <row r="1260" spans="1:7" x14ac:dyDescent="0.2">
      <c r="A1260" s="1">
        <v>45293</v>
      </c>
      <c r="B1260">
        <v>58.63</v>
      </c>
      <c r="C1260">
        <v>57.17</v>
      </c>
      <c r="D1260">
        <v>59.05</v>
      </c>
      <c r="E1260">
        <v>56.48</v>
      </c>
      <c r="F1260" t="s">
        <v>1198</v>
      </c>
      <c r="G1260" s="2">
        <v>2.9100000000000001E-2</v>
      </c>
    </row>
    <row r="1261" spans="1:7" x14ac:dyDescent="0.2">
      <c r="A1261" s="1">
        <v>45292</v>
      </c>
      <c r="B1261">
        <v>56.97</v>
      </c>
      <c r="C1261">
        <v>57.45</v>
      </c>
      <c r="D1261">
        <v>57.76</v>
      </c>
      <c r="E1261">
        <v>55.4</v>
      </c>
      <c r="F1261" t="s">
        <v>1199</v>
      </c>
      <c r="G1261" s="2">
        <v>-1.7100000000000001E-2</v>
      </c>
    </row>
    <row r="1262" spans="1:7" x14ac:dyDescent="0.2">
      <c r="A1262" s="1">
        <v>44938</v>
      </c>
      <c r="B1262">
        <v>57.96</v>
      </c>
      <c r="C1262">
        <v>55.81</v>
      </c>
      <c r="D1262">
        <v>58.18</v>
      </c>
      <c r="E1262">
        <v>55.65</v>
      </c>
      <c r="F1262" t="s">
        <v>1200</v>
      </c>
      <c r="G1262" s="2">
        <v>3.5400000000000001E-2</v>
      </c>
    </row>
    <row r="1263" spans="1:7" x14ac:dyDescent="0.2">
      <c r="A1263" s="1">
        <v>44937</v>
      </c>
      <c r="B1263">
        <v>55.98</v>
      </c>
      <c r="C1263">
        <v>51.83</v>
      </c>
      <c r="D1263">
        <v>56.14</v>
      </c>
      <c r="E1263">
        <v>51.75</v>
      </c>
      <c r="F1263" t="s">
        <v>1201</v>
      </c>
      <c r="G1263" s="2">
        <v>8.2400000000000001E-2</v>
      </c>
    </row>
    <row r="1264" spans="1:7" x14ac:dyDescent="0.2">
      <c r="A1264" s="1">
        <v>44936</v>
      </c>
      <c r="B1264">
        <v>51.72</v>
      </c>
      <c r="C1264">
        <v>53.25</v>
      </c>
      <c r="D1264">
        <v>54.13</v>
      </c>
      <c r="E1264">
        <v>50.95</v>
      </c>
      <c r="F1264" t="s">
        <v>1202</v>
      </c>
      <c r="G1264" s="2">
        <v>-3.3599999999999998E-2</v>
      </c>
    </row>
    <row r="1265" spans="1:7" x14ac:dyDescent="0.2">
      <c r="A1265" s="1">
        <v>44935</v>
      </c>
      <c r="B1265">
        <v>53.52</v>
      </c>
      <c r="C1265">
        <v>56.29</v>
      </c>
      <c r="D1265">
        <v>56.35</v>
      </c>
      <c r="E1265">
        <v>52.96</v>
      </c>
      <c r="F1265" t="s">
        <v>1203</v>
      </c>
      <c r="G1265" s="2">
        <v>-3.9100000000000003E-2</v>
      </c>
    </row>
    <row r="1266" spans="1:7" x14ac:dyDescent="0.2">
      <c r="A1266" s="1">
        <v>44934</v>
      </c>
      <c r="B1266">
        <v>55.7</v>
      </c>
      <c r="C1266">
        <v>57.71</v>
      </c>
      <c r="D1266">
        <v>57.85</v>
      </c>
      <c r="E1266">
        <v>54.05</v>
      </c>
      <c r="F1266" t="s">
        <v>1204</v>
      </c>
      <c r="G1266" s="2">
        <v>-4.3900000000000002E-2</v>
      </c>
    </row>
    <row r="1267" spans="1:7" x14ac:dyDescent="0.2">
      <c r="A1267" s="1">
        <v>44933</v>
      </c>
      <c r="B1267">
        <v>58.26</v>
      </c>
      <c r="C1267">
        <v>56.29</v>
      </c>
      <c r="D1267">
        <v>58.42</v>
      </c>
      <c r="E1267">
        <v>54.51</v>
      </c>
      <c r="F1267" t="s">
        <v>1205</v>
      </c>
      <c r="G1267" s="2">
        <v>3.8899999999999997E-2</v>
      </c>
    </row>
    <row r="1268" spans="1:7" x14ac:dyDescent="0.2">
      <c r="A1268" s="1">
        <v>44932</v>
      </c>
      <c r="B1268">
        <v>56.08</v>
      </c>
      <c r="C1268">
        <v>54.52</v>
      </c>
      <c r="D1268">
        <v>57.99</v>
      </c>
      <c r="E1268">
        <v>54.52</v>
      </c>
      <c r="F1268" t="s">
        <v>1206</v>
      </c>
      <c r="G1268" s="2">
        <v>3.32E-2</v>
      </c>
    </row>
    <row r="1269" spans="1:7" x14ac:dyDescent="0.2">
      <c r="A1269" s="1">
        <v>44931</v>
      </c>
      <c r="B1269">
        <v>54.28</v>
      </c>
      <c r="C1269">
        <v>56.23</v>
      </c>
      <c r="D1269">
        <v>56.69</v>
      </c>
      <c r="E1269">
        <v>53.9</v>
      </c>
      <c r="F1269" t="s">
        <v>1207</v>
      </c>
      <c r="G1269" s="2">
        <v>-3.5000000000000003E-2</v>
      </c>
    </row>
    <row r="1270" spans="1:7" x14ac:dyDescent="0.2">
      <c r="A1270" s="1">
        <v>44930</v>
      </c>
      <c r="B1270">
        <v>56.25</v>
      </c>
      <c r="C1270">
        <v>55.3</v>
      </c>
      <c r="D1270">
        <v>56.63</v>
      </c>
      <c r="E1270">
        <v>55</v>
      </c>
      <c r="F1270" t="s">
        <v>1208</v>
      </c>
      <c r="G1270" s="2">
        <v>1.8800000000000001E-2</v>
      </c>
    </row>
    <row r="1271" spans="1:7" x14ac:dyDescent="0.2">
      <c r="A1271" s="1">
        <v>44929</v>
      </c>
      <c r="B1271">
        <v>55.21</v>
      </c>
      <c r="C1271">
        <v>54.47</v>
      </c>
      <c r="D1271">
        <v>55.32</v>
      </c>
      <c r="E1271">
        <v>51.5</v>
      </c>
      <c r="F1271" t="s">
        <v>1209</v>
      </c>
      <c r="G1271" s="2">
        <v>2.5999999999999999E-2</v>
      </c>
    </row>
    <row r="1272" spans="1:7" x14ac:dyDescent="0.2">
      <c r="A1272" s="1">
        <v>44928</v>
      </c>
      <c r="B1272">
        <v>53.81</v>
      </c>
      <c r="C1272">
        <v>56.27</v>
      </c>
      <c r="D1272">
        <v>56.94</v>
      </c>
      <c r="E1272">
        <v>53.42</v>
      </c>
      <c r="F1272" t="s">
        <v>1210</v>
      </c>
      <c r="G1272" s="2">
        <v>-4.2700000000000002E-2</v>
      </c>
    </row>
    <row r="1273" spans="1:7" x14ac:dyDescent="0.2">
      <c r="A1273" s="1">
        <v>44927</v>
      </c>
      <c r="B1273">
        <v>56.21</v>
      </c>
      <c r="C1273">
        <v>52.24</v>
      </c>
      <c r="D1273">
        <v>56.71</v>
      </c>
      <c r="E1273">
        <v>51.85</v>
      </c>
      <c r="F1273" t="s">
        <v>1211</v>
      </c>
      <c r="G1273" s="2">
        <v>8.6800000000000002E-2</v>
      </c>
    </row>
    <row r="1274" spans="1:7" x14ac:dyDescent="0.2">
      <c r="A1274" s="1">
        <v>44573</v>
      </c>
      <c r="B1274">
        <v>51.72</v>
      </c>
      <c r="C1274">
        <v>53.91</v>
      </c>
      <c r="D1274">
        <v>54.5</v>
      </c>
      <c r="E1274">
        <v>51.17</v>
      </c>
      <c r="F1274" t="s">
        <v>1212</v>
      </c>
      <c r="G1274" s="2">
        <v>-3.3300000000000003E-2</v>
      </c>
    </row>
    <row r="1275" spans="1:7" x14ac:dyDescent="0.2">
      <c r="A1275" s="1">
        <v>44572</v>
      </c>
      <c r="B1275">
        <v>53.5</v>
      </c>
      <c r="C1275">
        <v>48.37</v>
      </c>
      <c r="D1275">
        <v>53.67</v>
      </c>
      <c r="E1275">
        <v>46.68</v>
      </c>
      <c r="F1275" t="s">
        <v>1213</v>
      </c>
      <c r="G1275" s="2">
        <v>0.13039999999999999</v>
      </c>
    </row>
    <row r="1276" spans="1:7" x14ac:dyDescent="0.2">
      <c r="A1276" s="1">
        <v>44571</v>
      </c>
      <c r="B1276">
        <v>47.33</v>
      </c>
      <c r="C1276">
        <v>46.21</v>
      </c>
      <c r="D1276">
        <v>48.46</v>
      </c>
      <c r="E1276">
        <v>44.42</v>
      </c>
      <c r="F1276" t="s">
        <v>1214</v>
      </c>
      <c r="G1276" s="2">
        <v>3.4099999999999998E-2</v>
      </c>
    </row>
    <row r="1277" spans="1:7" x14ac:dyDescent="0.2">
      <c r="A1277" s="1">
        <v>44570</v>
      </c>
      <c r="B1277">
        <v>45.77</v>
      </c>
      <c r="C1277">
        <v>50.44</v>
      </c>
      <c r="D1277">
        <v>52.29</v>
      </c>
      <c r="E1277">
        <v>45.35</v>
      </c>
      <c r="F1277" t="s">
        <v>1215</v>
      </c>
      <c r="G1277" s="2">
        <v>-0.1041</v>
      </c>
    </row>
    <row r="1278" spans="1:7" x14ac:dyDescent="0.2">
      <c r="A1278" s="1">
        <v>44569</v>
      </c>
      <c r="B1278">
        <v>51.09</v>
      </c>
      <c r="C1278">
        <v>53.3</v>
      </c>
      <c r="D1278">
        <v>54.6</v>
      </c>
      <c r="E1278">
        <v>51.08</v>
      </c>
      <c r="F1278" t="s">
        <v>1216</v>
      </c>
      <c r="G1278" s="2">
        <v>-4.4900000000000002E-2</v>
      </c>
    </row>
    <row r="1279" spans="1:7" x14ac:dyDescent="0.2">
      <c r="A1279" s="1">
        <v>44568</v>
      </c>
      <c r="B1279">
        <v>53.49</v>
      </c>
      <c r="C1279">
        <v>50.98</v>
      </c>
      <c r="D1279">
        <v>53.49</v>
      </c>
      <c r="E1279">
        <v>49.01</v>
      </c>
      <c r="F1279" t="s">
        <v>1217</v>
      </c>
      <c r="G1279" s="2">
        <v>3.6400000000000002E-2</v>
      </c>
    </row>
    <row r="1280" spans="1:7" x14ac:dyDescent="0.2">
      <c r="A1280" s="1">
        <v>44567</v>
      </c>
      <c r="B1280">
        <v>51.61</v>
      </c>
      <c r="C1280">
        <v>56.97</v>
      </c>
      <c r="D1280">
        <v>57.29</v>
      </c>
      <c r="E1280">
        <v>50.59</v>
      </c>
      <c r="F1280" t="s">
        <v>1218</v>
      </c>
      <c r="G1280" s="2">
        <v>-8.9899999999999994E-2</v>
      </c>
    </row>
    <row r="1281" spans="1:7" x14ac:dyDescent="0.2">
      <c r="A1281" s="1">
        <v>44566</v>
      </c>
      <c r="B1281">
        <v>56.71</v>
      </c>
      <c r="C1281">
        <v>55.69</v>
      </c>
      <c r="D1281">
        <v>57.1</v>
      </c>
      <c r="E1281">
        <v>52.24</v>
      </c>
      <c r="F1281" t="s">
        <v>1219</v>
      </c>
      <c r="G1281" s="2">
        <v>1.52E-2</v>
      </c>
    </row>
    <row r="1282" spans="1:7" x14ac:dyDescent="0.2">
      <c r="A1282" s="1">
        <v>44565</v>
      </c>
      <c r="B1282">
        <v>55.86</v>
      </c>
      <c r="C1282">
        <v>60.37</v>
      </c>
      <c r="D1282">
        <v>60.91</v>
      </c>
      <c r="E1282">
        <v>55.17</v>
      </c>
      <c r="F1282" t="s">
        <v>1220</v>
      </c>
      <c r="G1282" s="2">
        <v>-6.4899999999999999E-2</v>
      </c>
    </row>
    <row r="1283" spans="1:7" x14ac:dyDescent="0.2">
      <c r="A1283" s="1">
        <v>44564</v>
      </c>
      <c r="B1283">
        <v>59.74</v>
      </c>
      <c r="C1283">
        <v>59.76</v>
      </c>
      <c r="D1283">
        <v>61.02</v>
      </c>
      <c r="E1283">
        <v>55.15</v>
      </c>
      <c r="F1283" t="s">
        <v>1221</v>
      </c>
      <c r="G1283" s="2">
        <v>-4.4999999999999997E-3</v>
      </c>
    </row>
    <row r="1284" spans="1:7" x14ac:dyDescent="0.2">
      <c r="A1284" s="1">
        <v>44563</v>
      </c>
      <c r="B1284">
        <v>60.01</v>
      </c>
      <c r="C1284">
        <v>62.1</v>
      </c>
      <c r="D1284">
        <v>63.48</v>
      </c>
      <c r="E1284">
        <v>57.79</v>
      </c>
      <c r="F1284" t="s">
        <v>1222</v>
      </c>
      <c r="G1284" s="2">
        <v>-2.8500000000000001E-2</v>
      </c>
    </row>
    <row r="1285" spans="1:7" x14ac:dyDescent="0.2">
      <c r="A1285" s="1">
        <v>44562</v>
      </c>
      <c r="B1285">
        <v>61.77</v>
      </c>
      <c r="C1285">
        <v>63.9</v>
      </c>
      <c r="D1285">
        <v>64.83</v>
      </c>
      <c r="E1285">
        <v>59.7</v>
      </c>
      <c r="F1285" t="s">
        <v>1223</v>
      </c>
      <c r="G1285" s="2">
        <v>-2.8299999999999999E-2</v>
      </c>
    </row>
    <row r="1286" spans="1:7" x14ac:dyDescent="0.2">
      <c r="A1286" s="1">
        <v>44208</v>
      </c>
      <c r="B1286">
        <v>63.57</v>
      </c>
      <c r="C1286">
        <v>63.18</v>
      </c>
      <c r="D1286">
        <v>64.39</v>
      </c>
      <c r="E1286">
        <v>61.13</v>
      </c>
      <c r="F1286" t="s">
        <v>1224</v>
      </c>
      <c r="G1286" s="2">
        <v>2.0199999999999999E-2</v>
      </c>
    </row>
    <row r="1287" spans="1:7" x14ac:dyDescent="0.2">
      <c r="A1287" s="1">
        <v>44207</v>
      </c>
      <c r="B1287">
        <v>62.31</v>
      </c>
      <c r="C1287">
        <v>65.38</v>
      </c>
      <c r="D1287">
        <v>66.22</v>
      </c>
      <c r="E1287">
        <v>61.77</v>
      </c>
      <c r="F1287" t="s">
        <v>1225</v>
      </c>
      <c r="G1287" s="2">
        <v>-4.2599999999999999E-2</v>
      </c>
    </row>
    <row r="1288" spans="1:7" x14ac:dyDescent="0.2">
      <c r="A1288" s="1">
        <v>44206</v>
      </c>
      <c r="B1288">
        <v>65.08</v>
      </c>
      <c r="C1288">
        <v>63.35</v>
      </c>
      <c r="D1288">
        <v>65.87</v>
      </c>
      <c r="E1288">
        <v>62.01</v>
      </c>
      <c r="F1288" t="s">
        <v>1226</v>
      </c>
      <c r="G1288" s="2">
        <v>2.8799999999999999E-2</v>
      </c>
    </row>
    <row r="1289" spans="1:7" x14ac:dyDescent="0.2">
      <c r="A1289" s="1">
        <v>44205</v>
      </c>
      <c r="B1289">
        <v>63.26</v>
      </c>
      <c r="C1289">
        <v>66.33</v>
      </c>
      <c r="D1289">
        <v>67.13</v>
      </c>
      <c r="E1289">
        <v>63.08</v>
      </c>
      <c r="F1289" t="s">
        <v>1227</v>
      </c>
      <c r="G1289" s="2">
        <v>-3.9899999999999998E-2</v>
      </c>
    </row>
    <row r="1290" spans="1:7" x14ac:dyDescent="0.2">
      <c r="A1290" s="1">
        <v>44204</v>
      </c>
      <c r="B1290">
        <v>65.89</v>
      </c>
      <c r="C1290">
        <v>65.48</v>
      </c>
      <c r="D1290">
        <v>66.05</v>
      </c>
      <c r="E1290">
        <v>63.5</v>
      </c>
      <c r="F1290" t="s">
        <v>1228</v>
      </c>
      <c r="G1290" s="2">
        <v>1.46E-2</v>
      </c>
    </row>
    <row r="1291" spans="1:7" x14ac:dyDescent="0.2">
      <c r="A1291" s="1">
        <v>44203</v>
      </c>
      <c r="B1291">
        <v>64.94</v>
      </c>
      <c r="C1291">
        <v>65.73</v>
      </c>
      <c r="D1291">
        <v>65.89</v>
      </c>
      <c r="E1291">
        <v>63.36</v>
      </c>
      <c r="F1291" t="s">
        <v>1229</v>
      </c>
      <c r="G1291" s="2">
        <v>-1.1299999999999999E-2</v>
      </c>
    </row>
    <row r="1292" spans="1:7" x14ac:dyDescent="0.2">
      <c r="A1292" s="1">
        <v>44202</v>
      </c>
      <c r="B1292">
        <v>65.680000000000007</v>
      </c>
      <c r="C1292">
        <v>67.3</v>
      </c>
      <c r="D1292">
        <v>67.510000000000005</v>
      </c>
      <c r="E1292">
        <v>65.099999999999994</v>
      </c>
      <c r="F1292" t="s">
        <v>1230</v>
      </c>
      <c r="G1292" s="2">
        <v>-1.11E-2</v>
      </c>
    </row>
    <row r="1293" spans="1:7" x14ac:dyDescent="0.2">
      <c r="A1293" s="1">
        <v>44201</v>
      </c>
      <c r="B1293">
        <v>66.42</v>
      </c>
      <c r="C1293">
        <v>64.81</v>
      </c>
      <c r="D1293">
        <v>66.650000000000006</v>
      </c>
      <c r="E1293">
        <v>63.44</v>
      </c>
      <c r="F1293" t="s">
        <v>1231</v>
      </c>
      <c r="G1293" s="2">
        <v>3.0700000000000002E-2</v>
      </c>
    </row>
    <row r="1294" spans="1:7" x14ac:dyDescent="0.2">
      <c r="A1294" s="1">
        <v>44200</v>
      </c>
      <c r="B1294">
        <v>64.44</v>
      </c>
      <c r="C1294">
        <v>63.26</v>
      </c>
      <c r="D1294">
        <v>65.61</v>
      </c>
      <c r="E1294">
        <v>63.16</v>
      </c>
      <c r="F1294" t="s">
        <v>1232</v>
      </c>
      <c r="G1294" s="2">
        <v>2.7799999999999998E-2</v>
      </c>
    </row>
    <row r="1295" spans="1:7" x14ac:dyDescent="0.2">
      <c r="A1295" s="1">
        <v>44199</v>
      </c>
      <c r="B1295">
        <v>62.7</v>
      </c>
      <c r="C1295">
        <v>62.6</v>
      </c>
      <c r="D1295">
        <v>63.99</v>
      </c>
      <c r="E1295">
        <v>61.15</v>
      </c>
      <c r="F1295" t="s">
        <v>1233</v>
      </c>
      <c r="G1295" s="2">
        <v>1.6199999999999999E-2</v>
      </c>
    </row>
    <row r="1296" spans="1:7" x14ac:dyDescent="0.2">
      <c r="A1296" s="1">
        <v>44198</v>
      </c>
      <c r="B1296">
        <v>61.7</v>
      </c>
      <c r="C1296">
        <v>61.23</v>
      </c>
      <c r="D1296">
        <v>64.97</v>
      </c>
      <c r="E1296">
        <v>60.97</v>
      </c>
      <c r="F1296" t="s">
        <v>1234</v>
      </c>
      <c r="G1296" s="2">
        <v>2.3E-2</v>
      </c>
    </row>
    <row r="1297" spans="1:7" x14ac:dyDescent="0.2">
      <c r="A1297" s="1">
        <v>44197</v>
      </c>
      <c r="B1297">
        <v>60.31</v>
      </c>
      <c r="C1297">
        <v>61.2</v>
      </c>
      <c r="D1297">
        <v>63.28</v>
      </c>
      <c r="E1297">
        <v>60.05</v>
      </c>
      <c r="F1297" t="s">
        <v>1235</v>
      </c>
      <c r="G1297" s="2">
        <v>2.5000000000000001E-3</v>
      </c>
    </row>
    <row r="1298" spans="1:7" x14ac:dyDescent="0.2">
      <c r="A1298" s="1">
        <v>43842</v>
      </c>
      <c r="B1298">
        <v>60.16</v>
      </c>
      <c r="C1298">
        <v>58.46</v>
      </c>
      <c r="D1298">
        <v>60.82</v>
      </c>
      <c r="E1298">
        <v>58.21</v>
      </c>
      <c r="F1298" t="s">
        <v>1236</v>
      </c>
      <c r="G1298" s="2">
        <v>4.8099999999999997E-2</v>
      </c>
    </row>
    <row r="1299" spans="1:7" x14ac:dyDescent="0.2">
      <c r="A1299" s="1">
        <v>43841</v>
      </c>
      <c r="B1299">
        <v>57.4</v>
      </c>
      <c r="C1299">
        <v>51.64</v>
      </c>
      <c r="D1299">
        <v>58.71</v>
      </c>
      <c r="E1299">
        <v>51.31</v>
      </c>
      <c r="F1299" t="s">
        <v>1237</v>
      </c>
      <c r="G1299" s="2">
        <v>0.12620000000000001</v>
      </c>
    </row>
    <row r="1300" spans="1:7" x14ac:dyDescent="0.2">
      <c r="A1300" s="1">
        <v>43840</v>
      </c>
      <c r="B1300">
        <v>50.97</v>
      </c>
      <c r="C1300">
        <v>52.54</v>
      </c>
      <c r="D1300">
        <v>54.42</v>
      </c>
      <c r="E1300">
        <v>50.69</v>
      </c>
      <c r="F1300" t="s">
        <v>1238</v>
      </c>
      <c r="G1300" s="2">
        <v>-2.3E-2</v>
      </c>
    </row>
    <row r="1301" spans="1:7" x14ac:dyDescent="0.2">
      <c r="A1301" s="1">
        <v>43839</v>
      </c>
      <c r="B1301">
        <v>52.17</v>
      </c>
      <c r="C1301">
        <v>53.65</v>
      </c>
      <c r="D1301">
        <v>54.29</v>
      </c>
      <c r="E1301">
        <v>50.72</v>
      </c>
      <c r="F1301" t="s">
        <v>1239</v>
      </c>
      <c r="G1301" s="2">
        <v>-2.4500000000000001E-2</v>
      </c>
    </row>
    <row r="1302" spans="1:7" x14ac:dyDescent="0.2">
      <c r="A1302" s="1">
        <v>43838</v>
      </c>
      <c r="B1302">
        <v>53.48</v>
      </c>
      <c r="C1302">
        <v>51.63</v>
      </c>
      <c r="D1302">
        <v>54.15</v>
      </c>
      <c r="E1302">
        <v>51.49</v>
      </c>
      <c r="F1302" t="s">
        <v>1240</v>
      </c>
      <c r="G1302" s="2">
        <v>4.4299999999999999E-2</v>
      </c>
    </row>
    <row r="1303" spans="1:7" x14ac:dyDescent="0.2">
      <c r="A1303" s="1">
        <v>43837</v>
      </c>
      <c r="B1303">
        <v>51.21</v>
      </c>
      <c r="C1303">
        <v>49.2</v>
      </c>
      <c r="D1303">
        <v>52.71</v>
      </c>
      <c r="E1303">
        <v>49.19</v>
      </c>
      <c r="F1303" t="s">
        <v>1241</v>
      </c>
      <c r="G1303" s="2">
        <v>4.1500000000000002E-2</v>
      </c>
    </row>
    <row r="1304" spans="1:7" x14ac:dyDescent="0.2">
      <c r="A1304" s="1">
        <v>43836</v>
      </c>
      <c r="B1304">
        <v>49.17</v>
      </c>
      <c r="C1304">
        <v>47.85</v>
      </c>
      <c r="D1304">
        <v>51.44</v>
      </c>
      <c r="E1304">
        <v>47.78</v>
      </c>
      <c r="F1304" t="s">
        <v>1242</v>
      </c>
      <c r="G1304" s="2">
        <v>3.7100000000000001E-2</v>
      </c>
    </row>
    <row r="1305" spans="1:7" x14ac:dyDescent="0.2">
      <c r="A1305" s="1">
        <v>43835</v>
      </c>
      <c r="B1305">
        <v>47.41</v>
      </c>
      <c r="C1305">
        <v>44.34</v>
      </c>
      <c r="D1305">
        <v>47.86</v>
      </c>
      <c r="E1305">
        <v>43.34</v>
      </c>
      <c r="F1305" t="s">
        <v>1243</v>
      </c>
      <c r="G1305" s="2">
        <v>5.0099999999999999E-2</v>
      </c>
    </row>
    <row r="1306" spans="1:7" x14ac:dyDescent="0.2">
      <c r="A1306" s="1">
        <v>43834</v>
      </c>
      <c r="B1306">
        <v>45.15</v>
      </c>
      <c r="C1306">
        <v>40.869999999999997</v>
      </c>
      <c r="D1306">
        <v>46.21</v>
      </c>
      <c r="E1306">
        <v>40.14</v>
      </c>
      <c r="F1306" t="s">
        <v>1244</v>
      </c>
      <c r="G1306" s="2">
        <v>7.5999999999999998E-2</v>
      </c>
    </row>
    <row r="1307" spans="1:7" x14ac:dyDescent="0.2">
      <c r="A1307" s="1">
        <v>43833</v>
      </c>
      <c r="B1307">
        <v>41.96</v>
      </c>
      <c r="C1307">
        <v>50.08</v>
      </c>
      <c r="D1307">
        <v>51.71</v>
      </c>
      <c r="E1307">
        <v>36.42</v>
      </c>
      <c r="F1307" t="s">
        <v>1245</v>
      </c>
      <c r="G1307" s="2">
        <v>-0.16500000000000001</v>
      </c>
    </row>
    <row r="1308" spans="1:7" x14ac:dyDescent="0.2">
      <c r="A1308" s="1">
        <v>43832</v>
      </c>
      <c r="B1308">
        <v>50.25</v>
      </c>
      <c r="C1308">
        <v>53.91</v>
      </c>
      <c r="D1308">
        <v>55.88</v>
      </c>
      <c r="E1308">
        <v>48.72</v>
      </c>
      <c r="F1308" t="s">
        <v>1246</v>
      </c>
      <c r="G1308" s="2">
        <v>-6.6000000000000003E-2</v>
      </c>
    </row>
    <row r="1309" spans="1:7" x14ac:dyDescent="0.2">
      <c r="A1309" s="1">
        <v>43831</v>
      </c>
      <c r="B1309">
        <v>53.8</v>
      </c>
      <c r="C1309">
        <v>56.17</v>
      </c>
      <c r="D1309">
        <v>56.66</v>
      </c>
      <c r="E1309">
        <v>53.51</v>
      </c>
      <c r="F1309" t="s">
        <v>1247</v>
      </c>
      <c r="G1309" s="2">
        <v>-3.39E-2</v>
      </c>
    </row>
    <row r="1310" spans="1:7" x14ac:dyDescent="0.2">
      <c r="A1310" s="1">
        <v>43477</v>
      </c>
      <c r="B1310">
        <v>55.69</v>
      </c>
      <c r="C1310">
        <v>54</v>
      </c>
      <c r="D1310">
        <v>56.03</v>
      </c>
      <c r="E1310">
        <v>53.14</v>
      </c>
      <c r="F1310" t="s">
        <v>1248</v>
      </c>
      <c r="G1310" s="2">
        <v>3.2099999999999997E-2</v>
      </c>
    </row>
    <row r="1311" spans="1:7" x14ac:dyDescent="0.2">
      <c r="A1311" s="1">
        <v>43476</v>
      </c>
      <c r="B1311">
        <v>53.96</v>
      </c>
      <c r="C1311">
        <v>53.79</v>
      </c>
      <c r="D1311">
        <v>54.61</v>
      </c>
      <c r="E1311">
        <v>53.65</v>
      </c>
      <c r="F1311" t="s">
        <v>1249</v>
      </c>
      <c r="G1311" s="2">
        <v>9.9000000000000008E-3</v>
      </c>
    </row>
    <row r="1312" spans="1:7" x14ac:dyDescent="0.2">
      <c r="A1312" s="1">
        <v>43475</v>
      </c>
      <c r="B1312">
        <v>53.43</v>
      </c>
      <c r="C1312">
        <v>51.57</v>
      </c>
      <c r="D1312">
        <v>53.6</v>
      </c>
      <c r="E1312">
        <v>50.21</v>
      </c>
      <c r="F1312" t="s">
        <v>1250</v>
      </c>
      <c r="G1312" s="2">
        <v>3.4299999999999997E-2</v>
      </c>
    </row>
    <row r="1313" spans="1:7" x14ac:dyDescent="0.2">
      <c r="A1313" s="1">
        <v>43474</v>
      </c>
      <c r="B1313">
        <v>51.66</v>
      </c>
      <c r="C1313">
        <v>50.24</v>
      </c>
      <c r="D1313">
        <v>52.87</v>
      </c>
      <c r="E1313">
        <v>50.16</v>
      </c>
      <c r="F1313" t="s">
        <v>1251</v>
      </c>
      <c r="G1313" s="2">
        <v>2.1399999999999999E-2</v>
      </c>
    </row>
    <row r="1314" spans="1:7" x14ac:dyDescent="0.2">
      <c r="A1314" s="1">
        <v>43473</v>
      </c>
      <c r="B1314">
        <v>50.58</v>
      </c>
      <c r="C1314">
        <v>51.76</v>
      </c>
      <c r="D1314">
        <v>52.17</v>
      </c>
      <c r="E1314">
        <v>48.97</v>
      </c>
      <c r="F1314" t="s">
        <v>1252</v>
      </c>
      <c r="G1314" s="2">
        <v>-2.1700000000000001E-2</v>
      </c>
    </row>
    <row r="1315" spans="1:7" x14ac:dyDescent="0.2">
      <c r="A1315" s="1">
        <v>43472</v>
      </c>
      <c r="B1315">
        <v>51.7</v>
      </c>
      <c r="C1315">
        <v>53.35</v>
      </c>
      <c r="D1315">
        <v>53.45</v>
      </c>
      <c r="E1315">
        <v>51.31</v>
      </c>
      <c r="F1315" t="s">
        <v>1253</v>
      </c>
      <c r="G1315" s="2">
        <v>-1.9900000000000001E-2</v>
      </c>
    </row>
    <row r="1316" spans="1:7" x14ac:dyDescent="0.2">
      <c r="A1316" s="1">
        <v>43471</v>
      </c>
      <c r="B1316">
        <v>52.75</v>
      </c>
      <c r="C1316">
        <v>50.73</v>
      </c>
      <c r="D1316">
        <v>53.51</v>
      </c>
      <c r="E1316">
        <v>50.58</v>
      </c>
      <c r="F1316" t="s">
        <v>1254</v>
      </c>
      <c r="G1316" s="2">
        <v>4.5600000000000002E-2</v>
      </c>
    </row>
    <row r="1317" spans="1:7" x14ac:dyDescent="0.2">
      <c r="A1317" s="1">
        <v>43470</v>
      </c>
      <c r="B1317">
        <v>50.45</v>
      </c>
      <c r="C1317">
        <v>53.45</v>
      </c>
      <c r="D1317">
        <v>53.58</v>
      </c>
      <c r="E1317">
        <v>50.13</v>
      </c>
      <c r="F1317" t="s">
        <v>1255</v>
      </c>
      <c r="G1317" s="2">
        <v>-5.4199999999999998E-2</v>
      </c>
    </row>
    <row r="1318" spans="1:7" x14ac:dyDescent="0.2">
      <c r="A1318" s="1">
        <v>43469</v>
      </c>
      <c r="B1318">
        <v>53.34</v>
      </c>
      <c r="C1318">
        <v>52.36</v>
      </c>
      <c r="D1318">
        <v>53.73</v>
      </c>
      <c r="E1318">
        <v>52.35</v>
      </c>
      <c r="F1318" t="s">
        <v>1256</v>
      </c>
      <c r="G1318" s="2">
        <v>2.7699999999999999E-2</v>
      </c>
    </row>
    <row r="1319" spans="1:7" x14ac:dyDescent="0.2">
      <c r="A1319" s="1">
        <v>43468</v>
      </c>
      <c r="B1319">
        <v>51.9</v>
      </c>
      <c r="C1319">
        <v>51.92</v>
      </c>
      <c r="D1319">
        <v>52.98</v>
      </c>
      <c r="E1319">
        <v>50.57</v>
      </c>
      <c r="F1319" t="s">
        <v>985</v>
      </c>
      <c r="G1319" s="2">
        <v>4.4999999999999997E-3</v>
      </c>
    </row>
    <row r="1320" spans="1:7" x14ac:dyDescent="0.2">
      <c r="A1320" s="1">
        <v>43467</v>
      </c>
      <c r="B1320">
        <v>51.67</v>
      </c>
      <c r="C1320">
        <v>50.84</v>
      </c>
      <c r="D1320">
        <v>52.23</v>
      </c>
      <c r="E1320">
        <v>49.81</v>
      </c>
      <c r="F1320" t="s">
        <v>1257</v>
      </c>
      <c r="G1320" s="2">
        <v>1.6299999999999999E-2</v>
      </c>
    </row>
    <row r="1321" spans="1:7" x14ac:dyDescent="0.2">
      <c r="A1321" s="1">
        <v>43466</v>
      </c>
      <c r="B1321">
        <v>50.84</v>
      </c>
      <c r="C1321">
        <v>46.6</v>
      </c>
      <c r="D1321">
        <v>50.93</v>
      </c>
      <c r="E1321">
        <v>46.49</v>
      </c>
      <c r="F1321" t="s">
        <v>1258</v>
      </c>
      <c r="G1321" s="2">
        <v>7.6700000000000004E-2</v>
      </c>
    </row>
    <row r="1322" spans="1:7" x14ac:dyDescent="0.2">
      <c r="A1322" s="1">
        <v>43112</v>
      </c>
      <c r="B1322">
        <v>47.22</v>
      </c>
      <c r="C1322">
        <v>50.99</v>
      </c>
      <c r="D1322">
        <v>51.1</v>
      </c>
      <c r="E1322">
        <v>45.59</v>
      </c>
      <c r="F1322" t="s">
        <v>1259</v>
      </c>
      <c r="G1322" s="2">
        <v>-5.9499999999999997E-2</v>
      </c>
    </row>
    <row r="1323" spans="1:7" x14ac:dyDescent="0.2">
      <c r="A1323" s="1">
        <v>43111</v>
      </c>
      <c r="B1323">
        <v>50.21</v>
      </c>
      <c r="C1323">
        <v>49.9</v>
      </c>
      <c r="D1323">
        <v>51.36</v>
      </c>
      <c r="E1323">
        <v>48.69</v>
      </c>
      <c r="F1323" t="s">
        <v>1260</v>
      </c>
      <c r="G1323" s="2">
        <v>1.6799999999999999E-2</v>
      </c>
    </row>
    <row r="1324" spans="1:7" x14ac:dyDescent="0.2">
      <c r="A1324" s="1">
        <v>43110</v>
      </c>
      <c r="B1324">
        <v>49.38</v>
      </c>
      <c r="C1324">
        <v>54.24</v>
      </c>
      <c r="D1324">
        <v>54.3</v>
      </c>
      <c r="E1324">
        <v>47.93</v>
      </c>
      <c r="F1324" t="s">
        <v>1261</v>
      </c>
      <c r="G1324" s="2">
        <v>-8.5599999999999996E-2</v>
      </c>
    </row>
    <row r="1325" spans="1:7" x14ac:dyDescent="0.2">
      <c r="A1325" s="1">
        <v>43109</v>
      </c>
      <c r="B1325">
        <v>54</v>
      </c>
      <c r="C1325">
        <v>53.5</v>
      </c>
      <c r="D1325">
        <v>54.83</v>
      </c>
      <c r="E1325">
        <v>52.2</v>
      </c>
      <c r="F1325" t="s">
        <v>1262</v>
      </c>
      <c r="G1325" s="2">
        <v>-2.8E-3</v>
      </c>
    </row>
    <row r="1326" spans="1:7" x14ac:dyDescent="0.2">
      <c r="A1326" s="1">
        <v>43108</v>
      </c>
      <c r="B1326">
        <v>54.15</v>
      </c>
      <c r="C1326">
        <v>55.38</v>
      </c>
      <c r="D1326">
        <v>55.42</v>
      </c>
      <c r="E1326">
        <v>52.25</v>
      </c>
      <c r="F1326" t="s">
        <v>1263</v>
      </c>
      <c r="G1326" s="2">
        <v>-2.4E-2</v>
      </c>
    </row>
    <row r="1327" spans="1:7" x14ac:dyDescent="0.2">
      <c r="A1327" s="1">
        <v>43107</v>
      </c>
      <c r="B1327">
        <v>55.48</v>
      </c>
      <c r="C1327">
        <v>53.35</v>
      </c>
      <c r="D1327">
        <v>55.67</v>
      </c>
      <c r="E1327">
        <v>53.25</v>
      </c>
      <c r="F1327" t="s">
        <v>1264</v>
      </c>
      <c r="G1327" s="2">
        <v>2.5499999999999998E-2</v>
      </c>
    </row>
    <row r="1328" spans="1:7" x14ac:dyDescent="0.2">
      <c r="A1328" s="1">
        <v>43106</v>
      </c>
      <c r="B1328">
        <v>54.1</v>
      </c>
      <c r="C1328">
        <v>56.25</v>
      </c>
      <c r="D1328">
        <v>57.06</v>
      </c>
      <c r="E1328">
        <v>53.2</v>
      </c>
      <c r="F1328" t="s">
        <v>1265</v>
      </c>
      <c r="G1328" s="2">
        <v>-3.1899999999999998E-2</v>
      </c>
    </row>
    <row r="1329" spans="1:7" x14ac:dyDescent="0.2">
      <c r="A1329" s="1">
        <v>43105</v>
      </c>
      <c r="B1329">
        <v>55.88</v>
      </c>
      <c r="C1329">
        <v>56.72</v>
      </c>
      <c r="D1329">
        <v>57.87</v>
      </c>
      <c r="E1329">
        <v>55.15</v>
      </c>
      <c r="F1329" t="s">
        <v>1266</v>
      </c>
      <c r="G1329" s="2">
        <v>-1.6400000000000001E-2</v>
      </c>
    </row>
    <row r="1330" spans="1:7" x14ac:dyDescent="0.2">
      <c r="A1330" s="1">
        <v>43104</v>
      </c>
      <c r="B1330">
        <v>56.81</v>
      </c>
      <c r="C1330">
        <v>56.25</v>
      </c>
      <c r="D1330">
        <v>57.8</v>
      </c>
      <c r="E1330">
        <v>55.25</v>
      </c>
      <c r="F1330" t="s">
        <v>1267</v>
      </c>
      <c r="G1330" s="2">
        <v>4.5999999999999999E-3</v>
      </c>
    </row>
    <row r="1331" spans="1:7" x14ac:dyDescent="0.2">
      <c r="A1331" s="1">
        <v>43103</v>
      </c>
      <c r="B1331">
        <v>56.55</v>
      </c>
      <c r="C1331">
        <v>56.89</v>
      </c>
      <c r="D1331">
        <v>58.09</v>
      </c>
      <c r="E1331">
        <v>55.32</v>
      </c>
      <c r="F1331" t="s">
        <v>1268</v>
      </c>
      <c r="G1331" s="2">
        <v>-6.3E-3</v>
      </c>
    </row>
    <row r="1332" spans="1:7" x14ac:dyDescent="0.2">
      <c r="A1332" s="1">
        <v>43102</v>
      </c>
      <c r="B1332">
        <v>56.91</v>
      </c>
      <c r="C1332">
        <v>59.86</v>
      </c>
      <c r="D1332">
        <v>60.16</v>
      </c>
      <c r="E1332">
        <v>54.2</v>
      </c>
      <c r="F1332" t="s">
        <v>1269</v>
      </c>
      <c r="G1332" s="2">
        <v>-5.2400000000000002E-2</v>
      </c>
    </row>
    <row r="1333" spans="1:7" x14ac:dyDescent="0.2">
      <c r="A1333" s="1">
        <v>43101</v>
      </c>
      <c r="B1333">
        <v>60.06</v>
      </c>
      <c r="C1333">
        <v>57.17</v>
      </c>
      <c r="D1333">
        <v>61.17</v>
      </c>
      <c r="E1333">
        <v>57.09</v>
      </c>
      <c r="F1333" t="s">
        <v>1270</v>
      </c>
      <c r="G1333" s="2">
        <v>5.7200000000000001E-2</v>
      </c>
    </row>
    <row r="1334" spans="1:7" x14ac:dyDescent="0.2">
      <c r="A1334" s="1">
        <v>42747</v>
      </c>
      <c r="B1334">
        <v>56.81</v>
      </c>
      <c r="C1334">
        <v>56.05</v>
      </c>
      <c r="D1334">
        <v>57.04</v>
      </c>
      <c r="E1334">
        <v>55.37</v>
      </c>
      <c r="F1334" t="s">
        <v>1271</v>
      </c>
      <c r="G1334" s="2">
        <v>1.0999999999999999E-2</v>
      </c>
    </row>
    <row r="1335" spans="1:7" x14ac:dyDescent="0.2">
      <c r="A1335" s="1">
        <v>42746</v>
      </c>
      <c r="B1335">
        <v>56.19</v>
      </c>
      <c r="C1335">
        <v>56.2</v>
      </c>
      <c r="D1335">
        <v>56.74</v>
      </c>
      <c r="E1335">
        <v>54.88</v>
      </c>
      <c r="F1335" t="s">
        <v>1272</v>
      </c>
      <c r="G1335" s="2">
        <v>6.3E-3</v>
      </c>
    </row>
    <row r="1336" spans="1:7" x14ac:dyDescent="0.2">
      <c r="A1336" s="1">
        <v>42745</v>
      </c>
      <c r="B1336">
        <v>55.84</v>
      </c>
      <c r="C1336">
        <v>54.68</v>
      </c>
      <c r="D1336">
        <v>56.05</v>
      </c>
      <c r="E1336">
        <v>54.62</v>
      </c>
      <c r="F1336" t="s">
        <v>1273</v>
      </c>
      <c r="G1336" s="2">
        <v>2.0299999999999999E-2</v>
      </c>
    </row>
    <row r="1337" spans="1:7" x14ac:dyDescent="0.2">
      <c r="A1337" s="1">
        <v>42744</v>
      </c>
      <c r="B1337">
        <v>54.73</v>
      </c>
      <c r="C1337">
        <v>54.26</v>
      </c>
      <c r="D1337">
        <v>55.28</v>
      </c>
      <c r="E1337">
        <v>53.55</v>
      </c>
      <c r="F1337" t="s">
        <v>923</v>
      </c>
      <c r="G1337" s="2">
        <v>1.3299999999999999E-2</v>
      </c>
    </row>
    <row r="1338" spans="1:7" x14ac:dyDescent="0.2">
      <c r="A1338" s="1">
        <v>42743</v>
      </c>
      <c r="B1338">
        <v>54.01</v>
      </c>
      <c r="C1338">
        <v>54.13</v>
      </c>
      <c r="D1338">
        <v>54.18</v>
      </c>
      <c r="E1338">
        <v>52.81</v>
      </c>
      <c r="F1338" t="s">
        <v>1274</v>
      </c>
      <c r="G1338" s="2">
        <v>5.4000000000000003E-3</v>
      </c>
    </row>
    <row r="1339" spans="1:7" x14ac:dyDescent="0.2">
      <c r="A1339" s="1">
        <v>42742</v>
      </c>
      <c r="B1339">
        <v>53.72</v>
      </c>
      <c r="C1339">
        <v>52.1</v>
      </c>
      <c r="D1339">
        <v>53.89</v>
      </c>
      <c r="E1339">
        <v>51.48</v>
      </c>
      <c r="F1339" t="s">
        <v>1275</v>
      </c>
      <c r="G1339" s="2">
        <v>3.3700000000000001E-2</v>
      </c>
    </row>
    <row r="1340" spans="1:7" x14ac:dyDescent="0.2">
      <c r="A1340" s="1">
        <v>42741</v>
      </c>
      <c r="B1340">
        <v>51.97</v>
      </c>
      <c r="C1340">
        <v>52.4</v>
      </c>
      <c r="D1340">
        <v>53.05</v>
      </c>
      <c r="E1340">
        <v>51.54</v>
      </c>
      <c r="F1340" t="s">
        <v>1276</v>
      </c>
      <c r="G1340" s="2">
        <v>-4.4000000000000003E-3</v>
      </c>
    </row>
    <row r="1341" spans="1:7" x14ac:dyDescent="0.2">
      <c r="A1341" s="1">
        <v>42740</v>
      </c>
      <c r="B1341">
        <v>52.2</v>
      </c>
      <c r="C1341">
        <v>50.92</v>
      </c>
      <c r="D1341">
        <v>52.55</v>
      </c>
      <c r="E1341">
        <v>50.83</v>
      </c>
      <c r="F1341" t="s">
        <v>1277</v>
      </c>
      <c r="G1341" s="2">
        <v>2.9600000000000001E-2</v>
      </c>
    </row>
    <row r="1342" spans="1:7" x14ac:dyDescent="0.2">
      <c r="A1342" s="1">
        <v>42739</v>
      </c>
      <c r="B1342">
        <v>50.7</v>
      </c>
      <c r="C1342">
        <v>49.68</v>
      </c>
      <c r="D1342">
        <v>50.96</v>
      </c>
      <c r="E1342">
        <v>49.05</v>
      </c>
      <c r="F1342" t="s">
        <v>1278</v>
      </c>
      <c r="G1342" s="2">
        <v>2.0500000000000001E-2</v>
      </c>
    </row>
    <row r="1343" spans="1:7" x14ac:dyDescent="0.2">
      <c r="A1343" s="1">
        <v>42738</v>
      </c>
      <c r="B1343">
        <v>49.68</v>
      </c>
      <c r="C1343">
        <v>48.76</v>
      </c>
      <c r="D1343">
        <v>50.23</v>
      </c>
      <c r="E1343">
        <v>48.16</v>
      </c>
      <c r="F1343" t="s">
        <v>1279</v>
      </c>
      <c r="G1343" s="2">
        <v>2.6700000000000002E-2</v>
      </c>
    </row>
    <row r="1344" spans="1:7" x14ac:dyDescent="0.2">
      <c r="A1344" s="1">
        <v>42737</v>
      </c>
      <c r="B1344">
        <v>48.39</v>
      </c>
      <c r="C1344">
        <v>48.04</v>
      </c>
      <c r="D1344">
        <v>49.15</v>
      </c>
      <c r="E1344">
        <v>47.74</v>
      </c>
      <c r="F1344" t="s">
        <v>1280</v>
      </c>
      <c r="G1344" s="2">
        <v>1.34E-2</v>
      </c>
    </row>
    <row r="1345" spans="1:7" x14ac:dyDescent="0.2">
      <c r="A1345" s="1">
        <v>42736</v>
      </c>
      <c r="B1345">
        <v>47.75</v>
      </c>
      <c r="C1345">
        <v>46.15</v>
      </c>
      <c r="D1345">
        <v>48.21</v>
      </c>
      <c r="E1345">
        <v>46.06</v>
      </c>
      <c r="F1345" t="s">
        <v>1281</v>
      </c>
      <c r="G1345" s="2">
        <v>4.0800000000000003E-2</v>
      </c>
    </row>
    <row r="1346" spans="1:7" x14ac:dyDescent="0.2">
      <c r="A1346" s="1">
        <v>42381</v>
      </c>
      <c r="B1346">
        <v>45.88</v>
      </c>
      <c r="C1346">
        <v>45.44</v>
      </c>
      <c r="D1346">
        <v>47.1</v>
      </c>
      <c r="E1346">
        <v>45.14</v>
      </c>
      <c r="F1346" t="s">
        <v>1282</v>
      </c>
      <c r="G1346" s="2">
        <v>1.0999999999999999E-2</v>
      </c>
    </row>
    <row r="1347" spans="1:7" x14ac:dyDescent="0.2">
      <c r="A1347" s="1">
        <v>42380</v>
      </c>
      <c r="B1347">
        <v>45.38</v>
      </c>
      <c r="C1347">
        <v>46.42</v>
      </c>
      <c r="D1347">
        <v>46.48</v>
      </c>
      <c r="E1347">
        <v>44.68</v>
      </c>
      <c r="F1347" t="s">
        <v>1262</v>
      </c>
      <c r="G1347" s="2">
        <v>-2.01E-2</v>
      </c>
    </row>
    <row r="1348" spans="1:7" x14ac:dyDescent="0.2">
      <c r="A1348" s="1">
        <v>42379</v>
      </c>
      <c r="B1348">
        <v>46.31</v>
      </c>
      <c r="C1348">
        <v>47.19</v>
      </c>
      <c r="D1348">
        <v>47.42</v>
      </c>
      <c r="E1348">
        <v>45.57</v>
      </c>
      <c r="F1348" t="s">
        <v>1283</v>
      </c>
      <c r="G1348" s="2">
        <v>-1.9099999999999999E-2</v>
      </c>
    </row>
    <row r="1349" spans="1:7" x14ac:dyDescent="0.2">
      <c r="A1349" s="1">
        <v>42378</v>
      </c>
      <c r="B1349">
        <v>47.21</v>
      </c>
      <c r="C1349">
        <v>46.86</v>
      </c>
      <c r="D1349">
        <v>48.22</v>
      </c>
      <c r="E1349">
        <v>45.76</v>
      </c>
      <c r="F1349" t="s">
        <v>1284</v>
      </c>
      <c r="G1349" s="2">
        <v>1.09E-2</v>
      </c>
    </row>
    <row r="1350" spans="1:7" x14ac:dyDescent="0.2">
      <c r="A1350" s="1">
        <v>42377</v>
      </c>
      <c r="B1350">
        <v>46.7</v>
      </c>
      <c r="C1350">
        <v>46.49</v>
      </c>
      <c r="D1350">
        <v>47.7</v>
      </c>
      <c r="E1350">
        <v>45.67</v>
      </c>
      <c r="F1350" t="s">
        <v>1285</v>
      </c>
      <c r="G1350" s="2">
        <v>4.4999999999999997E-3</v>
      </c>
    </row>
    <row r="1351" spans="1:7" x14ac:dyDescent="0.2">
      <c r="A1351" s="1">
        <v>42376</v>
      </c>
      <c r="B1351">
        <v>46.49</v>
      </c>
      <c r="C1351">
        <v>44.56</v>
      </c>
      <c r="D1351">
        <v>46.54</v>
      </c>
      <c r="E1351">
        <v>43.07</v>
      </c>
      <c r="F1351" t="s">
        <v>1286</v>
      </c>
      <c r="G1351" s="2">
        <v>4.5199999999999997E-2</v>
      </c>
    </row>
    <row r="1352" spans="1:7" x14ac:dyDescent="0.2">
      <c r="A1352" s="1">
        <v>42375</v>
      </c>
      <c r="B1352">
        <v>44.48</v>
      </c>
      <c r="C1352">
        <v>45.26</v>
      </c>
      <c r="D1352">
        <v>46.98</v>
      </c>
      <c r="E1352">
        <v>41.6</v>
      </c>
      <c r="F1352" t="s">
        <v>1287</v>
      </c>
      <c r="G1352" s="2">
        <v>-2.1100000000000001E-2</v>
      </c>
    </row>
    <row r="1353" spans="1:7" x14ac:dyDescent="0.2">
      <c r="A1353" s="1">
        <v>42374</v>
      </c>
      <c r="B1353">
        <v>45.44</v>
      </c>
      <c r="C1353">
        <v>46.09</v>
      </c>
      <c r="D1353">
        <v>46.22</v>
      </c>
      <c r="E1353">
        <v>44.09</v>
      </c>
      <c r="F1353" t="s">
        <v>1288</v>
      </c>
      <c r="G1353" s="2">
        <v>-9.7999999999999997E-3</v>
      </c>
    </row>
    <row r="1354" spans="1:7" x14ac:dyDescent="0.2">
      <c r="A1354" s="1">
        <v>42373</v>
      </c>
      <c r="B1354">
        <v>45.89</v>
      </c>
      <c r="C1354">
        <v>44.02</v>
      </c>
      <c r="D1354">
        <v>47.02</v>
      </c>
      <c r="E1354">
        <v>43.41</v>
      </c>
      <c r="F1354" t="s">
        <v>1289</v>
      </c>
      <c r="G1354" s="2">
        <v>2.1600000000000001E-2</v>
      </c>
    </row>
    <row r="1355" spans="1:7" x14ac:dyDescent="0.2">
      <c r="A1355" s="1">
        <v>42372</v>
      </c>
      <c r="B1355">
        <v>44.92</v>
      </c>
      <c r="C1355">
        <v>42.25</v>
      </c>
      <c r="D1355">
        <v>45.51</v>
      </c>
      <c r="E1355">
        <v>42.19</v>
      </c>
      <c r="F1355" t="s">
        <v>1290</v>
      </c>
      <c r="G1355" s="2">
        <v>7.9799999999999996E-2</v>
      </c>
    </row>
    <row r="1356" spans="1:7" x14ac:dyDescent="0.2">
      <c r="A1356" s="1">
        <v>42371</v>
      </c>
      <c r="B1356">
        <v>41.6</v>
      </c>
      <c r="C1356">
        <v>42.31</v>
      </c>
      <c r="D1356">
        <v>42.64</v>
      </c>
      <c r="E1356">
        <v>39.409999999999997</v>
      </c>
      <c r="F1356" t="s">
        <v>1291</v>
      </c>
      <c r="G1356" s="2">
        <v>-2.46E-2</v>
      </c>
    </row>
    <row r="1357" spans="1:7" x14ac:dyDescent="0.2">
      <c r="A1357" s="1">
        <v>42370</v>
      </c>
      <c r="B1357">
        <v>42.65</v>
      </c>
      <c r="C1357">
        <v>44.48</v>
      </c>
      <c r="D1357">
        <v>44.48</v>
      </c>
      <c r="E1357">
        <v>39.32</v>
      </c>
      <c r="F1357" t="s">
        <v>1292</v>
      </c>
      <c r="G1357" s="2">
        <v>-5.45E-2</v>
      </c>
    </row>
    <row r="1358" spans="1:7" x14ac:dyDescent="0.2">
      <c r="A1358" s="1">
        <v>42016</v>
      </c>
      <c r="B1358">
        <v>45.11</v>
      </c>
      <c r="C1358">
        <v>46.69</v>
      </c>
      <c r="D1358">
        <v>46.96</v>
      </c>
      <c r="E1358">
        <v>43.98</v>
      </c>
      <c r="F1358" t="s">
        <v>1293</v>
      </c>
      <c r="G1358" s="2">
        <v>-2.93E-2</v>
      </c>
    </row>
    <row r="1359" spans="1:7" x14ac:dyDescent="0.2">
      <c r="A1359" s="1">
        <v>42015</v>
      </c>
      <c r="B1359">
        <v>46.47</v>
      </c>
      <c r="C1359">
        <v>47.37</v>
      </c>
      <c r="D1359">
        <v>47.86</v>
      </c>
      <c r="E1359">
        <v>45.51</v>
      </c>
      <c r="F1359" t="s">
        <v>1294</v>
      </c>
      <c r="G1359" s="2">
        <v>-1.32E-2</v>
      </c>
    </row>
    <row r="1360" spans="1:7" x14ac:dyDescent="0.2">
      <c r="A1360" s="1">
        <v>42014</v>
      </c>
      <c r="B1360">
        <v>47.09</v>
      </c>
      <c r="C1360">
        <v>44.63</v>
      </c>
      <c r="D1360">
        <v>48.13</v>
      </c>
      <c r="E1360">
        <v>44.08</v>
      </c>
      <c r="F1360" t="s">
        <v>1295</v>
      </c>
      <c r="G1360" s="2">
        <v>6.25E-2</v>
      </c>
    </row>
    <row r="1361" spans="1:7" x14ac:dyDescent="0.2">
      <c r="A1361" s="1">
        <v>42013</v>
      </c>
      <c r="B1361">
        <v>44.32</v>
      </c>
      <c r="C1361">
        <v>45.18</v>
      </c>
      <c r="D1361">
        <v>47.15</v>
      </c>
      <c r="E1361">
        <v>43.05</v>
      </c>
      <c r="F1361" t="s">
        <v>1296</v>
      </c>
      <c r="G1361" s="2">
        <v>-4.3400000000000001E-2</v>
      </c>
    </row>
    <row r="1362" spans="1:7" x14ac:dyDescent="0.2">
      <c r="A1362" s="1">
        <v>42012</v>
      </c>
      <c r="B1362">
        <v>46.33</v>
      </c>
      <c r="C1362">
        <v>49.97</v>
      </c>
      <c r="D1362">
        <v>50.44</v>
      </c>
      <c r="E1362">
        <v>43.11</v>
      </c>
      <c r="F1362" t="s">
        <v>1297</v>
      </c>
      <c r="G1362" s="2">
        <v>-7.4300000000000005E-2</v>
      </c>
    </row>
    <row r="1363" spans="1:7" x14ac:dyDescent="0.2">
      <c r="A1363" s="1">
        <v>42011</v>
      </c>
      <c r="B1363">
        <v>50.05</v>
      </c>
      <c r="C1363">
        <v>50.86</v>
      </c>
      <c r="D1363">
        <v>51.03</v>
      </c>
      <c r="E1363">
        <v>48.1</v>
      </c>
      <c r="F1363" t="s">
        <v>1298</v>
      </c>
      <c r="G1363" s="2">
        <v>-5.5999999999999999E-3</v>
      </c>
    </row>
    <row r="1364" spans="1:7" x14ac:dyDescent="0.2">
      <c r="A1364" s="1">
        <v>42010</v>
      </c>
      <c r="B1364">
        <v>50.33</v>
      </c>
      <c r="C1364">
        <v>52.51</v>
      </c>
      <c r="D1364">
        <v>52.81</v>
      </c>
      <c r="E1364">
        <v>50.16</v>
      </c>
      <c r="F1364" t="s">
        <v>1299</v>
      </c>
      <c r="G1364" s="2">
        <v>-3.7499999999999999E-2</v>
      </c>
    </row>
    <row r="1365" spans="1:7" x14ac:dyDescent="0.2">
      <c r="A1365" s="1">
        <v>42009</v>
      </c>
      <c r="B1365">
        <v>52.29</v>
      </c>
      <c r="C1365">
        <v>53.01</v>
      </c>
      <c r="D1365">
        <v>53.94</v>
      </c>
      <c r="E1365">
        <v>52.06</v>
      </c>
      <c r="F1365" t="s">
        <v>1300</v>
      </c>
      <c r="G1365" s="2">
        <v>-9.1000000000000004E-3</v>
      </c>
    </row>
    <row r="1366" spans="1:7" x14ac:dyDescent="0.2">
      <c r="A1366" s="1">
        <v>42008</v>
      </c>
      <c r="B1366">
        <v>52.77</v>
      </c>
      <c r="C1366">
        <v>50.72</v>
      </c>
      <c r="D1366">
        <v>53.89</v>
      </c>
      <c r="E1366">
        <v>50.39</v>
      </c>
      <c r="F1366" t="s">
        <v>1301</v>
      </c>
      <c r="G1366" s="2">
        <v>4.8099999999999997E-2</v>
      </c>
    </row>
    <row r="1367" spans="1:7" x14ac:dyDescent="0.2">
      <c r="A1367" s="1">
        <v>42007</v>
      </c>
      <c r="B1367">
        <v>50.35</v>
      </c>
      <c r="C1367">
        <v>51.28</v>
      </c>
      <c r="D1367">
        <v>51.75</v>
      </c>
      <c r="E1367">
        <v>49.01</v>
      </c>
      <c r="F1367" t="s">
        <v>1302</v>
      </c>
      <c r="G1367" s="2">
        <v>-1.7899999999999999E-2</v>
      </c>
    </row>
    <row r="1368" spans="1:7" x14ac:dyDescent="0.2">
      <c r="A1368" s="1">
        <v>42006</v>
      </c>
      <c r="B1368">
        <v>51.27</v>
      </c>
      <c r="C1368">
        <v>48.9</v>
      </c>
      <c r="D1368">
        <v>51.46</v>
      </c>
      <c r="E1368">
        <v>48.74</v>
      </c>
      <c r="F1368" t="s">
        <v>1303</v>
      </c>
      <c r="G1368" s="2">
        <v>5.7799999999999997E-2</v>
      </c>
    </row>
    <row r="1369" spans="1:7" x14ac:dyDescent="0.2">
      <c r="A1369" s="1">
        <v>42005</v>
      </c>
      <c r="B1369">
        <v>48.47</v>
      </c>
      <c r="C1369">
        <v>48.34</v>
      </c>
      <c r="D1369">
        <v>49.55</v>
      </c>
      <c r="E1369">
        <v>46.61</v>
      </c>
      <c r="F1369" t="s">
        <v>1304</v>
      </c>
      <c r="G1369" s="2">
        <v>2.7000000000000001E-3</v>
      </c>
    </row>
  </sheetData>
  <mergeCells count="10">
    <mergeCell ref="A683:G683"/>
    <mergeCell ref="A821:G821"/>
    <mergeCell ref="A959:G959"/>
    <mergeCell ref="A1097:G1097"/>
    <mergeCell ref="A1235:G1235"/>
    <mergeCell ref="A1:G1"/>
    <mergeCell ref="A137:G137"/>
    <mergeCell ref="A273:G273"/>
    <mergeCell ref="A409:G409"/>
    <mergeCell ref="A545:G5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0FAC4-0F5F-44A7-928E-C7D07B4CBDBA}">
  <dimension ref="A1:E1373"/>
  <sheetViews>
    <sheetView topLeftCell="A110" zoomScaleNormal="100" workbookViewId="0">
      <selection activeCell="A135" sqref="A135"/>
    </sheetView>
  </sheetViews>
  <sheetFormatPr defaultRowHeight="14.25" x14ac:dyDescent="0.2"/>
  <cols>
    <col min="1" max="1" width="9.875" bestFit="1" customWidth="1"/>
    <col min="3" max="3" width="12.375" customWidth="1"/>
    <col min="5" max="5" width="10.125" bestFit="1" customWidth="1"/>
  </cols>
  <sheetData>
    <row r="1" spans="1:2" x14ac:dyDescent="0.2">
      <c r="A1" s="104" t="s">
        <v>139</v>
      </c>
      <c r="B1" s="104"/>
    </row>
    <row r="2" spans="1:2" x14ac:dyDescent="0.2">
      <c r="A2" t="s">
        <v>0</v>
      </c>
      <c r="B2" t="s">
        <v>1</v>
      </c>
    </row>
    <row r="3" spans="1:2" x14ac:dyDescent="0.2">
      <c r="A3" s="1">
        <v>46023</v>
      </c>
      <c r="B3">
        <v>421.29</v>
      </c>
    </row>
    <row r="4" spans="1:2" x14ac:dyDescent="0.2">
      <c r="A4" s="1">
        <v>45992</v>
      </c>
      <c r="B4">
        <v>396.31</v>
      </c>
    </row>
    <row r="5" spans="1:2" x14ac:dyDescent="0.2">
      <c r="A5" s="1">
        <v>45962</v>
      </c>
      <c r="B5">
        <v>387.88</v>
      </c>
    </row>
    <row r="6" spans="1:2" x14ac:dyDescent="0.2">
      <c r="A6" s="1">
        <v>45931</v>
      </c>
      <c r="B6">
        <v>368.12</v>
      </c>
    </row>
    <row r="7" spans="1:2" x14ac:dyDescent="0.2">
      <c r="A7" s="1">
        <v>45901</v>
      </c>
      <c r="B7">
        <v>355.47</v>
      </c>
    </row>
    <row r="8" spans="1:2" x14ac:dyDescent="0.2">
      <c r="A8" s="1">
        <v>45870</v>
      </c>
      <c r="B8">
        <v>318.07</v>
      </c>
    </row>
    <row r="9" spans="1:2" x14ac:dyDescent="0.2">
      <c r="A9" s="1">
        <v>45839</v>
      </c>
      <c r="B9">
        <v>302.95999999999998</v>
      </c>
    </row>
    <row r="10" spans="1:2" x14ac:dyDescent="0.2">
      <c r="A10" s="1">
        <v>45809</v>
      </c>
      <c r="B10">
        <v>304.83</v>
      </c>
    </row>
    <row r="11" spans="1:2" x14ac:dyDescent="0.2">
      <c r="A11" s="1">
        <v>45778</v>
      </c>
      <c r="B11">
        <v>303.60000000000002</v>
      </c>
    </row>
    <row r="12" spans="1:2" x14ac:dyDescent="0.2">
      <c r="A12" s="1">
        <v>45748</v>
      </c>
      <c r="B12">
        <v>303.77</v>
      </c>
    </row>
    <row r="13" spans="1:2" x14ac:dyDescent="0.2">
      <c r="A13" s="1">
        <v>45717</v>
      </c>
      <c r="B13">
        <v>288.14</v>
      </c>
    </row>
    <row r="14" spans="1:2" x14ac:dyDescent="0.2">
      <c r="A14" s="1">
        <v>45689</v>
      </c>
      <c r="B14">
        <v>263.27</v>
      </c>
    </row>
    <row r="15" spans="1:2" x14ac:dyDescent="0.2">
      <c r="A15" s="1">
        <v>45658</v>
      </c>
      <c r="B15">
        <v>258.56</v>
      </c>
    </row>
    <row r="16" spans="1:2" x14ac:dyDescent="0.2">
      <c r="A16" s="1">
        <v>45627</v>
      </c>
      <c r="B16">
        <v>242.13</v>
      </c>
    </row>
    <row r="17" spans="1:2" x14ac:dyDescent="0.2">
      <c r="A17" s="1">
        <v>45597</v>
      </c>
      <c r="B17">
        <v>245.59</v>
      </c>
    </row>
    <row r="18" spans="1:2" x14ac:dyDescent="0.2">
      <c r="A18" s="1">
        <v>45566</v>
      </c>
      <c r="B18">
        <v>253.51</v>
      </c>
    </row>
    <row r="19" spans="1:2" x14ac:dyDescent="0.2">
      <c r="A19" s="1">
        <v>45536</v>
      </c>
      <c r="B19">
        <v>243.06</v>
      </c>
    </row>
    <row r="20" spans="1:2" x14ac:dyDescent="0.2">
      <c r="A20" s="1">
        <v>45505</v>
      </c>
      <c r="B20">
        <v>231.29</v>
      </c>
    </row>
    <row r="21" spans="1:2" x14ac:dyDescent="0.2">
      <c r="A21" s="1">
        <v>45474</v>
      </c>
      <c r="B21">
        <v>226.55</v>
      </c>
    </row>
    <row r="22" spans="1:2" x14ac:dyDescent="0.2">
      <c r="A22" s="1">
        <v>45444</v>
      </c>
      <c r="B22">
        <v>215.01</v>
      </c>
    </row>
    <row r="23" spans="1:2" x14ac:dyDescent="0.2">
      <c r="A23" s="1">
        <v>45413</v>
      </c>
      <c r="B23">
        <v>215.3</v>
      </c>
    </row>
    <row r="24" spans="1:2" x14ac:dyDescent="0.2">
      <c r="A24" s="1">
        <v>45383</v>
      </c>
      <c r="B24">
        <v>211.87</v>
      </c>
    </row>
    <row r="25" spans="1:2" x14ac:dyDescent="0.2">
      <c r="A25" s="1">
        <v>45352</v>
      </c>
      <c r="B25">
        <v>205.72</v>
      </c>
    </row>
    <row r="26" spans="1:2" x14ac:dyDescent="0.2">
      <c r="A26" s="1">
        <v>45323</v>
      </c>
      <c r="B26">
        <v>189.31</v>
      </c>
    </row>
    <row r="27" spans="1:2" x14ac:dyDescent="0.2">
      <c r="A27" s="1">
        <v>45292</v>
      </c>
      <c r="B27">
        <v>188.45</v>
      </c>
    </row>
    <row r="28" spans="1:2" x14ac:dyDescent="0.2">
      <c r="A28" s="1">
        <v>45261</v>
      </c>
      <c r="B28">
        <v>191.17</v>
      </c>
    </row>
    <row r="29" spans="1:2" x14ac:dyDescent="0.2">
      <c r="A29" s="1">
        <v>45231</v>
      </c>
      <c r="B29">
        <v>188.75</v>
      </c>
    </row>
    <row r="30" spans="1:2" x14ac:dyDescent="0.2">
      <c r="A30" s="1">
        <v>45200</v>
      </c>
      <c r="B30">
        <v>184.09</v>
      </c>
    </row>
    <row r="31" spans="1:2" x14ac:dyDescent="0.2">
      <c r="A31" s="1">
        <v>45170</v>
      </c>
      <c r="B31">
        <v>171.45</v>
      </c>
    </row>
    <row r="32" spans="1:2" x14ac:dyDescent="0.2">
      <c r="A32" s="1">
        <v>45139</v>
      </c>
      <c r="B32">
        <v>180.02</v>
      </c>
    </row>
    <row r="33" spans="1:2" x14ac:dyDescent="0.2">
      <c r="A33" s="1">
        <v>45108</v>
      </c>
      <c r="B33">
        <v>182.35</v>
      </c>
    </row>
    <row r="34" spans="1:2" x14ac:dyDescent="0.2">
      <c r="A34" s="1">
        <v>45078</v>
      </c>
      <c r="B34">
        <v>178.27</v>
      </c>
    </row>
    <row r="35" spans="1:2" x14ac:dyDescent="0.2">
      <c r="A35" s="1">
        <v>45047</v>
      </c>
      <c r="B35">
        <v>182.32</v>
      </c>
    </row>
    <row r="36" spans="1:2" x14ac:dyDescent="0.2">
      <c r="A36" s="1">
        <v>45017</v>
      </c>
      <c r="B36">
        <v>184.8</v>
      </c>
    </row>
    <row r="37" spans="1:2" x14ac:dyDescent="0.2">
      <c r="A37" s="1">
        <v>44986</v>
      </c>
      <c r="B37">
        <v>183.22</v>
      </c>
    </row>
    <row r="38" spans="1:2" x14ac:dyDescent="0.2">
      <c r="A38" s="1">
        <v>44958</v>
      </c>
      <c r="B38">
        <v>169.78</v>
      </c>
    </row>
    <row r="39" spans="1:2" x14ac:dyDescent="0.2">
      <c r="A39" s="1">
        <v>44927</v>
      </c>
      <c r="B39">
        <v>179.41</v>
      </c>
    </row>
    <row r="40" spans="1:2" x14ac:dyDescent="0.2">
      <c r="A40" s="1">
        <v>44896</v>
      </c>
      <c r="B40">
        <v>169.64</v>
      </c>
    </row>
    <row r="41" spans="1:2" x14ac:dyDescent="0.2">
      <c r="A41" s="1">
        <v>44866</v>
      </c>
      <c r="B41">
        <v>164.81</v>
      </c>
    </row>
    <row r="42" spans="1:2" x14ac:dyDescent="0.2">
      <c r="A42" s="1">
        <v>44835</v>
      </c>
      <c r="B42">
        <v>151.91</v>
      </c>
    </row>
    <row r="43" spans="1:2" x14ac:dyDescent="0.2">
      <c r="A43" s="1">
        <v>44805</v>
      </c>
      <c r="B43">
        <v>154.66999999999999</v>
      </c>
    </row>
    <row r="44" spans="1:2" x14ac:dyDescent="0.2">
      <c r="A44" s="1">
        <v>44774</v>
      </c>
      <c r="B44">
        <v>159.27000000000001</v>
      </c>
    </row>
    <row r="45" spans="1:2" x14ac:dyDescent="0.2">
      <c r="A45" s="1">
        <v>44743</v>
      </c>
      <c r="B45">
        <v>164.1</v>
      </c>
    </row>
    <row r="46" spans="1:2" x14ac:dyDescent="0.2">
      <c r="A46" s="1">
        <v>44713</v>
      </c>
      <c r="B46">
        <v>168.46</v>
      </c>
    </row>
    <row r="47" spans="1:2" x14ac:dyDescent="0.2">
      <c r="A47" s="1">
        <v>44682</v>
      </c>
      <c r="B47">
        <v>171.14</v>
      </c>
    </row>
    <row r="48" spans="1:2" x14ac:dyDescent="0.2">
      <c r="A48" s="1">
        <v>44652</v>
      </c>
      <c r="B48">
        <v>176.91</v>
      </c>
    </row>
    <row r="49" spans="1:2" x14ac:dyDescent="0.2">
      <c r="A49" s="1">
        <v>44621</v>
      </c>
      <c r="B49">
        <v>180.65</v>
      </c>
    </row>
    <row r="50" spans="1:2" x14ac:dyDescent="0.2">
      <c r="A50" s="1">
        <v>44593</v>
      </c>
      <c r="B50">
        <v>178.38</v>
      </c>
    </row>
    <row r="51" spans="1:2" x14ac:dyDescent="0.2">
      <c r="A51" s="1">
        <v>44562</v>
      </c>
      <c r="B51">
        <v>168.09</v>
      </c>
    </row>
    <row r="52" spans="1:2" x14ac:dyDescent="0.2">
      <c r="A52" s="1">
        <v>44531</v>
      </c>
      <c r="B52">
        <v>170.96</v>
      </c>
    </row>
    <row r="53" spans="1:2" x14ac:dyDescent="0.2">
      <c r="A53" s="1">
        <v>44501</v>
      </c>
      <c r="B53">
        <v>165.5</v>
      </c>
    </row>
    <row r="54" spans="1:2" x14ac:dyDescent="0.2">
      <c r="A54" s="1">
        <v>44470</v>
      </c>
      <c r="B54">
        <v>166.65</v>
      </c>
    </row>
    <row r="55" spans="1:2" x14ac:dyDescent="0.2">
      <c r="A55" s="1">
        <v>44440</v>
      </c>
      <c r="B55">
        <v>164.22</v>
      </c>
    </row>
    <row r="56" spans="1:2" x14ac:dyDescent="0.2">
      <c r="A56" s="1">
        <v>44409</v>
      </c>
      <c r="B56">
        <v>169.69</v>
      </c>
    </row>
    <row r="57" spans="1:2" x14ac:dyDescent="0.2">
      <c r="A57" s="1">
        <v>44378</v>
      </c>
      <c r="B57">
        <v>169.82</v>
      </c>
    </row>
    <row r="58" spans="1:2" x14ac:dyDescent="0.2">
      <c r="A58" s="1">
        <v>44348</v>
      </c>
      <c r="B58">
        <v>165.63</v>
      </c>
    </row>
    <row r="59" spans="1:2" x14ac:dyDescent="0.2">
      <c r="A59" s="1">
        <v>44317</v>
      </c>
      <c r="B59">
        <v>178.38</v>
      </c>
    </row>
    <row r="60" spans="1:2" x14ac:dyDescent="0.2">
      <c r="A60" s="1">
        <v>44287</v>
      </c>
      <c r="B60">
        <v>165.66</v>
      </c>
    </row>
    <row r="61" spans="1:2" x14ac:dyDescent="0.2">
      <c r="A61" s="1">
        <v>44256</v>
      </c>
      <c r="B61">
        <v>159.96</v>
      </c>
    </row>
    <row r="62" spans="1:2" x14ac:dyDescent="0.2">
      <c r="A62" s="1">
        <v>44228</v>
      </c>
      <c r="B62">
        <v>161.81</v>
      </c>
    </row>
    <row r="63" spans="1:2" x14ac:dyDescent="0.2">
      <c r="A63" s="1">
        <v>44197</v>
      </c>
      <c r="B63">
        <v>172.61</v>
      </c>
    </row>
    <row r="64" spans="1:2" x14ac:dyDescent="0.2">
      <c r="A64" s="1">
        <v>44166</v>
      </c>
      <c r="B64">
        <v>178.36</v>
      </c>
    </row>
    <row r="65" spans="1:2" x14ac:dyDescent="0.2">
      <c r="A65" s="1">
        <v>44136</v>
      </c>
      <c r="B65">
        <v>166.67</v>
      </c>
    </row>
    <row r="66" spans="1:2" x14ac:dyDescent="0.2">
      <c r="A66" s="1">
        <v>44105</v>
      </c>
      <c r="B66">
        <v>176.2</v>
      </c>
    </row>
    <row r="67" spans="1:2" x14ac:dyDescent="0.2">
      <c r="A67" s="1">
        <v>44075</v>
      </c>
      <c r="B67">
        <v>177.12</v>
      </c>
    </row>
    <row r="68" spans="1:2" x14ac:dyDescent="0.2">
      <c r="A68" s="1">
        <v>44044</v>
      </c>
      <c r="B68">
        <v>184.83</v>
      </c>
    </row>
    <row r="69" spans="1:2" x14ac:dyDescent="0.2">
      <c r="A69" s="1">
        <v>44013</v>
      </c>
      <c r="B69">
        <v>185.43</v>
      </c>
    </row>
    <row r="70" spans="1:2" x14ac:dyDescent="0.2">
      <c r="A70" s="1">
        <v>43983</v>
      </c>
      <c r="B70">
        <v>167.37</v>
      </c>
    </row>
    <row r="71" spans="1:2" x14ac:dyDescent="0.2">
      <c r="A71" s="1">
        <v>43952</v>
      </c>
      <c r="B71">
        <v>162.91</v>
      </c>
    </row>
    <row r="72" spans="1:2" x14ac:dyDescent="0.2">
      <c r="A72" s="1">
        <v>43922</v>
      </c>
      <c r="B72">
        <v>158.80000000000001</v>
      </c>
    </row>
    <row r="73" spans="1:2" x14ac:dyDescent="0.2">
      <c r="A73" s="1">
        <v>43891</v>
      </c>
      <c r="B73">
        <v>148.05000000000001</v>
      </c>
    </row>
    <row r="74" spans="1:2" x14ac:dyDescent="0.2">
      <c r="A74" s="1">
        <v>43862</v>
      </c>
      <c r="B74">
        <v>148.38</v>
      </c>
    </row>
    <row r="75" spans="1:2" x14ac:dyDescent="0.2">
      <c r="A75" s="1">
        <v>43831</v>
      </c>
      <c r="B75">
        <v>149.33000000000001</v>
      </c>
    </row>
    <row r="76" spans="1:2" x14ac:dyDescent="0.2">
      <c r="A76" s="1">
        <v>43800</v>
      </c>
      <c r="B76">
        <v>142.9</v>
      </c>
    </row>
    <row r="77" spans="1:2" x14ac:dyDescent="0.2">
      <c r="A77" s="1">
        <v>43770</v>
      </c>
      <c r="B77">
        <v>137.86000000000001</v>
      </c>
    </row>
    <row r="78" spans="1:2" x14ac:dyDescent="0.2">
      <c r="A78" s="1">
        <v>43739</v>
      </c>
      <c r="B78">
        <v>142.43</v>
      </c>
    </row>
    <row r="79" spans="1:2" x14ac:dyDescent="0.2">
      <c r="A79" s="1">
        <v>43709</v>
      </c>
      <c r="B79">
        <v>138.87</v>
      </c>
    </row>
    <row r="80" spans="1:2" x14ac:dyDescent="0.2">
      <c r="A80" s="1">
        <v>43678</v>
      </c>
      <c r="B80">
        <v>143.75</v>
      </c>
    </row>
    <row r="81" spans="1:2" x14ac:dyDescent="0.2">
      <c r="A81" s="1">
        <v>43647</v>
      </c>
      <c r="B81">
        <v>133.21</v>
      </c>
    </row>
    <row r="82" spans="1:2" x14ac:dyDescent="0.2">
      <c r="A82" s="1">
        <v>43617</v>
      </c>
      <c r="B82">
        <v>133.19999999999999</v>
      </c>
    </row>
    <row r="83" spans="1:2" x14ac:dyDescent="0.2">
      <c r="A83" s="1">
        <v>43586</v>
      </c>
      <c r="B83">
        <v>123.33</v>
      </c>
    </row>
    <row r="84" spans="1:2" x14ac:dyDescent="0.2">
      <c r="A84" s="1">
        <v>43556</v>
      </c>
      <c r="B84">
        <v>121.2</v>
      </c>
    </row>
    <row r="85" spans="1:2" x14ac:dyDescent="0.2">
      <c r="A85" s="1">
        <v>43525</v>
      </c>
      <c r="B85">
        <v>122.01</v>
      </c>
    </row>
    <row r="86" spans="1:2" x14ac:dyDescent="0.2">
      <c r="A86" s="1">
        <v>43497</v>
      </c>
      <c r="B86">
        <v>123.99</v>
      </c>
    </row>
    <row r="87" spans="1:2" x14ac:dyDescent="0.2">
      <c r="A87" s="1">
        <v>43466</v>
      </c>
      <c r="B87">
        <v>124.75</v>
      </c>
    </row>
    <row r="88" spans="1:2" x14ac:dyDescent="0.2">
      <c r="A88" s="1">
        <v>43435</v>
      </c>
      <c r="B88">
        <v>121.25</v>
      </c>
    </row>
    <row r="89" spans="1:2" x14ac:dyDescent="0.2">
      <c r="A89" s="1">
        <v>43405</v>
      </c>
      <c r="B89">
        <v>115.54</v>
      </c>
    </row>
    <row r="90" spans="1:2" x14ac:dyDescent="0.2">
      <c r="A90" s="1">
        <v>43374</v>
      </c>
      <c r="B90">
        <v>115.15</v>
      </c>
    </row>
    <row r="91" spans="1:2" x14ac:dyDescent="0.2">
      <c r="A91" s="1">
        <v>43344</v>
      </c>
      <c r="B91">
        <v>112.76</v>
      </c>
    </row>
    <row r="92" spans="1:2" x14ac:dyDescent="0.2">
      <c r="A92" s="1">
        <v>43313</v>
      </c>
      <c r="B92">
        <v>113.51</v>
      </c>
    </row>
    <row r="93" spans="1:2" x14ac:dyDescent="0.2">
      <c r="A93" s="1">
        <v>43282</v>
      </c>
      <c r="B93">
        <v>115.99</v>
      </c>
    </row>
    <row r="94" spans="1:2" x14ac:dyDescent="0.2">
      <c r="A94" s="1">
        <v>43252</v>
      </c>
      <c r="B94">
        <v>118.65</v>
      </c>
    </row>
    <row r="95" spans="1:2" x14ac:dyDescent="0.2">
      <c r="A95" s="1">
        <v>43221</v>
      </c>
      <c r="B95">
        <v>123.1</v>
      </c>
    </row>
    <row r="96" spans="1:2" x14ac:dyDescent="0.2">
      <c r="A96" s="1">
        <v>43191</v>
      </c>
      <c r="B96">
        <v>124.59</v>
      </c>
    </row>
    <row r="97" spans="1:2" x14ac:dyDescent="0.2">
      <c r="A97" s="1">
        <v>43160</v>
      </c>
      <c r="B97">
        <v>125.79</v>
      </c>
    </row>
    <row r="98" spans="1:2" x14ac:dyDescent="0.2">
      <c r="A98" s="1">
        <v>43132</v>
      </c>
      <c r="B98">
        <v>125</v>
      </c>
    </row>
    <row r="99" spans="1:2" x14ac:dyDescent="0.2">
      <c r="A99" s="1">
        <v>43101</v>
      </c>
      <c r="B99">
        <v>127.65</v>
      </c>
    </row>
    <row r="100" spans="1:2" x14ac:dyDescent="0.2">
      <c r="A100" s="1">
        <v>43070</v>
      </c>
      <c r="B100">
        <v>123.65</v>
      </c>
    </row>
    <row r="101" spans="1:2" x14ac:dyDescent="0.2">
      <c r="A101" s="1">
        <v>43040</v>
      </c>
      <c r="B101">
        <v>121.1</v>
      </c>
    </row>
    <row r="102" spans="1:2" x14ac:dyDescent="0.2">
      <c r="A102" s="1">
        <v>43009</v>
      </c>
      <c r="B102">
        <v>120.67</v>
      </c>
    </row>
    <row r="103" spans="1:2" x14ac:dyDescent="0.2">
      <c r="A103" s="1">
        <v>42979</v>
      </c>
      <c r="B103">
        <v>121.58</v>
      </c>
    </row>
    <row r="104" spans="1:2" x14ac:dyDescent="0.2">
      <c r="A104" s="1">
        <v>42948</v>
      </c>
      <c r="B104">
        <v>125.82</v>
      </c>
    </row>
    <row r="105" spans="1:2" x14ac:dyDescent="0.2">
      <c r="A105" s="1">
        <v>42917</v>
      </c>
      <c r="B105">
        <v>120.75</v>
      </c>
    </row>
    <row r="106" spans="1:2" x14ac:dyDescent="0.2">
      <c r="A106" s="1">
        <v>42887</v>
      </c>
      <c r="B106">
        <v>118.02</v>
      </c>
    </row>
    <row r="107" spans="1:2" x14ac:dyDescent="0.2">
      <c r="A107" s="1">
        <v>42856</v>
      </c>
      <c r="B107">
        <v>120.62</v>
      </c>
    </row>
    <row r="108" spans="1:2" x14ac:dyDescent="0.2">
      <c r="A108" s="1">
        <v>42826</v>
      </c>
      <c r="B108">
        <v>120.77</v>
      </c>
    </row>
    <row r="109" spans="1:2" x14ac:dyDescent="0.2">
      <c r="A109" s="1">
        <v>42795</v>
      </c>
      <c r="B109">
        <v>118.72</v>
      </c>
    </row>
    <row r="110" spans="1:2" x14ac:dyDescent="0.2">
      <c r="A110" s="1">
        <v>42767</v>
      </c>
      <c r="B110">
        <v>119.23</v>
      </c>
    </row>
    <row r="111" spans="1:2" x14ac:dyDescent="0.2">
      <c r="A111" s="1">
        <v>42736</v>
      </c>
      <c r="B111">
        <v>115.55</v>
      </c>
    </row>
    <row r="112" spans="1:2" x14ac:dyDescent="0.2">
      <c r="A112" s="1">
        <v>42705</v>
      </c>
      <c r="B112">
        <v>109.61</v>
      </c>
    </row>
    <row r="113" spans="1:2" x14ac:dyDescent="0.2">
      <c r="A113" s="1">
        <v>42675</v>
      </c>
      <c r="B113">
        <v>111.75</v>
      </c>
    </row>
    <row r="114" spans="1:2" x14ac:dyDescent="0.2">
      <c r="A114" s="1">
        <v>42644</v>
      </c>
      <c r="B114">
        <v>121.94</v>
      </c>
    </row>
    <row r="115" spans="1:2" x14ac:dyDescent="0.2">
      <c r="A115" s="1">
        <v>42614</v>
      </c>
      <c r="B115">
        <v>125.64</v>
      </c>
    </row>
    <row r="116" spans="1:2" x14ac:dyDescent="0.2">
      <c r="A116" s="1">
        <v>42583</v>
      </c>
      <c r="B116">
        <v>124.78</v>
      </c>
    </row>
    <row r="117" spans="1:2" x14ac:dyDescent="0.2">
      <c r="A117" s="1">
        <v>42552</v>
      </c>
      <c r="B117">
        <v>128.97999999999999</v>
      </c>
    </row>
    <row r="118" spans="1:2" x14ac:dyDescent="0.2">
      <c r="A118" s="1">
        <v>42522</v>
      </c>
      <c r="B118">
        <v>126.47</v>
      </c>
    </row>
    <row r="119" spans="1:2" x14ac:dyDescent="0.2">
      <c r="A119" s="1">
        <v>42491</v>
      </c>
      <c r="B119">
        <v>116.06</v>
      </c>
    </row>
    <row r="120" spans="1:2" x14ac:dyDescent="0.2">
      <c r="A120" s="1">
        <v>42461</v>
      </c>
      <c r="B120">
        <v>123.65</v>
      </c>
    </row>
    <row r="121" spans="1:2" x14ac:dyDescent="0.2">
      <c r="A121" s="1">
        <v>42430</v>
      </c>
      <c r="B121">
        <v>117.64</v>
      </c>
    </row>
    <row r="122" spans="1:2" x14ac:dyDescent="0.2">
      <c r="A122" s="1">
        <v>42401</v>
      </c>
      <c r="B122">
        <v>118.64</v>
      </c>
    </row>
    <row r="123" spans="1:2" x14ac:dyDescent="0.2">
      <c r="A123" s="1">
        <v>42370</v>
      </c>
      <c r="B123">
        <v>106.95</v>
      </c>
    </row>
    <row r="124" spans="1:2" x14ac:dyDescent="0.2">
      <c r="A124" s="1">
        <v>42339</v>
      </c>
      <c r="B124">
        <v>101.46</v>
      </c>
    </row>
    <row r="125" spans="1:2" x14ac:dyDescent="0.2">
      <c r="A125" s="1">
        <v>42309</v>
      </c>
      <c r="B125">
        <v>101.92</v>
      </c>
    </row>
    <row r="126" spans="1:2" x14ac:dyDescent="0.2">
      <c r="A126" s="1">
        <v>42278</v>
      </c>
      <c r="B126">
        <v>109.3</v>
      </c>
    </row>
    <row r="127" spans="1:2" x14ac:dyDescent="0.2">
      <c r="A127" s="1">
        <v>42248</v>
      </c>
      <c r="B127">
        <v>106.86</v>
      </c>
    </row>
    <row r="128" spans="1:2" x14ac:dyDescent="0.2">
      <c r="A128" s="1">
        <v>42217</v>
      </c>
      <c r="B128">
        <v>108.82</v>
      </c>
    </row>
    <row r="129" spans="1:4" x14ac:dyDescent="0.2">
      <c r="A129" s="1">
        <v>42186</v>
      </c>
      <c r="B129">
        <v>104.93</v>
      </c>
    </row>
    <row r="130" spans="1:4" x14ac:dyDescent="0.2">
      <c r="A130" s="1">
        <v>42156</v>
      </c>
      <c r="B130">
        <v>112.37</v>
      </c>
    </row>
    <row r="131" spans="1:4" x14ac:dyDescent="0.2">
      <c r="A131" s="1">
        <v>42125</v>
      </c>
      <c r="B131">
        <v>114.1</v>
      </c>
    </row>
    <row r="132" spans="1:4" x14ac:dyDescent="0.2">
      <c r="A132" s="1">
        <v>42095</v>
      </c>
      <c r="B132">
        <v>113.47</v>
      </c>
    </row>
    <row r="133" spans="1:4" x14ac:dyDescent="0.2">
      <c r="A133" s="1">
        <v>42064</v>
      </c>
      <c r="B133">
        <v>113.66</v>
      </c>
    </row>
    <row r="134" spans="1:4" x14ac:dyDescent="0.2">
      <c r="A134" s="1">
        <v>42036</v>
      </c>
      <c r="B134">
        <v>116.16</v>
      </c>
    </row>
    <row r="135" spans="1:4" x14ac:dyDescent="0.2">
      <c r="A135" s="1">
        <v>42005</v>
      </c>
      <c r="B135">
        <v>123.45</v>
      </c>
    </row>
    <row r="138" spans="1:4" x14ac:dyDescent="0.2">
      <c r="A138" s="104" t="s">
        <v>630</v>
      </c>
      <c r="B138" s="104"/>
    </row>
    <row r="139" spans="1:4" x14ac:dyDescent="0.2">
      <c r="A139" t="s">
        <v>0</v>
      </c>
      <c r="B139" t="s">
        <v>1</v>
      </c>
    </row>
    <row r="140" spans="1:4" x14ac:dyDescent="0.2">
      <c r="A140" s="1">
        <v>46023</v>
      </c>
      <c r="B140">
        <v>129.88999999999999</v>
      </c>
    </row>
    <row r="141" spans="1:4" x14ac:dyDescent="0.2">
      <c r="A141" s="1">
        <v>45992</v>
      </c>
      <c r="B141">
        <v>120.34</v>
      </c>
      <c r="D141">
        <f>MONTH(Table3[[#This Row],[Date]])</f>
        <v>12</v>
      </c>
    </row>
    <row r="142" spans="1:4" x14ac:dyDescent="0.2">
      <c r="A142" s="1">
        <v>45962</v>
      </c>
      <c r="B142">
        <v>115.92</v>
      </c>
    </row>
    <row r="143" spans="1:4" x14ac:dyDescent="0.2">
      <c r="A143" s="1">
        <v>45931</v>
      </c>
      <c r="B143">
        <v>114.36</v>
      </c>
    </row>
    <row r="144" spans="1:4" x14ac:dyDescent="0.2">
      <c r="A144" s="1">
        <v>45901</v>
      </c>
      <c r="B144">
        <v>112.75</v>
      </c>
    </row>
    <row r="145" spans="1:2" x14ac:dyDescent="0.2">
      <c r="A145" s="1">
        <v>45870</v>
      </c>
      <c r="B145">
        <v>114.29</v>
      </c>
    </row>
    <row r="146" spans="1:2" x14ac:dyDescent="0.2">
      <c r="A146" s="1">
        <v>45839</v>
      </c>
      <c r="B146">
        <v>111.64</v>
      </c>
    </row>
    <row r="147" spans="1:2" x14ac:dyDescent="0.2">
      <c r="A147" s="1">
        <v>45809</v>
      </c>
      <c r="B147">
        <v>107.8</v>
      </c>
    </row>
    <row r="148" spans="1:2" x14ac:dyDescent="0.2">
      <c r="A148" s="1">
        <v>45778</v>
      </c>
      <c r="B148">
        <v>102.3</v>
      </c>
    </row>
    <row r="149" spans="1:2" x14ac:dyDescent="0.2">
      <c r="A149" s="1">
        <v>45748</v>
      </c>
      <c r="B149">
        <v>105.63</v>
      </c>
    </row>
    <row r="150" spans="1:2" x14ac:dyDescent="0.2">
      <c r="A150" s="1">
        <v>45717</v>
      </c>
      <c r="B150">
        <v>118.93</v>
      </c>
    </row>
    <row r="151" spans="1:2" x14ac:dyDescent="0.2">
      <c r="A151" s="1">
        <v>45689</v>
      </c>
      <c r="B151">
        <v>111.33</v>
      </c>
    </row>
    <row r="152" spans="1:2" x14ac:dyDescent="0.2">
      <c r="A152" s="1">
        <v>45658</v>
      </c>
      <c r="B152">
        <v>106.83</v>
      </c>
    </row>
    <row r="153" spans="1:2" x14ac:dyDescent="0.2">
      <c r="A153" s="1">
        <v>45627</v>
      </c>
      <c r="B153">
        <v>107.57</v>
      </c>
    </row>
    <row r="154" spans="1:2" x14ac:dyDescent="0.2">
      <c r="A154" s="1">
        <v>45597</v>
      </c>
      <c r="B154">
        <v>117.96</v>
      </c>
    </row>
    <row r="155" spans="1:2" x14ac:dyDescent="0.2">
      <c r="A155" s="1">
        <v>45566</v>
      </c>
      <c r="B155">
        <v>116.78</v>
      </c>
    </row>
    <row r="156" spans="1:2" x14ac:dyDescent="0.2">
      <c r="A156" s="1">
        <v>45536</v>
      </c>
      <c r="B156">
        <v>117.22</v>
      </c>
    </row>
    <row r="157" spans="1:2" x14ac:dyDescent="0.2">
      <c r="A157" s="1">
        <v>45505</v>
      </c>
      <c r="B157">
        <v>117.94</v>
      </c>
    </row>
    <row r="158" spans="1:2" x14ac:dyDescent="0.2">
      <c r="A158" s="1">
        <v>45474</v>
      </c>
      <c r="B158">
        <v>118.59</v>
      </c>
    </row>
    <row r="159" spans="1:2" x14ac:dyDescent="0.2">
      <c r="A159" s="1">
        <v>45444</v>
      </c>
      <c r="B159">
        <v>115.12</v>
      </c>
    </row>
    <row r="160" spans="1:2" x14ac:dyDescent="0.2">
      <c r="A160" s="1">
        <v>45413</v>
      </c>
      <c r="B160">
        <v>117.26</v>
      </c>
    </row>
    <row r="161" spans="1:2" x14ac:dyDescent="0.2">
      <c r="A161" s="1">
        <v>45383</v>
      </c>
      <c r="B161">
        <v>118.27</v>
      </c>
    </row>
    <row r="162" spans="1:2" x14ac:dyDescent="0.2">
      <c r="A162" s="1">
        <v>45352</v>
      </c>
      <c r="B162">
        <v>116.24</v>
      </c>
    </row>
    <row r="163" spans="1:2" x14ac:dyDescent="0.2">
      <c r="A163" s="1">
        <v>45323</v>
      </c>
      <c r="B163">
        <v>104.52</v>
      </c>
    </row>
    <row r="164" spans="1:2" x14ac:dyDescent="0.2">
      <c r="A164" s="1">
        <v>45292</v>
      </c>
      <c r="B164">
        <v>102.81</v>
      </c>
    </row>
    <row r="165" spans="1:2" x14ac:dyDescent="0.2">
      <c r="A165" s="1">
        <v>45261</v>
      </c>
      <c r="B165">
        <v>99.98</v>
      </c>
    </row>
    <row r="166" spans="1:2" x14ac:dyDescent="0.2">
      <c r="A166" s="1">
        <v>45231</v>
      </c>
      <c r="B166">
        <v>102.74</v>
      </c>
    </row>
    <row r="167" spans="1:2" x14ac:dyDescent="0.2">
      <c r="A167" s="1">
        <v>45200</v>
      </c>
      <c r="B167">
        <v>105.85</v>
      </c>
    </row>
    <row r="168" spans="1:2" x14ac:dyDescent="0.2">
      <c r="A168" s="1">
        <v>45170</v>
      </c>
      <c r="B168">
        <v>117.58</v>
      </c>
    </row>
    <row r="169" spans="1:2" x14ac:dyDescent="0.2">
      <c r="A169" s="1">
        <v>45139</v>
      </c>
      <c r="B169">
        <v>111.19</v>
      </c>
    </row>
    <row r="170" spans="1:2" x14ac:dyDescent="0.2">
      <c r="A170" s="1">
        <v>45108</v>
      </c>
      <c r="B170">
        <v>107.24</v>
      </c>
    </row>
    <row r="171" spans="1:2" x14ac:dyDescent="0.2">
      <c r="A171" s="1">
        <v>45078</v>
      </c>
      <c r="B171">
        <v>107.25</v>
      </c>
    </row>
    <row r="172" spans="1:2" x14ac:dyDescent="0.2">
      <c r="A172" s="1">
        <v>45047</v>
      </c>
      <c r="B172">
        <v>102.18</v>
      </c>
    </row>
    <row r="173" spans="1:2" x14ac:dyDescent="0.2">
      <c r="A173" s="1">
        <v>45017</v>
      </c>
      <c r="B173">
        <v>118.34</v>
      </c>
    </row>
    <row r="174" spans="1:2" x14ac:dyDescent="0.2">
      <c r="A174" s="1">
        <v>44986</v>
      </c>
      <c r="B174">
        <v>109.66</v>
      </c>
    </row>
    <row r="175" spans="1:2" x14ac:dyDescent="0.2">
      <c r="A175" s="1">
        <v>44958</v>
      </c>
      <c r="B175">
        <v>109.91</v>
      </c>
    </row>
    <row r="176" spans="1:2" x14ac:dyDescent="0.2">
      <c r="A176" s="1">
        <v>44927</v>
      </c>
      <c r="B176">
        <v>116.01</v>
      </c>
    </row>
    <row r="177" spans="1:2" x14ac:dyDescent="0.2">
      <c r="A177" s="1">
        <v>44896</v>
      </c>
      <c r="B177">
        <v>110.3</v>
      </c>
    </row>
    <row r="178" spans="1:2" x14ac:dyDescent="0.2">
      <c r="A178" s="1">
        <v>44866</v>
      </c>
      <c r="B178">
        <v>111.34</v>
      </c>
    </row>
    <row r="179" spans="1:2" x14ac:dyDescent="0.2">
      <c r="A179" s="1">
        <v>44835</v>
      </c>
      <c r="B179">
        <v>110.81</v>
      </c>
    </row>
    <row r="180" spans="1:2" x14ac:dyDescent="0.2">
      <c r="A180" s="1">
        <v>44805</v>
      </c>
      <c r="B180">
        <v>87.31</v>
      </c>
    </row>
    <row r="181" spans="1:2" x14ac:dyDescent="0.2">
      <c r="A181" s="1">
        <v>44774</v>
      </c>
      <c r="B181">
        <v>95.59</v>
      </c>
    </row>
    <row r="182" spans="1:2" x14ac:dyDescent="0.2">
      <c r="A182" s="1">
        <v>44743</v>
      </c>
      <c r="B182">
        <v>96.93</v>
      </c>
    </row>
    <row r="183" spans="1:2" x14ac:dyDescent="0.2">
      <c r="A183" s="1">
        <v>44713</v>
      </c>
      <c r="B183">
        <v>85.64</v>
      </c>
    </row>
    <row r="184" spans="1:2" x14ac:dyDescent="0.2">
      <c r="A184" s="1">
        <v>44682</v>
      </c>
      <c r="B184">
        <v>96</v>
      </c>
    </row>
    <row r="185" spans="1:2" x14ac:dyDescent="0.2">
      <c r="A185" s="1">
        <v>44652</v>
      </c>
      <c r="B185">
        <v>85.25</v>
      </c>
    </row>
    <row r="186" spans="1:2" x14ac:dyDescent="0.2">
      <c r="A186" s="1">
        <v>44621</v>
      </c>
      <c r="B186">
        <v>82.59</v>
      </c>
    </row>
    <row r="187" spans="1:2" x14ac:dyDescent="0.2">
      <c r="A187" s="1">
        <v>44593</v>
      </c>
      <c r="B187">
        <v>78.42</v>
      </c>
    </row>
    <row r="188" spans="1:2" x14ac:dyDescent="0.2">
      <c r="A188" s="1">
        <v>44562</v>
      </c>
      <c r="B188">
        <v>75.959999999999994</v>
      </c>
    </row>
    <row r="189" spans="1:2" x14ac:dyDescent="0.2">
      <c r="A189" s="1">
        <v>44531</v>
      </c>
      <c r="B189">
        <v>61.19</v>
      </c>
    </row>
    <row r="190" spans="1:2" x14ac:dyDescent="0.2">
      <c r="A190" s="1">
        <v>44501</v>
      </c>
      <c r="B190">
        <v>59.84</v>
      </c>
    </row>
    <row r="191" spans="1:2" x14ac:dyDescent="0.2">
      <c r="A191" s="1">
        <v>44470</v>
      </c>
      <c r="B191">
        <v>64.47</v>
      </c>
    </row>
    <row r="192" spans="1:2" x14ac:dyDescent="0.2">
      <c r="A192" s="1">
        <v>44440</v>
      </c>
      <c r="B192">
        <v>58.82</v>
      </c>
    </row>
    <row r="193" spans="1:2" x14ac:dyDescent="0.2">
      <c r="A193" s="1">
        <v>44409</v>
      </c>
      <c r="B193">
        <v>54.52</v>
      </c>
    </row>
    <row r="194" spans="1:2" x14ac:dyDescent="0.2">
      <c r="A194" s="1">
        <v>44378</v>
      </c>
      <c r="B194">
        <v>57.57</v>
      </c>
    </row>
    <row r="195" spans="1:2" x14ac:dyDescent="0.2">
      <c r="A195" s="1">
        <v>44348</v>
      </c>
      <c r="B195">
        <v>63.08</v>
      </c>
    </row>
    <row r="196" spans="1:2" x14ac:dyDescent="0.2">
      <c r="A196" s="1">
        <v>44317</v>
      </c>
      <c r="B196">
        <v>58.37</v>
      </c>
    </row>
    <row r="197" spans="1:2" x14ac:dyDescent="0.2">
      <c r="A197" s="1">
        <v>44287</v>
      </c>
      <c r="B197">
        <v>57.24</v>
      </c>
    </row>
    <row r="198" spans="1:2" x14ac:dyDescent="0.2">
      <c r="A198" s="1">
        <v>44256</v>
      </c>
      <c r="B198">
        <v>55.83</v>
      </c>
    </row>
    <row r="199" spans="1:2" x14ac:dyDescent="0.2">
      <c r="A199" s="1">
        <v>44228</v>
      </c>
      <c r="B199">
        <v>54.37</v>
      </c>
    </row>
    <row r="200" spans="1:2" x14ac:dyDescent="0.2">
      <c r="A200" s="1">
        <v>44197</v>
      </c>
      <c r="B200">
        <v>44.84</v>
      </c>
    </row>
    <row r="201" spans="1:2" x14ac:dyDescent="0.2">
      <c r="A201" s="1">
        <v>44166</v>
      </c>
      <c r="B201">
        <v>41.22</v>
      </c>
    </row>
    <row r="202" spans="1:2" x14ac:dyDescent="0.2">
      <c r="A202" s="1">
        <v>44136</v>
      </c>
      <c r="B202">
        <v>38.130000000000003</v>
      </c>
    </row>
    <row r="203" spans="1:2" x14ac:dyDescent="0.2">
      <c r="A203" s="1">
        <v>44105</v>
      </c>
      <c r="B203">
        <v>32.619999999999997</v>
      </c>
    </row>
    <row r="204" spans="1:2" x14ac:dyDescent="0.2">
      <c r="A204" s="1">
        <v>44075</v>
      </c>
      <c r="B204">
        <v>34.33</v>
      </c>
    </row>
    <row r="205" spans="1:2" x14ac:dyDescent="0.2">
      <c r="A205" s="1">
        <v>44044</v>
      </c>
      <c r="B205">
        <v>39.94</v>
      </c>
    </row>
    <row r="206" spans="1:2" x14ac:dyDescent="0.2">
      <c r="A206" s="1">
        <v>44013</v>
      </c>
      <c r="B206">
        <v>42.08</v>
      </c>
    </row>
    <row r="207" spans="1:2" x14ac:dyDescent="0.2">
      <c r="A207" s="1">
        <v>43983</v>
      </c>
      <c r="B207">
        <v>44.72</v>
      </c>
    </row>
    <row r="208" spans="1:2" x14ac:dyDescent="0.2">
      <c r="A208" s="1">
        <v>43952</v>
      </c>
      <c r="B208">
        <v>45.47</v>
      </c>
    </row>
    <row r="209" spans="1:2" x14ac:dyDescent="0.2">
      <c r="A209" s="1">
        <v>43922</v>
      </c>
      <c r="B209">
        <v>46.47</v>
      </c>
    </row>
    <row r="210" spans="1:2" x14ac:dyDescent="0.2">
      <c r="A210" s="1">
        <v>43891</v>
      </c>
      <c r="B210">
        <v>37.97</v>
      </c>
    </row>
    <row r="211" spans="1:2" x14ac:dyDescent="0.2">
      <c r="A211" s="1">
        <v>43862</v>
      </c>
      <c r="B211">
        <v>51.44</v>
      </c>
    </row>
    <row r="212" spans="1:2" x14ac:dyDescent="0.2">
      <c r="A212" s="1">
        <v>43831</v>
      </c>
      <c r="B212">
        <v>62.12</v>
      </c>
    </row>
    <row r="213" spans="1:2" x14ac:dyDescent="0.2">
      <c r="A213" s="1">
        <v>43800</v>
      </c>
      <c r="B213">
        <v>69.78</v>
      </c>
    </row>
    <row r="214" spans="1:2" x14ac:dyDescent="0.2">
      <c r="A214" s="1">
        <v>43770</v>
      </c>
      <c r="B214">
        <v>68.13</v>
      </c>
    </row>
    <row r="215" spans="1:2" x14ac:dyDescent="0.2">
      <c r="A215" s="1">
        <v>43739</v>
      </c>
      <c r="B215">
        <v>67.569999999999993</v>
      </c>
    </row>
    <row r="216" spans="1:2" x14ac:dyDescent="0.2">
      <c r="A216" s="1">
        <v>43709</v>
      </c>
      <c r="B216">
        <v>70.61</v>
      </c>
    </row>
    <row r="217" spans="1:2" x14ac:dyDescent="0.2">
      <c r="A217" s="1">
        <v>43678</v>
      </c>
      <c r="B217">
        <v>68.48</v>
      </c>
    </row>
    <row r="218" spans="1:2" x14ac:dyDescent="0.2">
      <c r="A218" s="1">
        <v>43647</v>
      </c>
      <c r="B218">
        <v>74.36</v>
      </c>
    </row>
    <row r="219" spans="1:2" x14ac:dyDescent="0.2">
      <c r="A219" s="1">
        <v>43617</v>
      </c>
      <c r="B219">
        <v>76.63</v>
      </c>
    </row>
    <row r="220" spans="1:2" x14ac:dyDescent="0.2">
      <c r="A220" s="1">
        <v>43586</v>
      </c>
      <c r="B220">
        <v>70.77</v>
      </c>
    </row>
    <row r="221" spans="1:2" x14ac:dyDescent="0.2">
      <c r="A221" s="1">
        <v>43556</v>
      </c>
      <c r="B221">
        <v>80.28</v>
      </c>
    </row>
    <row r="222" spans="1:2" x14ac:dyDescent="0.2">
      <c r="A222" s="1">
        <v>43525</v>
      </c>
      <c r="B222">
        <v>80.8</v>
      </c>
    </row>
    <row r="223" spans="1:2" x14ac:dyDescent="0.2">
      <c r="A223" s="1">
        <v>43497</v>
      </c>
      <c r="B223">
        <v>79.03</v>
      </c>
    </row>
    <row r="224" spans="1:2" x14ac:dyDescent="0.2">
      <c r="A224" s="1">
        <v>43466</v>
      </c>
      <c r="B224">
        <v>73.28</v>
      </c>
    </row>
    <row r="225" spans="1:2" x14ac:dyDescent="0.2">
      <c r="A225" s="1">
        <v>43435</v>
      </c>
      <c r="B225">
        <v>68.19</v>
      </c>
    </row>
    <row r="226" spans="1:2" x14ac:dyDescent="0.2">
      <c r="A226" s="1">
        <v>43405</v>
      </c>
      <c r="B226">
        <v>79.5</v>
      </c>
    </row>
    <row r="227" spans="1:2" x14ac:dyDescent="0.2">
      <c r="A227" s="1">
        <v>43374</v>
      </c>
      <c r="B227">
        <v>79.680000000000007</v>
      </c>
    </row>
    <row r="228" spans="1:2" x14ac:dyDescent="0.2">
      <c r="A228" s="1">
        <v>43344</v>
      </c>
      <c r="B228">
        <v>85.02</v>
      </c>
    </row>
    <row r="229" spans="1:2" x14ac:dyDescent="0.2">
      <c r="A229" s="1">
        <v>43313</v>
      </c>
      <c r="B229">
        <v>80.17</v>
      </c>
    </row>
    <row r="230" spans="1:2" x14ac:dyDescent="0.2">
      <c r="A230" s="1">
        <v>43282</v>
      </c>
      <c r="B230">
        <v>81.510000000000005</v>
      </c>
    </row>
    <row r="231" spans="1:2" x14ac:dyDescent="0.2">
      <c r="A231" s="1">
        <v>43252</v>
      </c>
      <c r="B231">
        <v>82.73</v>
      </c>
    </row>
    <row r="232" spans="1:2" x14ac:dyDescent="0.2">
      <c r="A232" s="1">
        <v>43221</v>
      </c>
      <c r="B232">
        <v>81.239999999999995</v>
      </c>
    </row>
    <row r="233" spans="1:2" x14ac:dyDescent="0.2">
      <c r="A233" s="1">
        <v>43191</v>
      </c>
      <c r="B233">
        <v>77.75</v>
      </c>
    </row>
    <row r="234" spans="1:2" x14ac:dyDescent="0.2">
      <c r="A234" s="1">
        <v>43160</v>
      </c>
      <c r="B234">
        <v>74.61</v>
      </c>
    </row>
    <row r="235" spans="1:2" x14ac:dyDescent="0.2">
      <c r="A235" s="1">
        <v>43132</v>
      </c>
      <c r="B235">
        <v>75.739999999999995</v>
      </c>
    </row>
    <row r="236" spans="1:2" x14ac:dyDescent="0.2">
      <c r="A236" s="1">
        <v>43101</v>
      </c>
      <c r="B236">
        <v>87.3</v>
      </c>
    </row>
    <row r="237" spans="1:2" x14ac:dyDescent="0.2">
      <c r="A237" s="1">
        <v>43070</v>
      </c>
      <c r="B237">
        <v>83.64</v>
      </c>
    </row>
    <row r="238" spans="1:2" x14ac:dyDescent="0.2">
      <c r="A238" s="1">
        <v>43040</v>
      </c>
      <c r="B238">
        <v>83.29</v>
      </c>
    </row>
    <row r="239" spans="1:2" x14ac:dyDescent="0.2">
      <c r="A239" s="1">
        <v>43009</v>
      </c>
      <c r="B239">
        <v>83.35</v>
      </c>
    </row>
    <row r="240" spans="1:2" x14ac:dyDescent="0.2">
      <c r="A240" s="1">
        <v>42979</v>
      </c>
      <c r="B240">
        <v>81.98</v>
      </c>
    </row>
    <row r="241" spans="1:2" x14ac:dyDescent="0.2">
      <c r="A241" s="1">
        <v>42948</v>
      </c>
      <c r="B241">
        <v>76.33</v>
      </c>
    </row>
    <row r="242" spans="1:2" x14ac:dyDescent="0.2">
      <c r="A242" s="1">
        <v>42917</v>
      </c>
      <c r="B242">
        <v>80.040000000000006</v>
      </c>
    </row>
    <row r="243" spans="1:2" x14ac:dyDescent="0.2">
      <c r="A243" s="1">
        <v>42887</v>
      </c>
      <c r="B243">
        <v>80.73</v>
      </c>
    </row>
    <row r="244" spans="1:2" x14ac:dyDescent="0.2">
      <c r="A244" s="1">
        <v>42856</v>
      </c>
      <c r="B244">
        <v>80.5</v>
      </c>
    </row>
    <row r="245" spans="1:2" x14ac:dyDescent="0.2">
      <c r="A245" s="1">
        <v>42826</v>
      </c>
      <c r="B245">
        <v>81.650000000000006</v>
      </c>
    </row>
    <row r="246" spans="1:2" x14ac:dyDescent="0.2">
      <c r="A246" s="1">
        <v>42795</v>
      </c>
      <c r="B246">
        <v>82.01</v>
      </c>
    </row>
    <row r="247" spans="1:2" x14ac:dyDescent="0.2">
      <c r="A247" s="1">
        <v>42767</v>
      </c>
      <c r="B247">
        <v>81.319999999999993</v>
      </c>
    </row>
    <row r="248" spans="1:2" x14ac:dyDescent="0.2">
      <c r="A248" s="1">
        <v>42736</v>
      </c>
      <c r="B248">
        <v>83.89</v>
      </c>
    </row>
    <row r="249" spans="1:2" x14ac:dyDescent="0.2">
      <c r="A249" s="1">
        <v>42705</v>
      </c>
      <c r="B249">
        <v>90.26</v>
      </c>
    </row>
    <row r="250" spans="1:2" x14ac:dyDescent="0.2">
      <c r="A250" s="1">
        <v>42675</v>
      </c>
      <c r="B250">
        <v>87.3</v>
      </c>
    </row>
    <row r="251" spans="1:2" x14ac:dyDescent="0.2">
      <c r="A251" s="1">
        <v>42644</v>
      </c>
      <c r="B251">
        <v>83.32</v>
      </c>
    </row>
    <row r="252" spans="1:2" x14ac:dyDescent="0.2">
      <c r="A252" s="1">
        <v>42614</v>
      </c>
      <c r="B252">
        <v>87.28</v>
      </c>
    </row>
    <row r="253" spans="1:2" x14ac:dyDescent="0.2">
      <c r="A253" s="1">
        <v>42583</v>
      </c>
      <c r="B253">
        <v>87.14</v>
      </c>
    </row>
    <row r="254" spans="1:2" x14ac:dyDescent="0.2">
      <c r="A254" s="1">
        <v>42552</v>
      </c>
      <c r="B254">
        <v>88.95</v>
      </c>
    </row>
    <row r="255" spans="1:2" x14ac:dyDescent="0.2">
      <c r="A255" s="1">
        <v>42522</v>
      </c>
      <c r="B255">
        <v>93.74</v>
      </c>
    </row>
    <row r="256" spans="1:2" x14ac:dyDescent="0.2">
      <c r="A256" s="1">
        <v>42491</v>
      </c>
      <c r="B256">
        <v>89.02</v>
      </c>
    </row>
    <row r="257" spans="1:2" x14ac:dyDescent="0.2">
      <c r="A257" s="1">
        <v>42461</v>
      </c>
      <c r="B257">
        <v>88.4</v>
      </c>
    </row>
    <row r="258" spans="1:2" x14ac:dyDescent="0.2">
      <c r="A258" s="1">
        <v>42430</v>
      </c>
      <c r="B258">
        <v>83.59</v>
      </c>
    </row>
    <row r="259" spans="1:2" x14ac:dyDescent="0.2">
      <c r="A259" s="1">
        <v>42401</v>
      </c>
      <c r="B259">
        <v>80.150000000000006</v>
      </c>
    </row>
    <row r="260" spans="1:2" x14ac:dyDescent="0.2">
      <c r="A260" s="1">
        <v>42370</v>
      </c>
      <c r="B260">
        <v>77.849999999999994</v>
      </c>
    </row>
    <row r="261" spans="1:2" x14ac:dyDescent="0.2">
      <c r="A261" s="1">
        <v>42339</v>
      </c>
      <c r="B261">
        <v>77.95</v>
      </c>
    </row>
    <row r="262" spans="1:2" x14ac:dyDescent="0.2">
      <c r="A262" s="1">
        <v>42309</v>
      </c>
      <c r="B262">
        <v>81.66</v>
      </c>
    </row>
    <row r="263" spans="1:2" x14ac:dyDescent="0.2">
      <c r="A263" s="1">
        <v>42278</v>
      </c>
      <c r="B263">
        <v>82.74</v>
      </c>
    </row>
    <row r="264" spans="1:2" x14ac:dyDescent="0.2">
      <c r="A264" s="1">
        <v>42248</v>
      </c>
      <c r="B264">
        <v>74.349999999999994</v>
      </c>
    </row>
    <row r="265" spans="1:2" x14ac:dyDescent="0.2">
      <c r="A265" s="1">
        <v>42217</v>
      </c>
      <c r="B265">
        <v>75.239999999999995</v>
      </c>
    </row>
    <row r="266" spans="1:2" x14ac:dyDescent="0.2">
      <c r="A266" s="1">
        <v>42186</v>
      </c>
      <c r="B266">
        <v>79.209999999999994</v>
      </c>
    </row>
    <row r="267" spans="1:2" x14ac:dyDescent="0.2">
      <c r="A267" s="1">
        <v>42156</v>
      </c>
      <c r="B267">
        <v>83.2</v>
      </c>
    </row>
    <row r="268" spans="1:2" x14ac:dyDescent="0.2">
      <c r="A268" s="1">
        <v>42125</v>
      </c>
      <c r="B268">
        <v>85.2</v>
      </c>
    </row>
    <row r="269" spans="1:2" x14ac:dyDescent="0.2">
      <c r="A269" s="1">
        <v>42095</v>
      </c>
      <c r="B269">
        <v>87.37</v>
      </c>
    </row>
    <row r="270" spans="1:2" x14ac:dyDescent="0.2">
      <c r="A270" s="1">
        <v>42064</v>
      </c>
      <c r="B270">
        <v>85</v>
      </c>
    </row>
    <row r="271" spans="1:2" x14ac:dyDescent="0.2">
      <c r="A271" s="1">
        <v>42036</v>
      </c>
      <c r="B271">
        <v>88.54</v>
      </c>
    </row>
    <row r="272" spans="1:2" x14ac:dyDescent="0.2">
      <c r="A272" s="1">
        <v>42005</v>
      </c>
      <c r="B272">
        <v>87.42</v>
      </c>
    </row>
    <row r="275" spans="1:4" x14ac:dyDescent="0.2">
      <c r="A275" s="104" t="s">
        <v>273</v>
      </c>
      <c r="B275" s="104"/>
    </row>
    <row r="276" spans="1:4" x14ac:dyDescent="0.2">
      <c r="A276" t="s">
        <v>0</v>
      </c>
      <c r="B276" t="s">
        <v>1</v>
      </c>
    </row>
    <row r="277" spans="1:4" x14ac:dyDescent="0.2">
      <c r="A277" s="1">
        <v>46023</v>
      </c>
      <c r="B277">
        <v>691.66</v>
      </c>
    </row>
    <row r="278" spans="1:4" x14ac:dyDescent="0.2">
      <c r="A278" s="1">
        <v>45992</v>
      </c>
      <c r="B278">
        <v>681.92</v>
      </c>
      <c r="D278">
        <f>MONTH(Table4[[#This Row],[Date]])</f>
        <v>12</v>
      </c>
    </row>
    <row r="279" spans="1:4" x14ac:dyDescent="0.2">
      <c r="A279" s="1">
        <v>45962</v>
      </c>
      <c r="B279">
        <v>683.39</v>
      </c>
    </row>
    <row r="280" spans="1:4" x14ac:dyDescent="0.2">
      <c r="A280" s="1">
        <v>45931</v>
      </c>
      <c r="B280">
        <v>682.06</v>
      </c>
    </row>
    <row r="281" spans="1:4" x14ac:dyDescent="0.2">
      <c r="A281" s="1">
        <v>45901</v>
      </c>
      <c r="B281">
        <v>666.18</v>
      </c>
    </row>
    <row r="282" spans="1:4" x14ac:dyDescent="0.2">
      <c r="A282" s="1">
        <v>45870</v>
      </c>
      <c r="B282">
        <v>645.04999999999995</v>
      </c>
    </row>
    <row r="283" spans="1:4" x14ac:dyDescent="0.2">
      <c r="A283" s="1">
        <v>45839</v>
      </c>
      <c r="B283">
        <v>632.08000000000004</v>
      </c>
    </row>
    <row r="284" spans="1:4" x14ac:dyDescent="0.2">
      <c r="A284" s="1">
        <v>45809</v>
      </c>
      <c r="B284">
        <v>617.85</v>
      </c>
    </row>
    <row r="285" spans="1:4" x14ac:dyDescent="0.2">
      <c r="A285" s="1">
        <v>45778</v>
      </c>
      <c r="B285">
        <v>589.39</v>
      </c>
    </row>
    <row r="286" spans="1:4" x14ac:dyDescent="0.2">
      <c r="A286" s="1">
        <v>45748</v>
      </c>
      <c r="B286">
        <v>554.54</v>
      </c>
    </row>
    <row r="287" spans="1:4" x14ac:dyDescent="0.2">
      <c r="A287" s="1">
        <v>45717</v>
      </c>
      <c r="B287">
        <v>559.39</v>
      </c>
    </row>
    <row r="288" spans="1:4" x14ac:dyDescent="0.2">
      <c r="A288" s="1">
        <v>45689</v>
      </c>
      <c r="B288">
        <v>594.17999999999995</v>
      </c>
    </row>
    <row r="289" spans="1:2" x14ac:dyDescent="0.2">
      <c r="A289" s="1">
        <v>45658</v>
      </c>
      <c r="B289">
        <v>601.82000000000005</v>
      </c>
    </row>
    <row r="290" spans="1:2" x14ac:dyDescent="0.2">
      <c r="A290" s="1">
        <v>45627</v>
      </c>
      <c r="B290">
        <v>586.08000000000004</v>
      </c>
    </row>
    <row r="291" spans="1:2" x14ac:dyDescent="0.2">
      <c r="A291" s="1">
        <v>45597</v>
      </c>
      <c r="B291">
        <v>602.54999999999995</v>
      </c>
    </row>
    <row r="292" spans="1:2" x14ac:dyDescent="0.2">
      <c r="A292" s="1">
        <v>45566</v>
      </c>
      <c r="B292">
        <v>568.64</v>
      </c>
    </row>
    <row r="293" spans="1:2" x14ac:dyDescent="0.2">
      <c r="A293" s="1">
        <v>45536</v>
      </c>
      <c r="B293">
        <v>573.76</v>
      </c>
    </row>
    <row r="294" spans="1:2" x14ac:dyDescent="0.2">
      <c r="A294" s="1">
        <v>45505</v>
      </c>
      <c r="B294">
        <v>563.67999999999995</v>
      </c>
    </row>
    <row r="295" spans="1:2" x14ac:dyDescent="0.2">
      <c r="A295" s="1">
        <v>45474</v>
      </c>
      <c r="B295">
        <v>550.80999999999995</v>
      </c>
    </row>
    <row r="296" spans="1:2" x14ac:dyDescent="0.2">
      <c r="A296" s="1">
        <v>45444</v>
      </c>
      <c r="B296">
        <v>544.22</v>
      </c>
    </row>
    <row r="297" spans="1:2" x14ac:dyDescent="0.2">
      <c r="A297" s="1">
        <v>45413</v>
      </c>
      <c r="B297">
        <v>527.37</v>
      </c>
    </row>
    <row r="298" spans="1:2" x14ac:dyDescent="0.2">
      <c r="A298" s="1">
        <v>45383</v>
      </c>
      <c r="B298">
        <v>501.98</v>
      </c>
    </row>
    <row r="299" spans="1:2" x14ac:dyDescent="0.2">
      <c r="A299" s="1">
        <v>45352</v>
      </c>
      <c r="B299">
        <v>523.07000000000005</v>
      </c>
    </row>
    <row r="300" spans="1:2" x14ac:dyDescent="0.2">
      <c r="A300" s="1">
        <v>45323</v>
      </c>
      <c r="B300">
        <v>508.08</v>
      </c>
    </row>
    <row r="301" spans="1:2" x14ac:dyDescent="0.2">
      <c r="A301" s="1">
        <v>45292</v>
      </c>
      <c r="B301">
        <v>482.88</v>
      </c>
    </row>
    <row r="302" spans="1:2" x14ac:dyDescent="0.2">
      <c r="A302" s="1">
        <v>45261</v>
      </c>
      <c r="B302">
        <v>475.31</v>
      </c>
    </row>
    <row r="303" spans="1:2" x14ac:dyDescent="0.2">
      <c r="A303" s="1">
        <v>45231</v>
      </c>
      <c r="B303">
        <v>456.4</v>
      </c>
    </row>
    <row r="304" spans="1:2" x14ac:dyDescent="0.2">
      <c r="A304" s="1">
        <v>45200</v>
      </c>
      <c r="B304">
        <v>418.2</v>
      </c>
    </row>
    <row r="305" spans="1:2" x14ac:dyDescent="0.2">
      <c r="A305" s="1">
        <v>45170</v>
      </c>
      <c r="B305">
        <v>427.48</v>
      </c>
    </row>
    <row r="306" spans="1:2" x14ac:dyDescent="0.2">
      <c r="A306" s="1">
        <v>45139</v>
      </c>
      <c r="B306">
        <v>450.35</v>
      </c>
    </row>
    <row r="307" spans="1:2" x14ac:dyDescent="0.2">
      <c r="A307" s="1">
        <v>45108</v>
      </c>
      <c r="B307">
        <v>457.79</v>
      </c>
    </row>
    <row r="308" spans="1:2" x14ac:dyDescent="0.2">
      <c r="A308" s="1">
        <v>45078</v>
      </c>
      <c r="B308">
        <v>443.28</v>
      </c>
    </row>
    <row r="309" spans="1:2" x14ac:dyDescent="0.2">
      <c r="A309" s="1">
        <v>45047</v>
      </c>
      <c r="B309">
        <v>417.85</v>
      </c>
    </row>
    <row r="310" spans="1:2" x14ac:dyDescent="0.2">
      <c r="A310" s="1">
        <v>45017</v>
      </c>
      <c r="B310">
        <v>415.93</v>
      </c>
    </row>
    <row r="311" spans="1:2" x14ac:dyDescent="0.2">
      <c r="A311" s="1">
        <v>44986</v>
      </c>
      <c r="B311">
        <v>409.39</v>
      </c>
    </row>
    <row r="312" spans="1:2" x14ac:dyDescent="0.2">
      <c r="A312" s="1">
        <v>44958</v>
      </c>
      <c r="B312">
        <v>396.26</v>
      </c>
    </row>
    <row r="313" spans="1:2" x14ac:dyDescent="0.2">
      <c r="A313" s="1">
        <v>44927</v>
      </c>
      <c r="B313">
        <v>406.48</v>
      </c>
    </row>
    <row r="314" spans="1:2" x14ac:dyDescent="0.2">
      <c r="A314" s="1">
        <v>44896</v>
      </c>
      <c r="B314">
        <v>382.43</v>
      </c>
    </row>
    <row r="315" spans="1:2" x14ac:dyDescent="0.2">
      <c r="A315" s="1">
        <v>44866</v>
      </c>
      <c r="B315">
        <v>407.68</v>
      </c>
    </row>
    <row r="316" spans="1:2" x14ac:dyDescent="0.2">
      <c r="A316" s="1">
        <v>44835</v>
      </c>
      <c r="B316">
        <v>386.21</v>
      </c>
    </row>
    <row r="317" spans="1:2" x14ac:dyDescent="0.2">
      <c r="A317" s="1">
        <v>44805</v>
      </c>
      <c r="B317">
        <v>357.18</v>
      </c>
    </row>
    <row r="318" spans="1:2" x14ac:dyDescent="0.2">
      <c r="A318" s="1">
        <v>44774</v>
      </c>
      <c r="B318">
        <v>395.18</v>
      </c>
    </row>
    <row r="319" spans="1:2" x14ac:dyDescent="0.2">
      <c r="A319" s="1">
        <v>44743</v>
      </c>
      <c r="B319">
        <v>411.99</v>
      </c>
    </row>
    <row r="320" spans="1:2" x14ac:dyDescent="0.2">
      <c r="A320" s="1">
        <v>44713</v>
      </c>
      <c r="B320">
        <v>377.25</v>
      </c>
    </row>
    <row r="321" spans="1:2" x14ac:dyDescent="0.2">
      <c r="A321" s="1">
        <v>44682</v>
      </c>
      <c r="B321">
        <v>412.93</v>
      </c>
    </row>
    <row r="322" spans="1:2" x14ac:dyDescent="0.2">
      <c r="A322" s="1">
        <v>44652</v>
      </c>
      <c r="B322">
        <v>412</v>
      </c>
    </row>
    <row r="323" spans="1:2" x14ac:dyDescent="0.2">
      <c r="A323" s="1">
        <v>44621</v>
      </c>
      <c r="B323">
        <v>451.64</v>
      </c>
    </row>
    <row r="324" spans="1:2" x14ac:dyDescent="0.2">
      <c r="A324" s="1">
        <v>44593</v>
      </c>
      <c r="B324">
        <v>436.63</v>
      </c>
    </row>
    <row r="325" spans="1:2" x14ac:dyDescent="0.2">
      <c r="A325" s="1">
        <v>44562</v>
      </c>
      <c r="B325">
        <v>449.91</v>
      </c>
    </row>
    <row r="326" spans="1:2" x14ac:dyDescent="0.2">
      <c r="A326" s="1">
        <v>44531</v>
      </c>
      <c r="B326">
        <v>474.96</v>
      </c>
    </row>
    <row r="327" spans="1:2" x14ac:dyDescent="0.2">
      <c r="A327" s="1">
        <v>44501</v>
      </c>
      <c r="B327">
        <v>455.56</v>
      </c>
    </row>
    <row r="328" spans="1:2" x14ac:dyDescent="0.2">
      <c r="A328" s="1">
        <v>44470</v>
      </c>
      <c r="B328">
        <v>459.25</v>
      </c>
    </row>
    <row r="329" spans="1:2" x14ac:dyDescent="0.2">
      <c r="A329" s="1">
        <v>44440</v>
      </c>
      <c r="B329">
        <v>429.14</v>
      </c>
    </row>
    <row r="330" spans="1:2" x14ac:dyDescent="0.2">
      <c r="A330" s="1">
        <v>44409</v>
      </c>
      <c r="B330">
        <v>451.56</v>
      </c>
    </row>
    <row r="331" spans="1:2" x14ac:dyDescent="0.2">
      <c r="A331" s="1">
        <v>44378</v>
      </c>
      <c r="B331">
        <v>438.51</v>
      </c>
    </row>
    <row r="332" spans="1:2" x14ac:dyDescent="0.2">
      <c r="A332" s="1">
        <v>44348</v>
      </c>
      <c r="B332">
        <v>428.06</v>
      </c>
    </row>
    <row r="333" spans="1:2" x14ac:dyDescent="0.2">
      <c r="A333" s="1">
        <v>44317</v>
      </c>
      <c r="B333">
        <v>420.04</v>
      </c>
    </row>
    <row r="334" spans="1:2" x14ac:dyDescent="0.2">
      <c r="A334" s="1">
        <v>44287</v>
      </c>
      <c r="B334">
        <v>417.3</v>
      </c>
    </row>
    <row r="335" spans="1:2" x14ac:dyDescent="0.2">
      <c r="A335" s="1">
        <v>44256</v>
      </c>
      <c r="B335">
        <v>396.33</v>
      </c>
    </row>
    <row r="336" spans="1:2" x14ac:dyDescent="0.2">
      <c r="A336" s="1">
        <v>44228</v>
      </c>
      <c r="B336">
        <v>380.36</v>
      </c>
    </row>
    <row r="337" spans="1:2" x14ac:dyDescent="0.2">
      <c r="A337" s="1">
        <v>44197</v>
      </c>
      <c r="B337">
        <v>370.07</v>
      </c>
    </row>
    <row r="338" spans="1:2" x14ac:dyDescent="0.2">
      <c r="A338" s="1">
        <v>44166</v>
      </c>
      <c r="B338">
        <v>373.88</v>
      </c>
    </row>
    <row r="339" spans="1:2" x14ac:dyDescent="0.2">
      <c r="A339" s="1">
        <v>44136</v>
      </c>
      <c r="B339">
        <v>362.06</v>
      </c>
    </row>
    <row r="340" spans="1:2" x14ac:dyDescent="0.2">
      <c r="A340" s="1">
        <v>44105</v>
      </c>
      <c r="B340">
        <v>326.54000000000002</v>
      </c>
    </row>
    <row r="341" spans="1:2" x14ac:dyDescent="0.2">
      <c r="A341" s="1">
        <v>44075</v>
      </c>
      <c r="B341">
        <v>334.89</v>
      </c>
    </row>
    <row r="342" spans="1:2" x14ac:dyDescent="0.2">
      <c r="A342" s="1">
        <v>44044</v>
      </c>
      <c r="B342">
        <v>349.31</v>
      </c>
    </row>
    <row r="343" spans="1:2" x14ac:dyDescent="0.2">
      <c r="A343" s="1">
        <v>44013</v>
      </c>
      <c r="B343">
        <v>326.52</v>
      </c>
    </row>
    <row r="344" spans="1:2" x14ac:dyDescent="0.2">
      <c r="A344" s="1">
        <v>43983</v>
      </c>
      <c r="B344">
        <v>308.36</v>
      </c>
    </row>
    <row r="345" spans="1:2" x14ac:dyDescent="0.2">
      <c r="A345" s="1">
        <v>43952</v>
      </c>
      <c r="B345">
        <v>304.32</v>
      </c>
    </row>
    <row r="346" spans="1:2" x14ac:dyDescent="0.2">
      <c r="A346" s="1">
        <v>43922</v>
      </c>
      <c r="B346">
        <v>290.48</v>
      </c>
    </row>
    <row r="347" spans="1:2" x14ac:dyDescent="0.2">
      <c r="A347" s="1">
        <v>43891</v>
      </c>
      <c r="B347">
        <v>257.75</v>
      </c>
    </row>
    <row r="348" spans="1:2" x14ac:dyDescent="0.2">
      <c r="A348" s="1">
        <v>43862</v>
      </c>
      <c r="B348">
        <v>296.26</v>
      </c>
    </row>
    <row r="349" spans="1:2" x14ac:dyDescent="0.2">
      <c r="A349" s="1">
        <v>43831</v>
      </c>
      <c r="B349">
        <v>321.73</v>
      </c>
    </row>
    <row r="350" spans="1:2" x14ac:dyDescent="0.2">
      <c r="A350" s="1">
        <v>43800</v>
      </c>
      <c r="B350">
        <v>321.86</v>
      </c>
    </row>
    <row r="351" spans="1:2" x14ac:dyDescent="0.2">
      <c r="A351" s="1">
        <v>43770</v>
      </c>
      <c r="B351">
        <v>314.31</v>
      </c>
    </row>
    <row r="352" spans="1:2" x14ac:dyDescent="0.2">
      <c r="A352" s="1">
        <v>43739</v>
      </c>
      <c r="B352">
        <v>303.33</v>
      </c>
    </row>
    <row r="353" spans="1:2" x14ac:dyDescent="0.2">
      <c r="A353" s="1">
        <v>43709</v>
      </c>
      <c r="B353">
        <v>296.77</v>
      </c>
    </row>
    <row r="354" spans="1:2" x14ac:dyDescent="0.2">
      <c r="A354" s="1">
        <v>43678</v>
      </c>
      <c r="B354">
        <v>292.45</v>
      </c>
    </row>
    <row r="355" spans="1:2" x14ac:dyDescent="0.2">
      <c r="A355" s="1">
        <v>43647</v>
      </c>
      <c r="B355">
        <v>297.43</v>
      </c>
    </row>
    <row r="356" spans="1:2" x14ac:dyDescent="0.2">
      <c r="A356" s="1">
        <v>43617</v>
      </c>
      <c r="B356">
        <v>293</v>
      </c>
    </row>
    <row r="357" spans="1:2" x14ac:dyDescent="0.2">
      <c r="A357" s="1">
        <v>43586</v>
      </c>
      <c r="B357">
        <v>275.27</v>
      </c>
    </row>
    <row r="358" spans="1:2" x14ac:dyDescent="0.2">
      <c r="A358" s="1">
        <v>43556</v>
      </c>
      <c r="B358">
        <v>294.02</v>
      </c>
    </row>
    <row r="359" spans="1:2" x14ac:dyDescent="0.2">
      <c r="A359" s="1">
        <v>43525</v>
      </c>
      <c r="B359">
        <v>282.48</v>
      </c>
    </row>
    <row r="360" spans="1:2" x14ac:dyDescent="0.2">
      <c r="A360" s="1">
        <v>43497</v>
      </c>
      <c r="B360">
        <v>278.68</v>
      </c>
    </row>
    <row r="361" spans="1:2" x14ac:dyDescent="0.2">
      <c r="A361" s="1">
        <v>43466</v>
      </c>
      <c r="B361">
        <v>269.93</v>
      </c>
    </row>
    <row r="362" spans="1:2" x14ac:dyDescent="0.2">
      <c r="A362" s="1">
        <v>43435</v>
      </c>
      <c r="B362">
        <v>249.92</v>
      </c>
    </row>
    <row r="363" spans="1:2" x14ac:dyDescent="0.2">
      <c r="A363" s="1">
        <v>43405</v>
      </c>
      <c r="B363">
        <v>275.64999999999998</v>
      </c>
    </row>
    <row r="364" spans="1:2" x14ac:dyDescent="0.2">
      <c r="A364" s="1">
        <v>43374</v>
      </c>
      <c r="B364">
        <v>270.63</v>
      </c>
    </row>
    <row r="365" spans="1:2" x14ac:dyDescent="0.2">
      <c r="A365" s="1">
        <v>43344</v>
      </c>
      <c r="B365">
        <v>290.72000000000003</v>
      </c>
    </row>
    <row r="366" spans="1:2" x14ac:dyDescent="0.2">
      <c r="A366" s="1">
        <v>43313</v>
      </c>
      <c r="B366">
        <v>290.31</v>
      </c>
    </row>
    <row r="367" spans="1:2" x14ac:dyDescent="0.2">
      <c r="A367" s="1">
        <v>43282</v>
      </c>
      <c r="B367">
        <v>281.33</v>
      </c>
    </row>
    <row r="368" spans="1:2" x14ac:dyDescent="0.2">
      <c r="A368" s="1">
        <v>43252</v>
      </c>
      <c r="B368">
        <v>271.27999999999997</v>
      </c>
    </row>
    <row r="369" spans="1:2" x14ac:dyDescent="0.2">
      <c r="A369" s="1">
        <v>43221</v>
      </c>
      <c r="B369">
        <v>270.94</v>
      </c>
    </row>
    <row r="370" spans="1:2" x14ac:dyDescent="0.2">
      <c r="A370" s="1">
        <v>43191</v>
      </c>
      <c r="B370">
        <v>264.51</v>
      </c>
    </row>
    <row r="371" spans="1:2" x14ac:dyDescent="0.2">
      <c r="A371" s="1">
        <v>43160</v>
      </c>
      <c r="B371">
        <v>263.14999999999998</v>
      </c>
    </row>
    <row r="372" spans="1:2" x14ac:dyDescent="0.2">
      <c r="A372" s="1">
        <v>43132</v>
      </c>
      <c r="B372">
        <v>271.64999999999998</v>
      </c>
    </row>
    <row r="373" spans="1:2" x14ac:dyDescent="0.2">
      <c r="A373" s="1">
        <v>43101</v>
      </c>
      <c r="B373">
        <v>281.89999999999998</v>
      </c>
    </row>
    <row r="374" spans="1:2" x14ac:dyDescent="0.2">
      <c r="A374" s="1">
        <v>43070</v>
      </c>
      <c r="B374">
        <v>266.86</v>
      </c>
    </row>
    <row r="375" spans="1:2" x14ac:dyDescent="0.2">
      <c r="A375" s="1">
        <v>43040</v>
      </c>
      <c r="B375">
        <v>265.01</v>
      </c>
    </row>
    <row r="376" spans="1:2" x14ac:dyDescent="0.2">
      <c r="A376" s="1">
        <v>43009</v>
      </c>
      <c r="B376">
        <v>257.14999999999998</v>
      </c>
    </row>
    <row r="377" spans="1:2" x14ac:dyDescent="0.2">
      <c r="A377" s="1">
        <v>42979</v>
      </c>
      <c r="B377">
        <v>251.23</v>
      </c>
    </row>
    <row r="378" spans="1:2" x14ac:dyDescent="0.2">
      <c r="A378" s="1">
        <v>42948</v>
      </c>
      <c r="B378">
        <v>247.49</v>
      </c>
    </row>
    <row r="379" spans="1:2" x14ac:dyDescent="0.2">
      <c r="A379" s="1">
        <v>42917</v>
      </c>
      <c r="B379">
        <v>246.77</v>
      </c>
    </row>
    <row r="380" spans="1:2" x14ac:dyDescent="0.2">
      <c r="A380" s="1">
        <v>42887</v>
      </c>
      <c r="B380">
        <v>241.8</v>
      </c>
    </row>
    <row r="381" spans="1:2" x14ac:dyDescent="0.2">
      <c r="A381" s="1">
        <v>42856</v>
      </c>
      <c r="B381">
        <v>241.44</v>
      </c>
    </row>
    <row r="382" spans="1:2" x14ac:dyDescent="0.2">
      <c r="A382" s="1">
        <v>42826</v>
      </c>
      <c r="B382">
        <v>238.08</v>
      </c>
    </row>
    <row r="383" spans="1:2" x14ac:dyDescent="0.2">
      <c r="A383" s="1">
        <v>42795</v>
      </c>
      <c r="B383">
        <v>235.74</v>
      </c>
    </row>
    <row r="384" spans="1:2" x14ac:dyDescent="0.2">
      <c r="A384" s="1">
        <v>42767</v>
      </c>
      <c r="B384">
        <v>236.47</v>
      </c>
    </row>
    <row r="385" spans="1:2" x14ac:dyDescent="0.2">
      <c r="A385" s="1">
        <v>42736</v>
      </c>
      <c r="B385">
        <v>227.53</v>
      </c>
    </row>
    <row r="386" spans="1:2" x14ac:dyDescent="0.2">
      <c r="A386" s="1">
        <v>42705</v>
      </c>
      <c r="B386">
        <v>223.53</v>
      </c>
    </row>
    <row r="387" spans="1:2" x14ac:dyDescent="0.2">
      <c r="A387" s="1">
        <v>42675</v>
      </c>
      <c r="B387">
        <v>220.38</v>
      </c>
    </row>
    <row r="388" spans="1:2" x14ac:dyDescent="0.2">
      <c r="A388" s="1">
        <v>42644</v>
      </c>
      <c r="B388">
        <v>212.55</v>
      </c>
    </row>
    <row r="389" spans="1:2" x14ac:dyDescent="0.2">
      <c r="A389" s="1">
        <v>42614</v>
      </c>
      <c r="B389">
        <v>216.3</v>
      </c>
    </row>
    <row r="390" spans="1:2" x14ac:dyDescent="0.2">
      <c r="A390" s="1">
        <v>42583</v>
      </c>
      <c r="B390">
        <v>217.38</v>
      </c>
    </row>
    <row r="391" spans="1:2" x14ac:dyDescent="0.2">
      <c r="A391" s="1">
        <v>42552</v>
      </c>
      <c r="B391">
        <v>217.12</v>
      </c>
    </row>
    <row r="392" spans="1:2" x14ac:dyDescent="0.2">
      <c r="A392" s="1">
        <v>42522</v>
      </c>
      <c r="B392">
        <v>209.47</v>
      </c>
    </row>
    <row r="393" spans="1:2" x14ac:dyDescent="0.2">
      <c r="A393" s="1">
        <v>42491</v>
      </c>
      <c r="B393">
        <v>209.84</v>
      </c>
    </row>
    <row r="394" spans="1:2" x14ac:dyDescent="0.2">
      <c r="A394" s="1">
        <v>42461</v>
      </c>
      <c r="B394">
        <v>206.33</v>
      </c>
    </row>
    <row r="395" spans="1:2" x14ac:dyDescent="0.2">
      <c r="A395" s="1">
        <v>42430</v>
      </c>
      <c r="B395">
        <v>205.52</v>
      </c>
    </row>
    <row r="396" spans="1:2" x14ac:dyDescent="0.2">
      <c r="A396" s="1">
        <v>42401</v>
      </c>
      <c r="B396">
        <v>193.56</v>
      </c>
    </row>
    <row r="397" spans="1:2" x14ac:dyDescent="0.2">
      <c r="A397" s="1">
        <v>42370</v>
      </c>
      <c r="B397">
        <v>193.72</v>
      </c>
    </row>
    <row r="398" spans="1:2" x14ac:dyDescent="0.2">
      <c r="A398" s="1">
        <v>42339</v>
      </c>
      <c r="B398">
        <v>203.87</v>
      </c>
    </row>
    <row r="399" spans="1:2" x14ac:dyDescent="0.2">
      <c r="A399" s="1">
        <v>42309</v>
      </c>
      <c r="B399">
        <v>208.69</v>
      </c>
    </row>
    <row r="400" spans="1:2" x14ac:dyDescent="0.2">
      <c r="A400" s="1">
        <v>42278</v>
      </c>
      <c r="B400">
        <v>207.93</v>
      </c>
    </row>
    <row r="401" spans="1:4" x14ac:dyDescent="0.2">
      <c r="A401" s="1">
        <v>42248</v>
      </c>
      <c r="B401">
        <v>191.63</v>
      </c>
    </row>
    <row r="402" spans="1:4" x14ac:dyDescent="0.2">
      <c r="A402" s="1">
        <v>42217</v>
      </c>
      <c r="B402">
        <v>197.67</v>
      </c>
    </row>
    <row r="403" spans="1:4" x14ac:dyDescent="0.2">
      <c r="A403" s="1">
        <v>42186</v>
      </c>
      <c r="B403">
        <v>210.5</v>
      </c>
    </row>
    <row r="404" spans="1:4" x14ac:dyDescent="0.2">
      <c r="A404" s="1">
        <v>42156</v>
      </c>
      <c r="B404">
        <v>205.85</v>
      </c>
    </row>
    <row r="405" spans="1:4" x14ac:dyDescent="0.2">
      <c r="A405" s="1">
        <v>42125</v>
      </c>
      <c r="B405">
        <v>211.14</v>
      </c>
    </row>
    <row r="406" spans="1:4" x14ac:dyDescent="0.2">
      <c r="A406" s="1">
        <v>42095</v>
      </c>
      <c r="B406">
        <v>208.46</v>
      </c>
    </row>
    <row r="407" spans="1:4" x14ac:dyDescent="0.2">
      <c r="A407" s="1">
        <v>42064</v>
      </c>
      <c r="B407">
        <v>206.43</v>
      </c>
    </row>
    <row r="408" spans="1:4" x14ac:dyDescent="0.2">
      <c r="A408" s="1">
        <v>42036</v>
      </c>
      <c r="B408">
        <v>210.66</v>
      </c>
    </row>
    <row r="409" spans="1:4" x14ac:dyDescent="0.2">
      <c r="A409" s="1">
        <v>42005</v>
      </c>
      <c r="B409">
        <v>199.45</v>
      </c>
    </row>
    <row r="412" spans="1:4" x14ac:dyDescent="0.2">
      <c r="A412" s="104" t="s">
        <v>369</v>
      </c>
      <c r="B412" s="104"/>
    </row>
    <row r="413" spans="1:4" x14ac:dyDescent="0.2">
      <c r="A413" t="s">
        <v>0</v>
      </c>
      <c r="B413" t="s">
        <v>1</v>
      </c>
    </row>
    <row r="414" spans="1:4" x14ac:dyDescent="0.2">
      <c r="A414" s="1">
        <v>46023</v>
      </c>
      <c r="B414">
        <v>312.47000000000003</v>
      </c>
    </row>
    <row r="415" spans="1:4" x14ac:dyDescent="0.2">
      <c r="A415" s="1">
        <v>45992</v>
      </c>
      <c r="B415">
        <v>322.22000000000003</v>
      </c>
      <c r="D415">
        <f>MONTH(Table5[[#This Row],[Date]])</f>
        <v>12</v>
      </c>
    </row>
    <row r="416" spans="1:4" x14ac:dyDescent="0.2">
      <c r="A416" s="1">
        <v>45962</v>
      </c>
      <c r="B416">
        <v>313.08</v>
      </c>
    </row>
    <row r="417" spans="1:2" x14ac:dyDescent="0.2">
      <c r="A417" s="1">
        <v>45931</v>
      </c>
      <c r="B417">
        <v>311.12</v>
      </c>
    </row>
    <row r="418" spans="1:2" x14ac:dyDescent="0.2">
      <c r="A418" s="1">
        <v>45901</v>
      </c>
      <c r="B418">
        <v>315.43</v>
      </c>
    </row>
    <row r="419" spans="1:2" x14ac:dyDescent="0.2">
      <c r="A419" s="1">
        <v>45870</v>
      </c>
      <c r="B419">
        <v>301.42</v>
      </c>
    </row>
    <row r="420" spans="1:2" x14ac:dyDescent="0.2">
      <c r="A420" s="1">
        <v>45839</v>
      </c>
      <c r="B420">
        <v>296.24</v>
      </c>
    </row>
    <row r="421" spans="1:2" x14ac:dyDescent="0.2">
      <c r="A421" s="1">
        <v>45809</v>
      </c>
      <c r="B421">
        <v>289.91000000000003</v>
      </c>
    </row>
    <row r="422" spans="1:2" x14ac:dyDescent="0.2">
      <c r="A422" s="1">
        <v>45778</v>
      </c>
      <c r="B422">
        <v>264</v>
      </c>
    </row>
    <row r="423" spans="1:2" x14ac:dyDescent="0.2">
      <c r="A423" s="1">
        <v>45748</v>
      </c>
      <c r="B423">
        <v>244.62</v>
      </c>
    </row>
    <row r="424" spans="1:2" x14ac:dyDescent="0.2">
      <c r="A424" s="1">
        <v>45717</v>
      </c>
      <c r="B424">
        <v>245.3</v>
      </c>
    </row>
    <row r="425" spans="1:2" x14ac:dyDescent="0.2">
      <c r="A425" s="1">
        <v>45689</v>
      </c>
      <c r="B425">
        <v>264.64999999999998</v>
      </c>
    </row>
    <row r="426" spans="1:2" x14ac:dyDescent="0.2">
      <c r="A426" s="1">
        <v>45658</v>
      </c>
      <c r="B426">
        <v>267.3</v>
      </c>
    </row>
    <row r="427" spans="1:2" x14ac:dyDescent="0.2">
      <c r="A427" s="1">
        <v>45627</v>
      </c>
      <c r="B427">
        <v>239.71</v>
      </c>
    </row>
    <row r="428" spans="1:2" x14ac:dyDescent="0.2">
      <c r="A428" s="1">
        <v>45597</v>
      </c>
      <c r="B428">
        <v>249.72</v>
      </c>
    </row>
    <row r="429" spans="1:2" x14ac:dyDescent="0.2">
      <c r="A429" s="1">
        <v>45566</v>
      </c>
      <c r="B429">
        <v>221.92</v>
      </c>
    </row>
    <row r="430" spans="1:2" x14ac:dyDescent="0.2">
      <c r="A430" s="1">
        <v>45536</v>
      </c>
      <c r="B430">
        <v>210.86</v>
      </c>
    </row>
    <row r="431" spans="1:2" x14ac:dyDescent="0.2">
      <c r="A431" s="1">
        <v>45505</v>
      </c>
      <c r="B431">
        <v>224.8</v>
      </c>
    </row>
    <row r="432" spans="1:2" x14ac:dyDescent="0.2">
      <c r="A432" s="1">
        <v>45474</v>
      </c>
      <c r="B432">
        <v>212.8</v>
      </c>
    </row>
    <row r="433" spans="1:2" x14ac:dyDescent="0.2">
      <c r="A433" s="1">
        <v>45444</v>
      </c>
      <c r="B433">
        <v>202.26</v>
      </c>
    </row>
    <row r="434" spans="1:2" x14ac:dyDescent="0.2">
      <c r="A434" s="1">
        <v>45413</v>
      </c>
      <c r="B434">
        <v>202.63</v>
      </c>
    </row>
    <row r="435" spans="1:2" x14ac:dyDescent="0.2">
      <c r="A435" s="1">
        <v>45383</v>
      </c>
      <c r="B435">
        <v>191.74</v>
      </c>
    </row>
    <row r="436" spans="1:2" x14ac:dyDescent="0.2">
      <c r="A436" s="1">
        <v>45352</v>
      </c>
      <c r="B436">
        <v>200.3</v>
      </c>
    </row>
    <row r="437" spans="1:2" x14ac:dyDescent="0.2">
      <c r="A437" s="1">
        <v>45323</v>
      </c>
      <c r="B437">
        <v>186.06</v>
      </c>
    </row>
    <row r="438" spans="1:2" x14ac:dyDescent="0.2">
      <c r="A438" s="1">
        <v>45292</v>
      </c>
      <c r="B438">
        <v>174.36</v>
      </c>
    </row>
    <row r="439" spans="1:2" x14ac:dyDescent="0.2">
      <c r="A439" s="1">
        <v>45261</v>
      </c>
      <c r="B439">
        <v>170.1</v>
      </c>
    </row>
    <row r="440" spans="1:2" x14ac:dyDescent="0.2">
      <c r="A440" s="1">
        <v>45231</v>
      </c>
      <c r="B440">
        <v>156.08000000000001</v>
      </c>
    </row>
    <row r="441" spans="1:2" x14ac:dyDescent="0.2">
      <c r="A441" s="1">
        <v>45200</v>
      </c>
      <c r="B441">
        <v>139.06</v>
      </c>
    </row>
    <row r="442" spans="1:2" x14ac:dyDescent="0.2">
      <c r="A442" s="1">
        <v>45170</v>
      </c>
      <c r="B442">
        <v>145.02000000000001</v>
      </c>
    </row>
    <row r="443" spans="1:2" x14ac:dyDescent="0.2">
      <c r="A443" s="1">
        <v>45139</v>
      </c>
      <c r="B443">
        <v>146.33000000000001</v>
      </c>
    </row>
    <row r="444" spans="1:2" x14ac:dyDescent="0.2">
      <c r="A444" s="1">
        <v>45108</v>
      </c>
      <c r="B444">
        <v>157.96</v>
      </c>
    </row>
    <row r="445" spans="1:2" x14ac:dyDescent="0.2">
      <c r="A445" s="1">
        <v>45078</v>
      </c>
      <c r="B445">
        <v>145.44</v>
      </c>
    </row>
    <row r="446" spans="1:2" x14ac:dyDescent="0.2">
      <c r="A446" s="1">
        <v>45047</v>
      </c>
      <c r="B446">
        <v>135.71</v>
      </c>
    </row>
    <row r="447" spans="1:2" x14ac:dyDescent="0.2">
      <c r="A447" s="1">
        <v>45017</v>
      </c>
      <c r="B447">
        <v>138.24</v>
      </c>
    </row>
    <row r="448" spans="1:2" x14ac:dyDescent="0.2">
      <c r="A448" s="1">
        <v>44986</v>
      </c>
      <c r="B448">
        <v>130.31</v>
      </c>
    </row>
    <row r="449" spans="1:2" x14ac:dyDescent="0.2">
      <c r="A449" s="1">
        <v>44958</v>
      </c>
      <c r="B449">
        <v>143.35</v>
      </c>
    </row>
    <row r="450" spans="1:2" x14ac:dyDescent="0.2">
      <c r="A450" s="1">
        <v>44927</v>
      </c>
      <c r="B450">
        <v>139.96</v>
      </c>
    </row>
    <row r="451" spans="1:2" x14ac:dyDescent="0.2">
      <c r="A451" s="1">
        <v>44896</v>
      </c>
      <c r="B451">
        <v>134.1</v>
      </c>
    </row>
    <row r="452" spans="1:2" x14ac:dyDescent="0.2">
      <c r="A452" s="1">
        <v>44866</v>
      </c>
      <c r="B452">
        <v>138.18</v>
      </c>
    </row>
    <row r="453" spans="1:2" x14ac:dyDescent="0.2">
      <c r="A453" s="1">
        <v>44835</v>
      </c>
      <c r="B453">
        <v>125.88</v>
      </c>
    </row>
    <row r="454" spans="1:2" x14ac:dyDescent="0.2">
      <c r="A454" s="1">
        <v>44805</v>
      </c>
      <c r="B454">
        <v>104.5</v>
      </c>
    </row>
    <row r="455" spans="1:2" x14ac:dyDescent="0.2">
      <c r="A455" s="1">
        <v>44774</v>
      </c>
      <c r="B455">
        <v>113.73</v>
      </c>
    </row>
    <row r="456" spans="1:2" x14ac:dyDescent="0.2">
      <c r="A456" s="1">
        <v>44743</v>
      </c>
      <c r="B456">
        <v>115.36</v>
      </c>
    </row>
    <row r="457" spans="1:2" x14ac:dyDescent="0.2">
      <c r="A457" s="1">
        <v>44713</v>
      </c>
      <c r="B457">
        <v>112.61</v>
      </c>
    </row>
    <row r="458" spans="1:2" x14ac:dyDescent="0.2">
      <c r="A458" s="1">
        <v>44682</v>
      </c>
      <c r="B458">
        <v>132.22999999999999</v>
      </c>
    </row>
    <row r="459" spans="1:2" x14ac:dyDescent="0.2">
      <c r="A459" s="1">
        <v>44652</v>
      </c>
      <c r="B459">
        <v>119.36</v>
      </c>
    </row>
    <row r="460" spans="1:2" x14ac:dyDescent="0.2">
      <c r="A460" s="1">
        <v>44621</v>
      </c>
      <c r="B460">
        <v>136.32</v>
      </c>
    </row>
    <row r="461" spans="1:2" x14ac:dyDescent="0.2">
      <c r="A461" s="1">
        <v>44593</v>
      </c>
      <c r="B461">
        <v>141.80000000000001</v>
      </c>
    </row>
    <row r="462" spans="1:2" x14ac:dyDescent="0.2">
      <c r="A462" s="1">
        <v>44562</v>
      </c>
      <c r="B462">
        <v>148.6</v>
      </c>
    </row>
    <row r="463" spans="1:2" x14ac:dyDescent="0.2">
      <c r="A463" s="1">
        <v>44531</v>
      </c>
      <c r="B463">
        <v>158.35</v>
      </c>
    </row>
    <row r="464" spans="1:2" x14ac:dyDescent="0.2">
      <c r="A464" s="1">
        <v>44501</v>
      </c>
      <c r="B464">
        <v>158.83000000000001</v>
      </c>
    </row>
    <row r="465" spans="1:2" x14ac:dyDescent="0.2">
      <c r="A465" s="1">
        <v>44470</v>
      </c>
      <c r="B465">
        <v>169.89</v>
      </c>
    </row>
    <row r="466" spans="1:2" x14ac:dyDescent="0.2">
      <c r="A466" s="1">
        <v>44440</v>
      </c>
      <c r="B466">
        <v>163.69</v>
      </c>
    </row>
    <row r="467" spans="1:2" x14ac:dyDescent="0.2">
      <c r="A467" s="1">
        <v>44409</v>
      </c>
      <c r="B467">
        <v>159.94999999999999</v>
      </c>
    </row>
    <row r="468" spans="1:2" x14ac:dyDescent="0.2">
      <c r="A468" s="1">
        <v>44378</v>
      </c>
      <c r="B468">
        <v>151.78</v>
      </c>
    </row>
    <row r="469" spans="1:2" x14ac:dyDescent="0.2">
      <c r="A469" s="1">
        <v>44348</v>
      </c>
      <c r="B469">
        <v>155.54</v>
      </c>
    </row>
    <row r="470" spans="1:2" x14ac:dyDescent="0.2">
      <c r="A470" s="1">
        <v>44317</v>
      </c>
      <c r="B470">
        <v>164.24</v>
      </c>
    </row>
    <row r="471" spans="1:2" x14ac:dyDescent="0.2">
      <c r="A471" s="1">
        <v>44287</v>
      </c>
      <c r="B471">
        <v>153.81</v>
      </c>
    </row>
    <row r="472" spans="1:2" x14ac:dyDescent="0.2">
      <c r="A472" s="1">
        <v>44256</v>
      </c>
      <c r="B472">
        <v>152.22999999999999</v>
      </c>
    </row>
    <row r="473" spans="1:2" x14ac:dyDescent="0.2">
      <c r="A473" s="1">
        <v>44228</v>
      </c>
      <c r="B473">
        <v>147.16999999999999</v>
      </c>
    </row>
    <row r="474" spans="1:2" x14ac:dyDescent="0.2">
      <c r="A474" s="1">
        <v>44197</v>
      </c>
      <c r="B474">
        <v>128.66999999999999</v>
      </c>
    </row>
    <row r="475" spans="1:2" x14ac:dyDescent="0.2">
      <c r="A475" s="1">
        <v>44166</v>
      </c>
      <c r="B475">
        <v>127.07</v>
      </c>
    </row>
    <row r="476" spans="1:2" x14ac:dyDescent="0.2">
      <c r="A476" s="1">
        <v>44136</v>
      </c>
      <c r="B476">
        <v>117.88</v>
      </c>
    </row>
    <row r="477" spans="1:2" x14ac:dyDescent="0.2">
      <c r="A477" s="1">
        <v>44105</v>
      </c>
      <c r="B477">
        <v>98.04</v>
      </c>
    </row>
    <row r="478" spans="1:2" x14ac:dyDescent="0.2">
      <c r="A478" s="1">
        <v>44075</v>
      </c>
      <c r="B478">
        <v>96.27</v>
      </c>
    </row>
    <row r="479" spans="1:2" x14ac:dyDescent="0.2">
      <c r="A479" s="1">
        <v>44044</v>
      </c>
      <c r="B479">
        <v>100.19</v>
      </c>
    </row>
    <row r="480" spans="1:2" x14ac:dyDescent="0.2">
      <c r="A480" s="1">
        <v>44013</v>
      </c>
      <c r="B480">
        <v>96.64</v>
      </c>
    </row>
    <row r="481" spans="1:2" x14ac:dyDescent="0.2">
      <c r="A481" s="1">
        <v>43983</v>
      </c>
      <c r="B481">
        <v>94.06</v>
      </c>
    </row>
    <row r="482" spans="1:2" x14ac:dyDescent="0.2">
      <c r="A482" s="1">
        <v>43952</v>
      </c>
      <c r="B482">
        <v>97.31</v>
      </c>
    </row>
    <row r="483" spans="1:2" x14ac:dyDescent="0.2">
      <c r="A483" s="1">
        <v>43922</v>
      </c>
      <c r="B483">
        <v>95.76</v>
      </c>
    </row>
    <row r="484" spans="1:2" x14ac:dyDescent="0.2">
      <c r="A484" s="1">
        <v>43891</v>
      </c>
      <c r="B484">
        <v>90.03</v>
      </c>
    </row>
    <row r="485" spans="1:2" x14ac:dyDescent="0.2">
      <c r="A485" s="1">
        <v>43862</v>
      </c>
      <c r="B485">
        <v>116.11</v>
      </c>
    </row>
    <row r="486" spans="1:2" x14ac:dyDescent="0.2">
      <c r="A486" s="1">
        <v>43831</v>
      </c>
      <c r="B486">
        <v>132.36000000000001</v>
      </c>
    </row>
    <row r="487" spans="1:2" x14ac:dyDescent="0.2">
      <c r="A487" s="1">
        <v>43800</v>
      </c>
      <c r="B487">
        <v>139.4</v>
      </c>
    </row>
    <row r="488" spans="1:2" x14ac:dyDescent="0.2">
      <c r="A488" s="1">
        <v>43770</v>
      </c>
      <c r="B488">
        <v>131.76</v>
      </c>
    </row>
    <row r="489" spans="1:2" x14ac:dyDescent="0.2">
      <c r="A489" s="1">
        <v>43739</v>
      </c>
      <c r="B489">
        <v>124.92</v>
      </c>
    </row>
    <row r="490" spans="1:2" x14ac:dyDescent="0.2">
      <c r="A490" s="1">
        <v>43709</v>
      </c>
      <c r="B490">
        <v>117.69</v>
      </c>
    </row>
    <row r="491" spans="1:2" x14ac:dyDescent="0.2">
      <c r="A491" s="1">
        <v>43678</v>
      </c>
      <c r="B491">
        <v>109.86</v>
      </c>
    </row>
    <row r="492" spans="1:2" x14ac:dyDescent="0.2">
      <c r="A492" s="1">
        <v>43647</v>
      </c>
      <c r="B492">
        <v>116</v>
      </c>
    </row>
    <row r="493" spans="1:2" x14ac:dyDescent="0.2">
      <c r="A493" s="1">
        <v>43617</v>
      </c>
      <c r="B493">
        <v>111.8</v>
      </c>
    </row>
    <row r="494" spans="1:2" x14ac:dyDescent="0.2">
      <c r="A494" s="1">
        <v>43586</v>
      </c>
      <c r="B494">
        <v>105.96</v>
      </c>
    </row>
    <row r="495" spans="1:2" x14ac:dyDescent="0.2">
      <c r="A495" s="1">
        <v>43556</v>
      </c>
      <c r="B495">
        <v>116.05</v>
      </c>
    </row>
    <row r="496" spans="1:2" x14ac:dyDescent="0.2">
      <c r="A496" s="1">
        <v>43525</v>
      </c>
      <c r="B496">
        <v>101.23</v>
      </c>
    </row>
    <row r="497" spans="1:2" x14ac:dyDescent="0.2">
      <c r="A497" s="1">
        <v>43497</v>
      </c>
      <c r="B497">
        <v>104.36</v>
      </c>
    </row>
    <row r="498" spans="1:2" x14ac:dyDescent="0.2">
      <c r="A498" s="1">
        <v>43466</v>
      </c>
      <c r="B498">
        <v>103.5</v>
      </c>
    </row>
    <row r="499" spans="1:2" x14ac:dyDescent="0.2">
      <c r="A499" s="1">
        <v>43435</v>
      </c>
      <c r="B499">
        <v>97.62</v>
      </c>
    </row>
    <row r="500" spans="1:2" x14ac:dyDescent="0.2">
      <c r="A500" s="1">
        <v>43405</v>
      </c>
      <c r="B500">
        <v>111.19</v>
      </c>
    </row>
    <row r="501" spans="1:2" x14ac:dyDescent="0.2">
      <c r="A501" s="1">
        <v>43374</v>
      </c>
      <c r="B501">
        <v>109.02</v>
      </c>
    </row>
    <row r="502" spans="1:2" x14ac:dyDescent="0.2">
      <c r="A502" s="1">
        <v>43344</v>
      </c>
      <c r="B502">
        <v>112.84</v>
      </c>
    </row>
    <row r="503" spans="1:2" x14ac:dyDescent="0.2">
      <c r="A503" s="1">
        <v>43313</v>
      </c>
      <c r="B503">
        <v>114.58</v>
      </c>
    </row>
    <row r="504" spans="1:2" x14ac:dyDescent="0.2">
      <c r="A504" s="1">
        <v>43282</v>
      </c>
      <c r="B504">
        <v>114.95</v>
      </c>
    </row>
    <row r="505" spans="1:2" x14ac:dyDescent="0.2">
      <c r="A505" s="1">
        <v>43252</v>
      </c>
      <c r="B505">
        <v>104.2</v>
      </c>
    </row>
    <row r="506" spans="1:2" x14ac:dyDescent="0.2">
      <c r="A506" s="1">
        <v>43221</v>
      </c>
      <c r="B506">
        <v>107.01</v>
      </c>
    </row>
    <row r="507" spans="1:2" x14ac:dyDescent="0.2">
      <c r="A507" s="1">
        <v>43191</v>
      </c>
      <c r="B507">
        <v>108.78</v>
      </c>
    </row>
    <row r="508" spans="1:2" x14ac:dyDescent="0.2">
      <c r="A508" s="1">
        <v>43160</v>
      </c>
      <c r="B508">
        <v>109.97</v>
      </c>
    </row>
    <row r="509" spans="1:2" x14ac:dyDescent="0.2">
      <c r="A509" s="1">
        <v>43132</v>
      </c>
      <c r="B509">
        <v>115.5</v>
      </c>
    </row>
    <row r="510" spans="1:2" x14ac:dyDescent="0.2">
      <c r="A510" s="1">
        <v>43101</v>
      </c>
      <c r="B510">
        <v>115.67</v>
      </c>
    </row>
    <row r="511" spans="1:2" x14ac:dyDescent="0.2">
      <c r="A511" s="1">
        <v>43070</v>
      </c>
      <c r="B511">
        <v>106.94</v>
      </c>
    </row>
    <row r="512" spans="1:2" x14ac:dyDescent="0.2">
      <c r="A512" s="1">
        <v>43040</v>
      </c>
      <c r="B512">
        <v>104.52</v>
      </c>
    </row>
    <row r="513" spans="1:2" x14ac:dyDescent="0.2">
      <c r="A513" s="1">
        <v>43009</v>
      </c>
      <c r="B513">
        <v>100.61</v>
      </c>
    </row>
    <row r="514" spans="1:2" x14ac:dyDescent="0.2">
      <c r="A514" s="1">
        <v>42979</v>
      </c>
      <c r="B514">
        <v>95.51</v>
      </c>
    </row>
    <row r="515" spans="1:2" x14ac:dyDescent="0.2">
      <c r="A515" s="1">
        <v>42948</v>
      </c>
      <c r="B515">
        <v>90.89</v>
      </c>
    </row>
    <row r="516" spans="1:2" x14ac:dyDescent="0.2">
      <c r="A516" s="1">
        <v>42917</v>
      </c>
      <c r="B516">
        <v>91.8</v>
      </c>
    </row>
    <row r="517" spans="1:2" x14ac:dyDescent="0.2">
      <c r="A517" s="1">
        <v>42887</v>
      </c>
      <c r="B517">
        <v>91.4</v>
      </c>
    </row>
    <row r="518" spans="1:2" x14ac:dyDescent="0.2">
      <c r="A518" s="1">
        <v>42856</v>
      </c>
      <c r="B518">
        <v>82.15</v>
      </c>
    </row>
    <row r="519" spans="1:2" x14ac:dyDescent="0.2">
      <c r="A519" s="1">
        <v>42826</v>
      </c>
      <c r="B519">
        <v>87</v>
      </c>
    </row>
    <row r="520" spans="1:2" x14ac:dyDescent="0.2">
      <c r="A520" s="1">
        <v>42795</v>
      </c>
      <c r="B520">
        <v>87.84</v>
      </c>
    </row>
    <row r="521" spans="1:2" x14ac:dyDescent="0.2">
      <c r="A521" s="1">
        <v>42767</v>
      </c>
      <c r="B521">
        <v>90.62</v>
      </c>
    </row>
    <row r="522" spans="1:2" x14ac:dyDescent="0.2">
      <c r="A522" s="1">
        <v>42736</v>
      </c>
      <c r="B522">
        <v>84.63</v>
      </c>
    </row>
    <row r="523" spans="1:2" x14ac:dyDescent="0.2">
      <c r="A523" s="1">
        <v>42705</v>
      </c>
      <c r="B523">
        <v>86.29</v>
      </c>
    </row>
    <row r="524" spans="1:2" x14ac:dyDescent="0.2">
      <c r="A524" s="1">
        <v>42675</v>
      </c>
      <c r="B524">
        <v>80.17</v>
      </c>
    </row>
    <row r="525" spans="1:2" x14ac:dyDescent="0.2">
      <c r="A525" s="1">
        <v>42644</v>
      </c>
      <c r="B525">
        <v>69.260000000000005</v>
      </c>
    </row>
    <row r="526" spans="1:2" x14ac:dyDescent="0.2">
      <c r="A526" s="1">
        <v>42614</v>
      </c>
      <c r="B526">
        <v>66.59</v>
      </c>
    </row>
    <row r="527" spans="1:2" x14ac:dyDescent="0.2">
      <c r="A527" s="1">
        <v>42583</v>
      </c>
      <c r="B527">
        <v>67.5</v>
      </c>
    </row>
    <row r="528" spans="1:2" x14ac:dyDescent="0.2">
      <c r="A528" s="1">
        <v>42552</v>
      </c>
      <c r="B528">
        <v>63.97</v>
      </c>
    </row>
    <row r="529" spans="1:2" x14ac:dyDescent="0.2">
      <c r="A529" s="1">
        <v>42522</v>
      </c>
      <c r="B529">
        <v>62.14</v>
      </c>
    </row>
    <row r="530" spans="1:2" x14ac:dyDescent="0.2">
      <c r="A530" s="1">
        <v>42491</v>
      </c>
      <c r="B530">
        <v>65.27</v>
      </c>
    </row>
    <row r="531" spans="1:2" x14ac:dyDescent="0.2">
      <c r="A531" s="1">
        <v>42461</v>
      </c>
      <c r="B531">
        <v>63.2</v>
      </c>
    </row>
    <row r="532" spans="1:2" x14ac:dyDescent="0.2">
      <c r="A532" s="1">
        <v>42430</v>
      </c>
      <c r="B532">
        <v>59.22</v>
      </c>
    </row>
    <row r="533" spans="1:2" x14ac:dyDescent="0.2">
      <c r="A533" s="1">
        <v>42401</v>
      </c>
      <c r="B533">
        <v>56.3</v>
      </c>
    </row>
    <row r="534" spans="1:2" x14ac:dyDescent="0.2">
      <c r="A534" s="1">
        <v>42370</v>
      </c>
      <c r="B534">
        <v>59.5</v>
      </c>
    </row>
    <row r="535" spans="1:2" x14ac:dyDescent="0.2">
      <c r="A535" s="1">
        <v>42339</v>
      </c>
      <c r="B535">
        <v>66.03</v>
      </c>
    </row>
    <row r="536" spans="1:2" x14ac:dyDescent="0.2">
      <c r="A536" s="1">
        <v>42309</v>
      </c>
      <c r="B536">
        <v>66.680000000000007</v>
      </c>
    </row>
    <row r="537" spans="1:2" x14ac:dyDescent="0.2">
      <c r="A537" s="1">
        <v>42278</v>
      </c>
      <c r="B537">
        <v>64.25</v>
      </c>
    </row>
    <row r="538" spans="1:2" x14ac:dyDescent="0.2">
      <c r="A538" s="1">
        <v>42248</v>
      </c>
      <c r="B538">
        <v>60.97</v>
      </c>
    </row>
    <row r="539" spans="1:2" x14ac:dyDescent="0.2">
      <c r="A539" s="1">
        <v>42217</v>
      </c>
      <c r="B539">
        <v>64.099999999999994</v>
      </c>
    </row>
    <row r="540" spans="1:2" x14ac:dyDescent="0.2">
      <c r="A540" s="1">
        <v>42186</v>
      </c>
      <c r="B540">
        <v>68.53</v>
      </c>
    </row>
    <row r="541" spans="1:2" x14ac:dyDescent="0.2">
      <c r="A541" s="1">
        <v>42156</v>
      </c>
      <c r="B541">
        <v>67.760000000000005</v>
      </c>
    </row>
    <row r="542" spans="1:2" x14ac:dyDescent="0.2">
      <c r="A542" s="1">
        <v>42125</v>
      </c>
      <c r="B542">
        <v>65.78</v>
      </c>
    </row>
    <row r="543" spans="1:2" x14ac:dyDescent="0.2">
      <c r="A543" s="1">
        <v>42095</v>
      </c>
      <c r="B543">
        <v>63.26</v>
      </c>
    </row>
    <row r="544" spans="1:2" x14ac:dyDescent="0.2">
      <c r="A544" s="1">
        <v>42064</v>
      </c>
      <c r="B544">
        <v>60.58</v>
      </c>
    </row>
    <row r="545" spans="1:4" x14ac:dyDescent="0.2">
      <c r="A545" s="1">
        <v>42036</v>
      </c>
      <c r="B545">
        <v>61.28</v>
      </c>
    </row>
    <row r="546" spans="1:4" x14ac:dyDescent="0.2">
      <c r="A546" s="1">
        <v>42005</v>
      </c>
      <c r="B546">
        <v>54.38</v>
      </c>
    </row>
    <row r="550" spans="1:4" x14ac:dyDescent="0.2">
      <c r="A550" s="104" t="s">
        <v>503</v>
      </c>
      <c r="B550" s="104"/>
    </row>
    <row r="551" spans="1:4" x14ac:dyDescent="0.2">
      <c r="A551" t="s">
        <v>0</v>
      </c>
      <c r="B551" t="s">
        <v>1</v>
      </c>
    </row>
    <row r="552" spans="1:4" x14ac:dyDescent="0.2">
      <c r="A552" s="1">
        <v>46023</v>
      </c>
      <c r="B552">
        <v>186.23</v>
      </c>
    </row>
    <row r="553" spans="1:4" x14ac:dyDescent="0.2">
      <c r="A553" s="1">
        <v>45992</v>
      </c>
      <c r="B553">
        <v>186.5</v>
      </c>
      <c r="D553">
        <f>MONTH(Table6[[#This Row],[Date]])</f>
        <v>12</v>
      </c>
    </row>
    <row r="554" spans="1:4" x14ac:dyDescent="0.2">
      <c r="A554" s="1">
        <v>45962</v>
      </c>
      <c r="B554">
        <v>177</v>
      </c>
    </row>
    <row r="555" spans="1:4" x14ac:dyDescent="0.2">
      <c r="A555" s="1">
        <v>45931</v>
      </c>
      <c r="B555">
        <v>202.49</v>
      </c>
    </row>
    <row r="556" spans="1:4" x14ac:dyDescent="0.2">
      <c r="A556" s="1">
        <v>45901</v>
      </c>
      <c r="B556">
        <v>186.58</v>
      </c>
    </row>
    <row r="557" spans="1:4" x14ac:dyDescent="0.2">
      <c r="A557" s="1">
        <v>45870</v>
      </c>
      <c r="B557">
        <v>174.18</v>
      </c>
    </row>
    <row r="558" spans="1:4" x14ac:dyDescent="0.2">
      <c r="A558" s="1">
        <v>45839</v>
      </c>
      <c r="B558">
        <v>177.87</v>
      </c>
    </row>
    <row r="559" spans="1:4" x14ac:dyDescent="0.2">
      <c r="A559" s="1">
        <v>45809</v>
      </c>
      <c r="B559">
        <v>157.99</v>
      </c>
    </row>
    <row r="560" spans="1:4" x14ac:dyDescent="0.2">
      <c r="A560" s="1">
        <v>45778</v>
      </c>
      <c r="B560">
        <v>135.13</v>
      </c>
    </row>
    <row r="561" spans="1:2" x14ac:dyDescent="0.2">
      <c r="A561" s="1">
        <v>45748</v>
      </c>
      <c r="B561">
        <v>108.92</v>
      </c>
    </row>
    <row r="562" spans="1:2" x14ac:dyDescent="0.2">
      <c r="A562" s="1">
        <v>45717</v>
      </c>
      <c r="B562">
        <v>108.38</v>
      </c>
    </row>
    <row r="563" spans="1:2" x14ac:dyDescent="0.2">
      <c r="A563" s="1">
        <v>45689</v>
      </c>
      <c r="B563">
        <v>124.92</v>
      </c>
    </row>
    <row r="564" spans="1:2" x14ac:dyDescent="0.2">
      <c r="A564" s="1">
        <v>45658</v>
      </c>
      <c r="B564">
        <v>120.07</v>
      </c>
    </row>
    <row r="565" spans="1:2" x14ac:dyDescent="0.2">
      <c r="A565" s="1">
        <v>45627</v>
      </c>
      <c r="B565">
        <v>134.29</v>
      </c>
    </row>
    <row r="566" spans="1:2" x14ac:dyDescent="0.2">
      <c r="A566" s="1">
        <v>45597</v>
      </c>
      <c r="B566">
        <v>138.25</v>
      </c>
    </row>
    <row r="567" spans="1:2" x14ac:dyDescent="0.2">
      <c r="A567" s="1">
        <v>45566</v>
      </c>
      <c r="B567">
        <v>132.76</v>
      </c>
    </row>
    <row r="568" spans="1:2" x14ac:dyDescent="0.2">
      <c r="A568" s="1">
        <v>45536</v>
      </c>
      <c r="B568">
        <v>121.44</v>
      </c>
    </row>
    <row r="569" spans="1:2" x14ac:dyDescent="0.2">
      <c r="A569" s="1">
        <v>45505</v>
      </c>
      <c r="B569">
        <v>119.37</v>
      </c>
    </row>
    <row r="570" spans="1:2" x14ac:dyDescent="0.2">
      <c r="A570" s="1">
        <v>45474</v>
      </c>
      <c r="B570">
        <v>117.02</v>
      </c>
    </row>
    <row r="571" spans="1:2" x14ac:dyDescent="0.2">
      <c r="A571" s="1">
        <v>45444</v>
      </c>
      <c r="B571">
        <v>123.54</v>
      </c>
    </row>
    <row r="572" spans="1:2" x14ac:dyDescent="0.2">
      <c r="A572" s="1">
        <v>45413</v>
      </c>
      <c r="B572">
        <v>109.63</v>
      </c>
    </row>
    <row r="573" spans="1:2" x14ac:dyDescent="0.2">
      <c r="A573" s="1">
        <v>45383</v>
      </c>
      <c r="B573">
        <v>86.4</v>
      </c>
    </row>
    <row r="574" spans="1:2" x14ac:dyDescent="0.2">
      <c r="A574" s="1">
        <v>45352</v>
      </c>
      <c r="B574">
        <v>90.36</v>
      </c>
    </row>
    <row r="575" spans="1:2" x14ac:dyDescent="0.2">
      <c r="A575" s="1">
        <v>45323</v>
      </c>
      <c r="B575">
        <v>79.11</v>
      </c>
    </row>
    <row r="576" spans="1:2" x14ac:dyDescent="0.2">
      <c r="A576" s="1">
        <v>45292</v>
      </c>
      <c r="B576">
        <v>61.53</v>
      </c>
    </row>
    <row r="577" spans="1:2" x14ac:dyDescent="0.2">
      <c r="A577" s="1">
        <v>45261</v>
      </c>
      <c r="B577">
        <v>49.52</v>
      </c>
    </row>
    <row r="578" spans="1:2" x14ac:dyDescent="0.2">
      <c r="A578" s="1">
        <v>45231</v>
      </c>
      <c r="B578">
        <v>46.77</v>
      </c>
    </row>
    <row r="579" spans="1:2" x14ac:dyDescent="0.2">
      <c r="A579" s="1">
        <v>45200</v>
      </c>
      <c r="B579">
        <v>40.78</v>
      </c>
    </row>
    <row r="580" spans="1:2" x14ac:dyDescent="0.2">
      <c r="A580" s="1">
        <v>45170</v>
      </c>
      <c r="B580">
        <v>43.5</v>
      </c>
    </row>
    <row r="581" spans="1:2" x14ac:dyDescent="0.2">
      <c r="A581" s="1">
        <v>45139</v>
      </c>
      <c r="B581">
        <v>49.35</v>
      </c>
    </row>
    <row r="582" spans="1:2" x14ac:dyDescent="0.2">
      <c r="A582" s="1">
        <v>45108</v>
      </c>
      <c r="B582">
        <v>46.73</v>
      </c>
    </row>
    <row r="583" spans="1:2" x14ac:dyDescent="0.2">
      <c r="A583" s="1">
        <v>45078</v>
      </c>
      <c r="B583">
        <v>42.3</v>
      </c>
    </row>
    <row r="584" spans="1:2" x14ac:dyDescent="0.2">
      <c r="A584" s="1">
        <v>45047</v>
      </c>
      <c r="B584">
        <v>37.83</v>
      </c>
    </row>
    <row r="585" spans="1:2" x14ac:dyDescent="0.2">
      <c r="A585" s="1">
        <v>45017</v>
      </c>
      <c r="B585">
        <v>27.75</v>
      </c>
    </row>
    <row r="586" spans="1:2" x14ac:dyDescent="0.2">
      <c r="A586" s="1">
        <v>44986</v>
      </c>
      <c r="B586">
        <v>27.78</v>
      </c>
    </row>
    <row r="587" spans="1:2" x14ac:dyDescent="0.2">
      <c r="A587" s="1">
        <v>44958</v>
      </c>
      <c r="B587">
        <v>23.22</v>
      </c>
    </row>
    <row r="588" spans="1:2" x14ac:dyDescent="0.2">
      <c r="A588" s="1">
        <v>44927</v>
      </c>
      <c r="B588">
        <v>19.54</v>
      </c>
    </row>
    <row r="589" spans="1:2" x14ac:dyDescent="0.2">
      <c r="A589" s="1">
        <v>44896</v>
      </c>
      <c r="B589">
        <v>14.61</v>
      </c>
    </row>
    <row r="590" spans="1:2" x14ac:dyDescent="0.2">
      <c r="A590" s="1">
        <v>44866</v>
      </c>
      <c r="B590">
        <v>16.920000000000002</v>
      </c>
    </row>
    <row r="591" spans="1:2" x14ac:dyDescent="0.2">
      <c r="A591" s="1">
        <v>44835</v>
      </c>
      <c r="B591">
        <v>13.5</v>
      </c>
    </row>
    <row r="592" spans="1:2" x14ac:dyDescent="0.2">
      <c r="A592" s="1">
        <v>44805</v>
      </c>
      <c r="B592">
        <v>12.14</v>
      </c>
    </row>
    <row r="593" spans="1:2" x14ac:dyDescent="0.2">
      <c r="A593" s="1">
        <v>44774</v>
      </c>
      <c r="B593">
        <v>15.09</v>
      </c>
    </row>
    <row r="594" spans="1:2" x14ac:dyDescent="0.2">
      <c r="A594" s="1">
        <v>44743</v>
      </c>
      <c r="B594">
        <v>18.16</v>
      </c>
    </row>
    <row r="595" spans="1:2" x14ac:dyDescent="0.2">
      <c r="A595" s="1">
        <v>44713</v>
      </c>
      <c r="B595">
        <v>15.16</v>
      </c>
    </row>
    <row r="596" spans="1:2" x14ac:dyDescent="0.2">
      <c r="A596" s="1">
        <v>44682</v>
      </c>
      <c r="B596">
        <v>18.670000000000002</v>
      </c>
    </row>
    <row r="597" spans="1:2" x14ac:dyDescent="0.2">
      <c r="A597" s="1">
        <v>44652</v>
      </c>
      <c r="B597">
        <v>18.55</v>
      </c>
    </row>
    <row r="598" spans="1:2" x14ac:dyDescent="0.2">
      <c r="A598" s="1">
        <v>44621</v>
      </c>
      <c r="B598">
        <v>27.29</v>
      </c>
    </row>
    <row r="599" spans="1:2" x14ac:dyDescent="0.2">
      <c r="A599" s="1">
        <v>44593</v>
      </c>
      <c r="B599">
        <v>24.39</v>
      </c>
    </row>
    <row r="600" spans="1:2" x14ac:dyDescent="0.2">
      <c r="A600" s="1">
        <v>44562</v>
      </c>
      <c r="B600">
        <v>24.49</v>
      </c>
    </row>
    <row r="601" spans="1:2" x14ac:dyDescent="0.2">
      <c r="A601" s="1">
        <v>44531</v>
      </c>
      <c r="B601">
        <v>29.41</v>
      </c>
    </row>
    <row r="602" spans="1:2" x14ac:dyDescent="0.2">
      <c r="A602" s="1">
        <v>44501</v>
      </c>
      <c r="B602">
        <v>32.68</v>
      </c>
    </row>
    <row r="603" spans="1:2" x14ac:dyDescent="0.2">
      <c r="A603" s="1">
        <v>44470</v>
      </c>
      <c r="B603">
        <v>25.57</v>
      </c>
    </row>
    <row r="604" spans="1:2" x14ac:dyDescent="0.2">
      <c r="A604" s="1">
        <v>44440</v>
      </c>
      <c r="B604">
        <v>20.72</v>
      </c>
    </row>
    <row r="605" spans="1:2" x14ac:dyDescent="0.2">
      <c r="A605" s="1">
        <v>44409</v>
      </c>
      <c r="B605">
        <v>22.39</v>
      </c>
    </row>
    <row r="606" spans="1:2" x14ac:dyDescent="0.2">
      <c r="A606" s="1">
        <v>44378</v>
      </c>
      <c r="B606">
        <v>19.5</v>
      </c>
    </row>
    <row r="607" spans="1:2" x14ac:dyDescent="0.2">
      <c r="A607" s="1">
        <v>44348</v>
      </c>
      <c r="B607">
        <v>20</v>
      </c>
    </row>
    <row r="608" spans="1:2" x14ac:dyDescent="0.2">
      <c r="A608" s="1">
        <v>44317</v>
      </c>
      <c r="B608">
        <v>16.239999999999998</v>
      </c>
    </row>
    <row r="609" spans="1:2" x14ac:dyDescent="0.2">
      <c r="A609" s="1">
        <v>44287</v>
      </c>
      <c r="B609">
        <v>15.01</v>
      </c>
    </row>
    <row r="610" spans="1:2" x14ac:dyDescent="0.2">
      <c r="A610" s="1">
        <v>44256</v>
      </c>
      <c r="B610">
        <v>13.35</v>
      </c>
    </row>
    <row r="611" spans="1:2" x14ac:dyDescent="0.2">
      <c r="A611" s="1">
        <v>44228</v>
      </c>
      <c r="B611">
        <v>13.71</v>
      </c>
    </row>
    <row r="612" spans="1:2" x14ac:dyDescent="0.2">
      <c r="A612" s="1">
        <v>44197</v>
      </c>
      <c r="B612">
        <v>12.99</v>
      </c>
    </row>
    <row r="613" spans="1:2" x14ac:dyDescent="0.2">
      <c r="A613" s="1">
        <v>44166</v>
      </c>
      <c r="B613">
        <v>13.06</v>
      </c>
    </row>
    <row r="614" spans="1:2" x14ac:dyDescent="0.2">
      <c r="A614" s="1">
        <v>44136</v>
      </c>
      <c r="B614">
        <v>13.4</v>
      </c>
    </row>
    <row r="615" spans="1:2" x14ac:dyDescent="0.2">
      <c r="A615" s="1">
        <v>44105</v>
      </c>
      <c r="B615">
        <v>12.53</v>
      </c>
    </row>
    <row r="616" spans="1:2" x14ac:dyDescent="0.2">
      <c r="A616" s="1">
        <v>44075</v>
      </c>
      <c r="B616">
        <v>13.53</v>
      </c>
    </row>
    <row r="617" spans="1:2" x14ac:dyDescent="0.2">
      <c r="A617" s="1">
        <v>44044</v>
      </c>
      <c r="B617">
        <v>13.37</v>
      </c>
    </row>
    <row r="618" spans="1:2" x14ac:dyDescent="0.2">
      <c r="A618" s="1">
        <v>44013</v>
      </c>
      <c r="B618">
        <v>10.61</v>
      </c>
    </row>
    <row r="619" spans="1:2" x14ac:dyDescent="0.2">
      <c r="A619" s="1">
        <v>43983</v>
      </c>
      <c r="B619">
        <v>9.5</v>
      </c>
    </row>
    <row r="620" spans="1:2" x14ac:dyDescent="0.2">
      <c r="A620" s="1">
        <v>43952</v>
      </c>
      <c r="B620">
        <v>8.8800000000000008</v>
      </c>
    </row>
    <row r="621" spans="1:2" x14ac:dyDescent="0.2">
      <c r="A621" s="1">
        <v>43922</v>
      </c>
      <c r="B621">
        <v>7.31</v>
      </c>
    </row>
    <row r="622" spans="1:2" x14ac:dyDescent="0.2">
      <c r="A622" s="1">
        <v>43891</v>
      </c>
      <c r="B622">
        <v>6.59</v>
      </c>
    </row>
    <row r="623" spans="1:2" x14ac:dyDescent="0.2">
      <c r="A623" s="1">
        <v>43862</v>
      </c>
      <c r="B623">
        <v>6.75</v>
      </c>
    </row>
    <row r="624" spans="1:2" x14ac:dyDescent="0.2">
      <c r="A624" s="1">
        <v>43831</v>
      </c>
      <c r="B624">
        <v>5.91</v>
      </c>
    </row>
    <row r="625" spans="1:2" x14ac:dyDescent="0.2">
      <c r="A625" s="1">
        <v>43800</v>
      </c>
      <c r="B625">
        <v>5.88</v>
      </c>
    </row>
    <row r="626" spans="1:2" x14ac:dyDescent="0.2">
      <c r="A626" s="1">
        <v>43770</v>
      </c>
      <c r="B626">
        <v>5.42</v>
      </c>
    </row>
    <row r="627" spans="1:2" x14ac:dyDescent="0.2">
      <c r="A627" s="1">
        <v>43739</v>
      </c>
      <c r="B627">
        <v>5.03</v>
      </c>
    </row>
    <row r="628" spans="1:2" x14ac:dyDescent="0.2">
      <c r="A628" s="1">
        <v>43709</v>
      </c>
      <c r="B628">
        <v>4.3499999999999996</v>
      </c>
    </row>
    <row r="629" spans="1:2" x14ac:dyDescent="0.2">
      <c r="A629" s="1">
        <v>43678</v>
      </c>
      <c r="B629">
        <v>4.1900000000000004</v>
      </c>
    </row>
    <row r="630" spans="1:2" x14ac:dyDescent="0.2">
      <c r="A630" s="1">
        <v>43647</v>
      </c>
      <c r="B630">
        <v>4.22</v>
      </c>
    </row>
    <row r="631" spans="1:2" x14ac:dyDescent="0.2">
      <c r="A631" s="1">
        <v>43617</v>
      </c>
      <c r="B631">
        <v>4.1100000000000003</v>
      </c>
    </row>
    <row r="632" spans="1:2" x14ac:dyDescent="0.2">
      <c r="A632" s="1">
        <v>43586</v>
      </c>
      <c r="B632">
        <v>3.39</v>
      </c>
    </row>
    <row r="633" spans="1:2" x14ac:dyDescent="0.2">
      <c r="A633" s="1">
        <v>43556</v>
      </c>
      <c r="B633">
        <v>4.53</v>
      </c>
    </row>
    <row r="634" spans="1:2" x14ac:dyDescent="0.2">
      <c r="A634" s="1">
        <v>43525</v>
      </c>
      <c r="B634">
        <v>4.49</v>
      </c>
    </row>
    <row r="635" spans="1:2" x14ac:dyDescent="0.2">
      <c r="A635" s="1">
        <v>43497</v>
      </c>
      <c r="B635">
        <v>3.86</v>
      </c>
    </row>
    <row r="636" spans="1:2" x14ac:dyDescent="0.2">
      <c r="A636" s="1">
        <v>43466</v>
      </c>
      <c r="B636">
        <v>3.59</v>
      </c>
    </row>
    <row r="637" spans="1:2" x14ac:dyDescent="0.2">
      <c r="A637" s="1">
        <v>43435</v>
      </c>
      <c r="B637">
        <v>3.34</v>
      </c>
    </row>
    <row r="638" spans="1:2" x14ac:dyDescent="0.2">
      <c r="A638" s="1">
        <v>43405</v>
      </c>
      <c r="B638">
        <v>4.09</v>
      </c>
    </row>
    <row r="639" spans="1:2" x14ac:dyDescent="0.2">
      <c r="A639" s="1">
        <v>43374</v>
      </c>
      <c r="B639">
        <v>5.27</v>
      </c>
    </row>
    <row r="640" spans="1:2" x14ac:dyDescent="0.2">
      <c r="A640" s="1">
        <v>43344</v>
      </c>
      <c r="B640">
        <v>7.03</v>
      </c>
    </row>
    <row r="641" spans="1:2" x14ac:dyDescent="0.2">
      <c r="A641" s="1">
        <v>43313</v>
      </c>
      <c r="B641">
        <v>7.02</v>
      </c>
    </row>
    <row r="642" spans="1:2" x14ac:dyDescent="0.2">
      <c r="A642" s="1">
        <v>43282</v>
      </c>
      <c r="B642">
        <v>6.12</v>
      </c>
    </row>
    <row r="643" spans="1:2" x14ac:dyDescent="0.2">
      <c r="A643" s="1">
        <v>43252</v>
      </c>
      <c r="B643">
        <v>5.92</v>
      </c>
    </row>
    <row r="644" spans="1:2" x14ac:dyDescent="0.2">
      <c r="A644" s="1">
        <v>43221</v>
      </c>
      <c r="B644">
        <v>6.3</v>
      </c>
    </row>
    <row r="645" spans="1:2" x14ac:dyDescent="0.2">
      <c r="A645" s="1">
        <v>43191</v>
      </c>
      <c r="B645">
        <v>5.62</v>
      </c>
    </row>
    <row r="646" spans="1:2" x14ac:dyDescent="0.2">
      <c r="A646" s="1">
        <v>43160</v>
      </c>
      <c r="B646">
        <v>5.79</v>
      </c>
    </row>
    <row r="647" spans="1:2" x14ac:dyDescent="0.2">
      <c r="A647" s="1">
        <v>43132</v>
      </c>
      <c r="B647">
        <v>6.05</v>
      </c>
    </row>
    <row r="648" spans="1:2" x14ac:dyDescent="0.2">
      <c r="A648" s="1">
        <v>43101</v>
      </c>
      <c r="B648">
        <v>6.14</v>
      </c>
    </row>
    <row r="649" spans="1:2" x14ac:dyDescent="0.2">
      <c r="A649" s="1">
        <v>43070</v>
      </c>
      <c r="B649">
        <v>4.84</v>
      </c>
    </row>
    <row r="650" spans="1:2" x14ac:dyDescent="0.2">
      <c r="A650" s="1">
        <v>43040</v>
      </c>
      <c r="B650">
        <v>5.0199999999999996</v>
      </c>
    </row>
    <row r="651" spans="1:2" x14ac:dyDescent="0.2">
      <c r="A651" s="1">
        <v>43009</v>
      </c>
      <c r="B651">
        <v>5.17</v>
      </c>
    </row>
    <row r="652" spans="1:2" x14ac:dyDescent="0.2">
      <c r="A652" s="1">
        <v>42979</v>
      </c>
      <c r="B652">
        <v>4.47</v>
      </c>
    </row>
    <row r="653" spans="1:2" x14ac:dyDescent="0.2">
      <c r="A653" s="1">
        <v>42948</v>
      </c>
      <c r="B653">
        <v>4.24</v>
      </c>
    </row>
    <row r="654" spans="1:2" x14ac:dyDescent="0.2">
      <c r="A654" s="1">
        <v>42917</v>
      </c>
      <c r="B654">
        <v>4.0599999999999996</v>
      </c>
    </row>
    <row r="655" spans="1:2" x14ac:dyDescent="0.2">
      <c r="A655" s="1">
        <v>42887</v>
      </c>
      <c r="B655">
        <v>3.61</v>
      </c>
    </row>
    <row r="656" spans="1:2" x14ac:dyDescent="0.2">
      <c r="A656" s="1">
        <v>42856</v>
      </c>
      <c r="B656">
        <v>3.61</v>
      </c>
    </row>
    <row r="657" spans="1:2" x14ac:dyDescent="0.2">
      <c r="A657" s="1">
        <v>42826</v>
      </c>
      <c r="B657">
        <v>2.61</v>
      </c>
    </row>
    <row r="658" spans="1:2" x14ac:dyDescent="0.2">
      <c r="A658" s="1">
        <v>42795</v>
      </c>
      <c r="B658">
        <v>2.72</v>
      </c>
    </row>
    <row r="659" spans="1:2" x14ac:dyDescent="0.2">
      <c r="A659" s="1">
        <v>42767</v>
      </c>
      <c r="B659">
        <v>2.54</v>
      </c>
    </row>
    <row r="660" spans="1:2" x14ac:dyDescent="0.2">
      <c r="A660" s="1">
        <v>42736</v>
      </c>
      <c r="B660">
        <v>2.73</v>
      </c>
    </row>
    <row r="661" spans="1:2" x14ac:dyDescent="0.2">
      <c r="A661" s="1">
        <v>42705</v>
      </c>
      <c r="B661">
        <v>2.67</v>
      </c>
    </row>
    <row r="662" spans="1:2" x14ac:dyDescent="0.2">
      <c r="A662" s="1">
        <v>42675</v>
      </c>
      <c r="B662">
        <v>2.31</v>
      </c>
    </row>
    <row r="663" spans="1:2" x14ac:dyDescent="0.2">
      <c r="A663" s="1">
        <v>42644</v>
      </c>
      <c r="B663">
        <v>1.78</v>
      </c>
    </row>
    <row r="664" spans="1:2" x14ac:dyDescent="0.2">
      <c r="A664" s="1">
        <v>42614</v>
      </c>
      <c r="B664">
        <v>1.71</v>
      </c>
    </row>
    <row r="665" spans="1:2" x14ac:dyDescent="0.2">
      <c r="A665" s="1">
        <v>42583</v>
      </c>
      <c r="B665">
        <v>1.53</v>
      </c>
    </row>
    <row r="666" spans="1:2" x14ac:dyDescent="0.2">
      <c r="A666" s="1">
        <v>42552</v>
      </c>
      <c r="B666">
        <v>1.43</v>
      </c>
    </row>
    <row r="667" spans="1:2" x14ac:dyDescent="0.2">
      <c r="A667" s="1">
        <v>42522</v>
      </c>
      <c r="B667">
        <v>1.18</v>
      </c>
    </row>
    <row r="668" spans="1:2" x14ac:dyDescent="0.2">
      <c r="A668" s="1">
        <v>42491</v>
      </c>
      <c r="B668">
        <v>1.17</v>
      </c>
    </row>
    <row r="669" spans="1:2" x14ac:dyDescent="0.2">
      <c r="A669" s="1">
        <v>42461</v>
      </c>
      <c r="B669">
        <v>0.89</v>
      </c>
    </row>
    <row r="670" spans="1:2" x14ac:dyDescent="0.2">
      <c r="A670" s="1">
        <v>42430</v>
      </c>
      <c r="B670">
        <v>0.89</v>
      </c>
    </row>
    <row r="671" spans="1:2" x14ac:dyDescent="0.2">
      <c r="A671" s="1">
        <v>42401</v>
      </c>
      <c r="B671">
        <v>0.78</v>
      </c>
    </row>
    <row r="672" spans="1:2" x14ac:dyDescent="0.2">
      <c r="A672" s="1">
        <v>42370</v>
      </c>
      <c r="B672">
        <v>0.73</v>
      </c>
    </row>
    <row r="673" spans="1:3" x14ac:dyDescent="0.2">
      <c r="A673" s="1">
        <v>42339</v>
      </c>
      <c r="B673">
        <v>0.82</v>
      </c>
    </row>
    <row r="674" spans="1:3" x14ac:dyDescent="0.2">
      <c r="A674" s="1">
        <v>42309</v>
      </c>
      <c r="B674">
        <v>0.79</v>
      </c>
    </row>
    <row r="675" spans="1:3" x14ac:dyDescent="0.2">
      <c r="A675" s="1">
        <v>42278</v>
      </c>
      <c r="B675">
        <v>0.71</v>
      </c>
    </row>
    <row r="676" spans="1:3" x14ac:dyDescent="0.2">
      <c r="A676" s="1">
        <v>42248</v>
      </c>
      <c r="B676">
        <v>0.62</v>
      </c>
    </row>
    <row r="677" spans="1:3" x14ac:dyDescent="0.2">
      <c r="A677" s="1">
        <v>42217</v>
      </c>
      <c r="B677">
        <v>0.56000000000000005</v>
      </c>
    </row>
    <row r="678" spans="1:3" x14ac:dyDescent="0.2">
      <c r="A678" s="1">
        <v>42186</v>
      </c>
      <c r="B678">
        <v>0.5</v>
      </c>
    </row>
    <row r="679" spans="1:3" x14ac:dyDescent="0.2">
      <c r="A679" s="1">
        <v>42156</v>
      </c>
      <c r="B679">
        <v>0.5</v>
      </c>
    </row>
    <row r="680" spans="1:3" x14ac:dyDescent="0.2">
      <c r="A680" s="1">
        <v>42125</v>
      </c>
      <c r="B680">
        <v>0.55000000000000004</v>
      </c>
    </row>
    <row r="681" spans="1:3" x14ac:dyDescent="0.2">
      <c r="A681" s="1">
        <v>42095</v>
      </c>
      <c r="B681">
        <v>0.55000000000000004</v>
      </c>
    </row>
    <row r="682" spans="1:3" x14ac:dyDescent="0.2">
      <c r="A682" s="1">
        <v>42064</v>
      </c>
      <c r="B682">
        <v>0.52</v>
      </c>
    </row>
    <row r="683" spans="1:3" x14ac:dyDescent="0.2">
      <c r="A683" s="1">
        <v>42036</v>
      </c>
      <c r="B683">
        <v>0.55000000000000004</v>
      </c>
    </row>
    <row r="684" spans="1:3" x14ac:dyDescent="0.2">
      <c r="A684" s="1">
        <v>42005</v>
      </c>
      <c r="B684">
        <v>0.48</v>
      </c>
    </row>
    <row r="687" spans="1:3" ht="15" x14ac:dyDescent="0.2">
      <c r="A687" s="105" t="s">
        <v>652</v>
      </c>
      <c r="B687" s="105"/>
    </row>
    <row r="688" spans="1:3" x14ac:dyDescent="0.2">
      <c r="A688" t="s">
        <v>0</v>
      </c>
      <c r="B688" t="s">
        <v>652</v>
      </c>
      <c r="C688" t="s">
        <v>1305</v>
      </c>
    </row>
    <row r="689" spans="1:5" x14ac:dyDescent="0.2">
      <c r="A689" s="1">
        <v>46023</v>
      </c>
      <c r="B689">
        <v>150.15</v>
      </c>
      <c r="C689" s="1">
        <f t="shared" ref="C689:C720" si="0">DATE(YEAR(A689),DAY(A689),MONTH(A689))</f>
        <v>46023</v>
      </c>
      <c r="E689" s="1"/>
    </row>
    <row r="690" spans="1:5" x14ac:dyDescent="0.2">
      <c r="A690" s="1">
        <v>45992</v>
      </c>
      <c r="B690">
        <v>143.31</v>
      </c>
      <c r="C690" s="1">
        <f t="shared" si="0"/>
        <v>45669</v>
      </c>
      <c r="E690">
        <f>MONTH(PG[[#This Row],[Date]])</f>
        <v>12</v>
      </c>
    </row>
    <row r="691" spans="1:5" x14ac:dyDescent="0.2">
      <c r="A691" s="1">
        <v>45962</v>
      </c>
      <c r="B691">
        <v>148.16</v>
      </c>
      <c r="C691" s="1">
        <f t="shared" si="0"/>
        <v>45668</v>
      </c>
      <c r="E691" s="1"/>
    </row>
    <row r="692" spans="1:5" x14ac:dyDescent="0.2">
      <c r="A692" s="1">
        <v>45931</v>
      </c>
      <c r="B692">
        <v>150.37</v>
      </c>
      <c r="C692" s="1">
        <f t="shared" si="0"/>
        <v>45667</v>
      </c>
    </row>
    <row r="693" spans="1:5" x14ac:dyDescent="0.2">
      <c r="A693" s="1">
        <v>45901</v>
      </c>
      <c r="B693">
        <v>153.65</v>
      </c>
      <c r="C693" s="1">
        <f t="shared" si="0"/>
        <v>45666</v>
      </c>
    </row>
    <row r="694" spans="1:5" x14ac:dyDescent="0.2">
      <c r="A694" s="1">
        <v>45870</v>
      </c>
      <c r="B694">
        <v>157.04</v>
      </c>
      <c r="C694" s="1">
        <f t="shared" si="0"/>
        <v>45665</v>
      </c>
    </row>
    <row r="695" spans="1:5" x14ac:dyDescent="0.2">
      <c r="A695" s="1">
        <v>45839</v>
      </c>
      <c r="B695">
        <v>150.47</v>
      </c>
      <c r="C695" s="1">
        <f t="shared" si="0"/>
        <v>45664</v>
      </c>
    </row>
    <row r="696" spans="1:5" x14ac:dyDescent="0.2">
      <c r="A696" s="1">
        <v>45809</v>
      </c>
      <c r="B696">
        <v>159.32</v>
      </c>
      <c r="C696" s="1">
        <f t="shared" si="0"/>
        <v>45663</v>
      </c>
    </row>
    <row r="697" spans="1:5" x14ac:dyDescent="0.2">
      <c r="A697" s="1">
        <v>45778</v>
      </c>
      <c r="B697">
        <v>169.89</v>
      </c>
      <c r="C697" s="1">
        <f t="shared" si="0"/>
        <v>45662</v>
      </c>
    </row>
    <row r="698" spans="1:5" x14ac:dyDescent="0.2">
      <c r="A698" s="1">
        <v>45748</v>
      </c>
      <c r="B698">
        <v>162.57</v>
      </c>
      <c r="C698" s="1">
        <f t="shared" si="0"/>
        <v>45661</v>
      </c>
    </row>
    <row r="699" spans="1:5" x14ac:dyDescent="0.2">
      <c r="A699" s="1">
        <v>45717</v>
      </c>
      <c r="B699">
        <v>170.42</v>
      </c>
      <c r="C699" s="1">
        <f t="shared" si="0"/>
        <v>45660</v>
      </c>
    </row>
    <row r="700" spans="1:5" x14ac:dyDescent="0.2">
      <c r="A700" s="1">
        <v>45689</v>
      </c>
      <c r="B700">
        <v>173.84</v>
      </c>
      <c r="C700" s="1">
        <f t="shared" si="0"/>
        <v>45659</v>
      </c>
    </row>
    <row r="701" spans="1:5" x14ac:dyDescent="0.2">
      <c r="A701" s="1">
        <v>45658</v>
      </c>
      <c r="B701">
        <v>165.99</v>
      </c>
      <c r="C701" s="1">
        <f t="shared" si="0"/>
        <v>45658</v>
      </c>
    </row>
    <row r="702" spans="1:5" x14ac:dyDescent="0.2">
      <c r="A702" s="1">
        <v>45627</v>
      </c>
      <c r="B702">
        <v>167.65</v>
      </c>
      <c r="C702" s="1">
        <f t="shared" si="0"/>
        <v>45303</v>
      </c>
    </row>
    <row r="703" spans="1:5" x14ac:dyDescent="0.2">
      <c r="A703" s="1">
        <v>45597</v>
      </c>
      <c r="B703">
        <v>179.26</v>
      </c>
      <c r="C703" s="1">
        <f t="shared" si="0"/>
        <v>45302</v>
      </c>
    </row>
    <row r="704" spans="1:5" x14ac:dyDescent="0.2">
      <c r="A704" s="1">
        <v>45566</v>
      </c>
      <c r="B704">
        <v>165.18</v>
      </c>
      <c r="C704" s="1">
        <f t="shared" si="0"/>
        <v>45301</v>
      </c>
    </row>
    <row r="705" spans="1:3" x14ac:dyDescent="0.2">
      <c r="A705" s="1">
        <v>45536</v>
      </c>
      <c r="B705">
        <v>173.2</v>
      </c>
      <c r="C705" s="1">
        <f t="shared" si="0"/>
        <v>45300</v>
      </c>
    </row>
    <row r="706" spans="1:3" x14ac:dyDescent="0.2">
      <c r="A706" s="1">
        <v>45505</v>
      </c>
      <c r="B706">
        <v>171.54</v>
      </c>
      <c r="C706" s="1">
        <f t="shared" si="0"/>
        <v>45299</v>
      </c>
    </row>
    <row r="707" spans="1:3" x14ac:dyDescent="0.2">
      <c r="A707" s="1">
        <v>45474</v>
      </c>
      <c r="B707">
        <v>160.76</v>
      </c>
      <c r="C707" s="1">
        <f t="shared" si="0"/>
        <v>45298</v>
      </c>
    </row>
    <row r="708" spans="1:3" x14ac:dyDescent="0.2">
      <c r="A708" s="1">
        <v>45444</v>
      </c>
      <c r="B708">
        <v>164.92</v>
      </c>
      <c r="C708" s="1">
        <f t="shared" si="0"/>
        <v>45297</v>
      </c>
    </row>
    <row r="709" spans="1:3" x14ac:dyDescent="0.2">
      <c r="A709" s="1">
        <v>45413</v>
      </c>
      <c r="B709">
        <v>164.54</v>
      </c>
      <c r="C709" s="1">
        <f t="shared" si="0"/>
        <v>45296</v>
      </c>
    </row>
    <row r="710" spans="1:3" x14ac:dyDescent="0.2">
      <c r="A710" s="1">
        <v>45383</v>
      </c>
      <c r="B710">
        <v>163.19999999999999</v>
      </c>
      <c r="C710" s="1">
        <f t="shared" si="0"/>
        <v>45295</v>
      </c>
    </row>
    <row r="711" spans="1:3" x14ac:dyDescent="0.2">
      <c r="A711" s="1">
        <v>45352</v>
      </c>
      <c r="B711">
        <v>162.25</v>
      </c>
      <c r="C711" s="1">
        <f t="shared" si="0"/>
        <v>45294</v>
      </c>
    </row>
    <row r="712" spans="1:3" x14ac:dyDescent="0.2">
      <c r="A712" s="1">
        <v>45323</v>
      </c>
      <c r="B712">
        <v>158.94</v>
      </c>
      <c r="C712" s="1">
        <f t="shared" si="0"/>
        <v>45293</v>
      </c>
    </row>
    <row r="713" spans="1:3" x14ac:dyDescent="0.2">
      <c r="A713" s="1">
        <v>45292</v>
      </c>
      <c r="B713">
        <v>157.13999999999999</v>
      </c>
      <c r="C713" s="1">
        <f t="shared" si="0"/>
        <v>45292</v>
      </c>
    </row>
    <row r="714" spans="1:3" x14ac:dyDescent="0.2">
      <c r="A714" s="1">
        <v>45261</v>
      </c>
      <c r="B714">
        <v>146.54</v>
      </c>
      <c r="C714" s="1">
        <f t="shared" si="0"/>
        <v>44938</v>
      </c>
    </row>
    <row r="715" spans="1:3" x14ac:dyDescent="0.2">
      <c r="A715" s="1">
        <v>45231</v>
      </c>
      <c r="B715">
        <v>153.52000000000001</v>
      </c>
      <c r="C715" s="1">
        <f t="shared" si="0"/>
        <v>44937</v>
      </c>
    </row>
    <row r="716" spans="1:3" x14ac:dyDescent="0.2">
      <c r="A716" s="1">
        <v>45200</v>
      </c>
      <c r="B716">
        <v>150.03</v>
      </c>
      <c r="C716" s="1">
        <f t="shared" si="0"/>
        <v>44936</v>
      </c>
    </row>
    <row r="717" spans="1:3" x14ac:dyDescent="0.2">
      <c r="A717" s="1">
        <v>45170</v>
      </c>
      <c r="B717">
        <v>145.86000000000001</v>
      </c>
      <c r="C717" s="1">
        <f t="shared" si="0"/>
        <v>44935</v>
      </c>
    </row>
    <row r="718" spans="1:3" x14ac:dyDescent="0.2">
      <c r="A718" s="1">
        <v>45139</v>
      </c>
      <c r="B718">
        <v>154.34</v>
      </c>
      <c r="C718" s="1">
        <f t="shared" si="0"/>
        <v>44934</v>
      </c>
    </row>
    <row r="719" spans="1:3" x14ac:dyDescent="0.2">
      <c r="A719" s="1">
        <v>45108</v>
      </c>
      <c r="B719">
        <v>156.30000000000001</v>
      </c>
      <c r="C719" s="1">
        <f t="shared" si="0"/>
        <v>44933</v>
      </c>
    </row>
    <row r="720" spans="1:3" x14ac:dyDescent="0.2">
      <c r="A720" s="1">
        <v>45078</v>
      </c>
      <c r="B720">
        <v>151.74</v>
      </c>
      <c r="C720" s="1">
        <f t="shared" si="0"/>
        <v>44932</v>
      </c>
    </row>
    <row r="721" spans="1:3" x14ac:dyDescent="0.2">
      <c r="A721" s="1">
        <v>45047</v>
      </c>
      <c r="B721">
        <v>142.5</v>
      </c>
      <c r="C721" s="1">
        <f t="shared" ref="C721:C752" si="1">DATE(YEAR(A721),DAY(A721),MONTH(A721))</f>
        <v>44931</v>
      </c>
    </row>
    <row r="722" spans="1:3" x14ac:dyDescent="0.2">
      <c r="A722" s="1">
        <v>45017</v>
      </c>
      <c r="B722">
        <v>156.38</v>
      </c>
      <c r="C722" s="1">
        <f t="shared" si="1"/>
        <v>44930</v>
      </c>
    </row>
    <row r="723" spans="1:3" x14ac:dyDescent="0.2">
      <c r="A723" s="1">
        <v>44986</v>
      </c>
      <c r="B723">
        <v>148.69</v>
      </c>
      <c r="C723" s="1">
        <f t="shared" si="1"/>
        <v>44929</v>
      </c>
    </row>
    <row r="724" spans="1:3" x14ac:dyDescent="0.2">
      <c r="A724" s="1">
        <v>44958</v>
      </c>
      <c r="B724">
        <v>137.56</v>
      </c>
      <c r="C724" s="1">
        <f t="shared" si="1"/>
        <v>44928</v>
      </c>
    </row>
    <row r="725" spans="1:3" x14ac:dyDescent="0.2">
      <c r="A725" s="1">
        <v>44927</v>
      </c>
      <c r="B725">
        <v>142.38</v>
      </c>
      <c r="C725" s="1">
        <f t="shared" si="1"/>
        <v>44927</v>
      </c>
    </row>
    <row r="726" spans="1:3" x14ac:dyDescent="0.2">
      <c r="A726" s="1">
        <v>44896</v>
      </c>
      <c r="B726">
        <v>151.56</v>
      </c>
      <c r="C726" s="1">
        <f t="shared" si="1"/>
        <v>44573</v>
      </c>
    </row>
    <row r="727" spans="1:3" x14ac:dyDescent="0.2">
      <c r="A727" s="1">
        <v>44866</v>
      </c>
      <c r="B727">
        <v>149.16</v>
      </c>
      <c r="C727" s="1">
        <f t="shared" si="1"/>
        <v>44572</v>
      </c>
    </row>
    <row r="728" spans="1:3" x14ac:dyDescent="0.2">
      <c r="A728" s="1">
        <v>44835</v>
      </c>
      <c r="B728">
        <v>134.66999999999999</v>
      </c>
      <c r="C728" s="1">
        <f t="shared" si="1"/>
        <v>44571</v>
      </c>
    </row>
    <row r="729" spans="1:3" x14ac:dyDescent="0.2">
      <c r="A729" s="1">
        <v>44805</v>
      </c>
      <c r="B729">
        <v>126.25</v>
      </c>
      <c r="C729" s="1">
        <f t="shared" si="1"/>
        <v>44570</v>
      </c>
    </row>
    <row r="730" spans="1:3" x14ac:dyDescent="0.2">
      <c r="A730" s="1">
        <v>44774</v>
      </c>
      <c r="B730">
        <v>137.94</v>
      </c>
      <c r="C730" s="1">
        <f t="shared" si="1"/>
        <v>44569</v>
      </c>
    </row>
    <row r="731" spans="1:3" x14ac:dyDescent="0.2">
      <c r="A731" s="1">
        <v>44743</v>
      </c>
      <c r="B731">
        <v>138.91</v>
      </c>
      <c r="C731" s="1">
        <f t="shared" si="1"/>
        <v>44568</v>
      </c>
    </row>
    <row r="732" spans="1:3" x14ac:dyDescent="0.2">
      <c r="A732" s="1">
        <v>44713</v>
      </c>
      <c r="B732">
        <v>143.79</v>
      </c>
      <c r="C732" s="1">
        <f t="shared" si="1"/>
        <v>44567</v>
      </c>
    </row>
    <row r="733" spans="1:3" x14ac:dyDescent="0.2">
      <c r="A733" s="1">
        <v>44682</v>
      </c>
      <c r="B733">
        <v>147.88</v>
      </c>
      <c r="C733" s="1">
        <f t="shared" si="1"/>
        <v>44566</v>
      </c>
    </row>
    <row r="734" spans="1:3" x14ac:dyDescent="0.2">
      <c r="A734" s="1">
        <v>44652</v>
      </c>
      <c r="B734">
        <v>160.55000000000001</v>
      </c>
      <c r="C734" s="1">
        <f t="shared" si="1"/>
        <v>44565</v>
      </c>
    </row>
    <row r="735" spans="1:3" x14ac:dyDescent="0.2">
      <c r="A735" s="1">
        <v>44621</v>
      </c>
      <c r="B735">
        <v>152.80000000000001</v>
      </c>
      <c r="C735" s="1">
        <f t="shared" si="1"/>
        <v>44564</v>
      </c>
    </row>
    <row r="736" spans="1:3" x14ac:dyDescent="0.2">
      <c r="A736" s="1">
        <v>44593</v>
      </c>
      <c r="B736">
        <v>155.88999999999999</v>
      </c>
      <c r="C736" s="1">
        <f t="shared" si="1"/>
        <v>44563</v>
      </c>
    </row>
    <row r="737" spans="1:3" x14ac:dyDescent="0.2">
      <c r="A737" s="1">
        <v>44562</v>
      </c>
      <c r="B737">
        <v>160.44999999999999</v>
      </c>
      <c r="C737" s="1">
        <f t="shared" si="1"/>
        <v>44562</v>
      </c>
    </row>
    <row r="738" spans="1:3" x14ac:dyDescent="0.2">
      <c r="A738" s="1">
        <v>44531</v>
      </c>
      <c r="B738">
        <v>163.58000000000001</v>
      </c>
      <c r="C738" s="1">
        <f t="shared" si="1"/>
        <v>44208</v>
      </c>
    </row>
    <row r="739" spans="1:3" x14ac:dyDescent="0.2">
      <c r="A739" s="1">
        <v>44501</v>
      </c>
      <c r="B739">
        <v>144.58000000000001</v>
      </c>
      <c r="C739" s="1">
        <f t="shared" si="1"/>
        <v>44207</v>
      </c>
    </row>
    <row r="740" spans="1:3" x14ac:dyDescent="0.2">
      <c r="A740" s="1">
        <v>44470</v>
      </c>
      <c r="B740">
        <v>142.99</v>
      </c>
      <c r="C740" s="1">
        <f t="shared" si="1"/>
        <v>44206</v>
      </c>
    </row>
    <row r="741" spans="1:3" x14ac:dyDescent="0.2">
      <c r="A741" s="1">
        <v>44440</v>
      </c>
      <c r="B741">
        <v>139.80000000000001</v>
      </c>
      <c r="C741" s="1">
        <f t="shared" si="1"/>
        <v>44205</v>
      </c>
    </row>
    <row r="742" spans="1:3" x14ac:dyDescent="0.2">
      <c r="A742" s="1">
        <v>44409</v>
      </c>
      <c r="B742">
        <v>142.38999999999999</v>
      </c>
      <c r="C742" s="1">
        <f t="shared" si="1"/>
        <v>44204</v>
      </c>
    </row>
    <row r="743" spans="1:3" x14ac:dyDescent="0.2">
      <c r="A743" s="1">
        <v>44378</v>
      </c>
      <c r="B743">
        <v>142.22999999999999</v>
      </c>
      <c r="C743" s="1">
        <f t="shared" si="1"/>
        <v>44203</v>
      </c>
    </row>
    <row r="744" spans="1:3" x14ac:dyDescent="0.2">
      <c r="A744" s="1">
        <v>44348</v>
      </c>
      <c r="B744">
        <v>134.93</v>
      </c>
      <c r="C744" s="1">
        <f t="shared" si="1"/>
        <v>44202</v>
      </c>
    </row>
    <row r="745" spans="1:3" x14ac:dyDescent="0.2">
      <c r="A745" s="1">
        <v>44317</v>
      </c>
      <c r="B745">
        <v>134.85</v>
      </c>
      <c r="C745" s="1">
        <f t="shared" si="1"/>
        <v>44201</v>
      </c>
    </row>
    <row r="746" spans="1:3" x14ac:dyDescent="0.2">
      <c r="A746" s="1">
        <v>44287</v>
      </c>
      <c r="B746">
        <v>133.41999999999999</v>
      </c>
      <c r="C746" s="1">
        <f t="shared" si="1"/>
        <v>44200</v>
      </c>
    </row>
    <row r="747" spans="1:3" x14ac:dyDescent="0.2">
      <c r="A747" s="1">
        <v>44256</v>
      </c>
      <c r="B747">
        <v>135.43</v>
      </c>
      <c r="C747" s="1">
        <f t="shared" si="1"/>
        <v>44199</v>
      </c>
    </row>
    <row r="748" spans="1:3" x14ac:dyDescent="0.2">
      <c r="A748" s="1">
        <v>44228</v>
      </c>
      <c r="B748">
        <v>123.53</v>
      </c>
      <c r="C748" s="1">
        <f t="shared" si="1"/>
        <v>44198</v>
      </c>
    </row>
    <row r="749" spans="1:3" x14ac:dyDescent="0.2">
      <c r="A749" s="1">
        <v>44197</v>
      </c>
      <c r="B749">
        <v>128.21</v>
      </c>
      <c r="C749" s="1">
        <f t="shared" si="1"/>
        <v>44197</v>
      </c>
    </row>
    <row r="750" spans="1:3" x14ac:dyDescent="0.2">
      <c r="A750" s="1">
        <v>44166</v>
      </c>
      <c r="B750">
        <v>139.13999999999999</v>
      </c>
      <c r="C750" s="1">
        <f t="shared" si="1"/>
        <v>43842</v>
      </c>
    </row>
    <row r="751" spans="1:3" x14ac:dyDescent="0.2">
      <c r="A751" s="1">
        <v>44136</v>
      </c>
      <c r="B751">
        <v>138.87</v>
      </c>
      <c r="C751" s="1">
        <f t="shared" si="1"/>
        <v>43841</v>
      </c>
    </row>
    <row r="752" spans="1:3" x14ac:dyDescent="0.2">
      <c r="A752" s="1">
        <v>44105</v>
      </c>
      <c r="B752">
        <v>137.1</v>
      </c>
      <c r="C752" s="1">
        <f t="shared" si="1"/>
        <v>43840</v>
      </c>
    </row>
    <row r="753" spans="1:3" x14ac:dyDescent="0.2">
      <c r="A753" s="1">
        <v>44075</v>
      </c>
      <c r="B753">
        <v>138.99</v>
      </c>
      <c r="C753" s="1">
        <f t="shared" ref="C753:C784" si="2">DATE(YEAR(A753),DAY(A753),MONTH(A753))</f>
        <v>43839</v>
      </c>
    </row>
    <row r="754" spans="1:3" x14ac:dyDescent="0.2">
      <c r="A754" s="1">
        <v>44044</v>
      </c>
      <c r="B754">
        <v>138.33000000000001</v>
      </c>
      <c r="C754" s="1">
        <f t="shared" si="2"/>
        <v>43838</v>
      </c>
    </row>
    <row r="755" spans="1:3" x14ac:dyDescent="0.2">
      <c r="A755" s="1">
        <v>44013</v>
      </c>
      <c r="B755">
        <v>131.12</v>
      </c>
      <c r="C755" s="1">
        <f t="shared" si="2"/>
        <v>43837</v>
      </c>
    </row>
    <row r="756" spans="1:3" x14ac:dyDescent="0.2">
      <c r="A756" s="1">
        <v>43983</v>
      </c>
      <c r="B756">
        <v>119.57</v>
      </c>
      <c r="C756" s="1">
        <f t="shared" si="2"/>
        <v>43836</v>
      </c>
    </row>
    <row r="757" spans="1:3" x14ac:dyDescent="0.2">
      <c r="A757" s="1">
        <v>43952</v>
      </c>
      <c r="B757">
        <v>115.92</v>
      </c>
      <c r="C757" s="1">
        <f t="shared" si="2"/>
        <v>43835</v>
      </c>
    </row>
    <row r="758" spans="1:3" x14ac:dyDescent="0.2">
      <c r="A758" s="1">
        <v>43922</v>
      </c>
      <c r="B758">
        <v>117.87</v>
      </c>
      <c r="C758" s="1">
        <f t="shared" si="2"/>
        <v>43834</v>
      </c>
    </row>
    <row r="759" spans="1:3" x14ac:dyDescent="0.2">
      <c r="A759" s="1">
        <v>43891</v>
      </c>
      <c r="B759">
        <v>110</v>
      </c>
      <c r="C759" s="1">
        <f t="shared" si="2"/>
        <v>43833</v>
      </c>
    </row>
    <row r="760" spans="1:3" x14ac:dyDescent="0.2">
      <c r="A760" s="1">
        <v>43862</v>
      </c>
      <c r="B760">
        <v>113.23</v>
      </c>
      <c r="C760" s="1">
        <f t="shared" si="2"/>
        <v>43832</v>
      </c>
    </row>
    <row r="761" spans="1:3" x14ac:dyDescent="0.2">
      <c r="A761" s="1">
        <v>43831</v>
      </c>
      <c r="B761">
        <v>124.62</v>
      </c>
      <c r="C761" s="1">
        <f t="shared" si="2"/>
        <v>43831</v>
      </c>
    </row>
    <row r="762" spans="1:3" x14ac:dyDescent="0.2">
      <c r="A762" s="1">
        <v>43800</v>
      </c>
      <c r="B762">
        <v>124.9</v>
      </c>
      <c r="C762" s="1">
        <f t="shared" si="2"/>
        <v>43477</v>
      </c>
    </row>
    <row r="763" spans="1:3" x14ac:dyDescent="0.2">
      <c r="A763" s="1">
        <v>43770</v>
      </c>
      <c r="B763">
        <v>122.06</v>
      </c>
      <c r="C763" s="1">
        <f t="shared" si="2"/>
        <v>43476</v>
      </c>
    </row>
    <row r="764" spans="1:3" x14ac:dyDescent="0.2">
      <c r="A764" s="1">
        <v>43739</v>
      </c>
      <c r="B764">
        <v>124.51</v>
      </c>
      <c r="C764" s="1">
        <f t="shared" si="2"/>
        <v>43475</v>
      </c>
    </row>
    <row r="765" spans="1:3" x14ac:dyDescent="0.2">
      <c r="A765" s="1">
        <v>43709</v>
      </c>
      <c r="B765">
        <v>124.38</v>
      </c>
      <c r="C765" s="1">
        <f t="shared" si="2"/>
        <v>43474</v>
      </c>
    </row>
    <row r="766" spans="1:3" x14ac:dyDescent="0.2">
      <c r="A766" s="1">
        <v>43678</v>
      </c>
      <c r="B766">
        <v>120.23</v>
      </c>
      <c r="C766" s="1">
        <f t="shared" si="2"/>
        <v>43473</v>
      </c>
    </row>
    <row r="767" spans="1:3" x14ac:dyDescent="0.2">
      <c r="A767" s="1">
        <v>43647</v>
      </c>
      <c r="B767">
        <v>118.04</v>
      </c>
      <c r="C767" s="1">
        <f t="shared" si="2"/>
        <v>43472</v>
      </c>
    </row>
    <row r="768" spans="1:3" x14ac:dyDescent="0.2">
      <c r="A768" s="1">
        <v>43617</v>
      </c>
      <c r="B768">
        <v>109.65</v>
      </c>
      <c r="C768" s="1">
        <f t="shared" si="2"/>
        <v>43471</v>
      </c>
    </row>
    <row r="769" spans="1:3" x14ac:dyDescent="0.2">
      <c r="A769" s="1">
        <v>43586</v>
      </c>
      <c r="B769">
        <v>102.91</v>
      </c>
      <c r="C769" s="1">
        <f t="shared" si="2"/>
        <v>43470</v>
      </c>
    </row>
    <row r="770" spans="1:3" x14ac:dyDescent="0.2">
      <c r="A770" s="1">
        <v>43556</v>
      </c>
      <c r="B770">
        <v>106.48</v>
      </c>
      <c r="C770" s="1">
        <f t="shared" si="2"/>
        <v>43469</v>
      </c>
    </row>
    <row r="771" spans="1:3" x14ac:dyDescent="0.2">
      <c r="A771" s="1">
        <v>43525</v>
      </c>
      <c r="B771">
        <v>104.05</v>
      </c>
      <c r="C771" s="1">
        <f t="shared" si="2"/>
        <v>43468</v>
      </c>
    </row>
    <row r="772" spans="1:3" x14ac:dyDescent="0.2">
      <c r="A772" s="1">
        <v>43497</v>
      </c>
      <c r="B772">
        <v>98.55</v>
      </c>
      <c r="C772" s="1">
        <f t="shared" si="2"/>
        <v>43467</v>
      </c>
    </row>
    <row r="773" spans="1:3" x14ac:dyDescent="0.2">
      <c r="A773" s="1">
        <v>43466</v>
      </c>
      <c r="B773">
        <v>96.47</v>
      </c>
      <c r="C773" s="1">
        <f t="shared" si="2"/>
        <v>43466</v>
      </c>
    </row>
    <row r="774" spans="1:3" x14ac:dyDescent="0.2">
      <c r="A774" s="1">
        <v>43435</v>
      </c>
      <c r="B774">
        <v>91.92</v>
      </c>
      <c r="C774" s="1">
        <f t="shared" si="2"/>
        <v>43112</v>
      </c>
    </row>
    <row r="775" spans="1:3" x14ac:dyDescent="0.2">
      <c r="A775" s="1">
        <v>43405</v>
      </c>
      <c r="B775">
        <v>94.51</v>
      </c>
      <c r="C775" s="1">
        <f t="shared" si="2"/>
        <v>43111</v>
      </c>
    </row>
    <row r="776" spans="1:3" x14ac:dyDescent="0.2">
      <c r="A776" s="1">
        <v>43374</v>
      </c>
      <c r="B776">
        <v>88.68</v>
      </c>
      <c r="C776" s="1">
        <f t="shared" si="2"/>
        <v>43110</v>
      </c>
    </row>
    <row r="777" spans="1:3" x14ac:dyDescent="0.2">
      <c r="A777" s="1">
        <v>43344</v>
      </c>
      <c r="B777">
        <v>83.23</v>
      </c>
      <c r="C777" s="1">
        <f t="shared" si="2"/>
        <v>43109</v>
      </c>
    </row>
    <row r="778" spans="1:3" x14ac:dyDescent="0.2">
      <c r="A778" s="1">
        <v>43313</v>
      </c>
      <c r="B778">
        <v>82.95</v>
      </c>
      <c r="C778" s="1">
        <f t="shared" si="2"/>
        <v>43108</v>
      </c>
    </row>
    <row r="779" spans="1:3" x14ac:dyDescent="0.2">
      <c r="A779" s="1">
        <v>43282</v>
      </c>
      <c r="B779">
        <v>80.88</v>
      </c>
      <c r="C779" s="1">
        <f t="shared" si="2"/>
        <v>43107</v>
      </c>
    </row>
    <row r="780" spans="1:3" x14ac:dyDescent="0.2">
      <c r="A780" s="1">
        <v>43252</v>
      </c>
      <c r="B780">
        <v>78.06</v>
      </c>
      <c r="C780" s="1">
        <f t="shared" si="2"/>
        <v>43106</v>
      </c>
    </row>
    <row r="781" spans="1:3" x14ac:dyDescent="0.2">
      <c r="A781" s="1">
        <v>43221</v>
      </c>
      <c r="B781">
        <v>73.17</v>
      </c>
      <c r="C781" s="1">
        <f t="shared" si="2"/>
        <v>43105</v>
      </c>
    </row>
    <row r="782" spans="1:3" x14ac:dyDescent="0.2">
      <c r="A782" s="1">
        <v>43191</v>
      </c>
      <c r="B782">
        <v>72.34</v>
      </c>
      <c r="C782" s="1">
        <f t="shared" si="2"/>
        <v>43104</v>
      </c>
    </row>
    <row r="783" spans="1:3" x14ac:dyDescent="0.2">
      <c r="A783" s="1">
        <v>43160</v>
      </c>
      <c r="B783">
        <v>79.28</v>
      </c>
      <c r="C783" s="1">
        <f t="shared" si="2"/>
        <v>43103</v>
      </c>
    </row>
    <row r="784" spans="1:3" x14ac:dyDescent="0.2">
      <c r="A784" s="1">
        <v>43132</v>
      </c>
      <c r="B784">
        <v>78.52</v>
      </c>
      <c r="C784" s="1">
        <f t="shared" si="2"/>
        <v>43102</v>
      </c>
    </row>
    <row r="785" spans="1:3" x14ac:dyDescent="0.2">
      <c r="A785" s="1">
        <v>43101</v>
      </c>
      <c r="B785">
        <v>86.34</v>
      </c>
      <c r="C785" s="1">
        <f t="shared" ref="C785:C821" si="3">DATE(YEAR(A785),DAY(A785),MONTH(A785))</f>
        <v>43101</v>
      </c>
    </row>
    <row r="786" spans="1:3" x14ac:dyDescent="0.2">
      <c r="A786" s="1">
        <v>43070</v>
      </c>
      <c r="B786">
        <v>91.88</v>
      </c>
      <c r="C786" s="1">
        <f t="shared" si="3"/>
        <v>42747</v>
      </c>
    </row>
    <row r="787" spans="1:3" x14ac:dyDescent="0.2">
      <c r="A787" s="1">
        <v>43040</v>
      </c>
      <c r="B787">
        <v>89.99</v>
      </c>
      <c r="C787" s="1">
        <f t="shared" si="3"/>
        <v>42746</v>
      </c>
    </row>
    <row r="788" spans="1:3" x14ac:dyDescent="0.2">
      <c r="A788" s="1">
        <v>43009</v>
      </c>
      <c r="B788">
        <v>86.34</v>
      </c>
      <c r="C788" s="1">
        <f t="shared" si="3"/>
        <v>42745</v>
      </c>
    </row>
    <row r="789" spans="1:3" x14ac:dyDescent="0.2">
      <c r="A789" s="1">
        <v>42979</v>
      </c>
      <c r="B789">
        <v>90.98</v>
      </c>
      <c r="C789" s="1">
        <f t="shared" si="3"/>
        <v>42744</v>
      </c>
    </row>
    <row r="790" spans="1:3" x14ac:dyDescent="0.2">
      <c r="A790" s="1">
        <v>42948</v>
      </c>
      <c r="B790">
        <v>92.27</v>
      </c>
      <c r="C790" s="1">
        <f t="shared" si="3"/>
        <v>42743</v>
      </c>
    </row>
    <row r="791" spans="1:3" x14ac:dyDescent="0.2">
      <c r="A791" s="1">
        <v>42917</v>
      </c>
      <c r="B791">
        <v>90.82</v>
      </c>
      <c r="C791" s="1">
        <f t="shared" si="3"/>
        <v>42742</v>
      </c>
    </row>
    <row r="792" spans="1:3" x14ac:dyDescent="0.2">
      <c r="A792" s="1">
        <v>42887</v>
      </c>
      <c r="B792">
        <v>87.15</v>
      </c>
      <c r="C792" s="1">
        <f t="shared" si="3"/>
        <v>42741</v>
      </c>
    </row>
    <row r="793" spans="1:3" x14ac:dyDescent="0.2">
      <c r="A793" s="1">
        <v>42856</v>
      </c>
      <c r="B793">
        <v>88.09</v>
      </c>
      <c r="C793" s="1">
        <f t="shared" si="3"/>
        <v>42740</v>
      </c>
    </row>
    <row r="794" spans="1:3" x14ac:dyDescent="0.2">
      <c r="A794" s="1">
        <v>42826</v>
      </c>
      <c r="B794">
        <v>87.33</v>
      </c>
      <c r="C794" s="1">
        <f t="shared" si="3"/>
        <v>42739</v>
      </c>
    </row>
    <row r="795" spans="1:3" x14ac:dyDescent="0.2">
      <c r="A795" s="1">
        <v>42795</v>
      </c>
      <c r="B795">
        <v>89.85</v>
      </c>
      <c r="C795" s="1">
        <f t="shared" si="3"/>
        <v>42738</v>
      </c>
    </row>
    <row r="796" spans="1:3" x14ac:dyDescent="0.2">
      <c r="A796" s="1">
        <v>42767</v>
      </c>
      <c r="B796">
        <v>91.07</v>
      </c>
      <c r="C796" s="1">
        <f t="shared" si="3"/>
        <v>42737</v>
      </c>
    </row>
    <row r="797" spans="1:3" x14ac:dyDescent="0.2">
      <c r="A797" s="1">
        <v>42736</v>
      </c>
      <c r="B797">
        <v>87.6</v>
      </c>
      <c r="C797" s="1">
        <f t="shared" si="3"/>
        <v>42736</v>
      </c>
    </row>
    <row r="798" spans="1:3" x14ac:dyDescent="0.2">
      <c r="A798" s="1">
        <v>42705</v>
      </c>
      <c r="B798">
        <v>84.08</v>
      </c>
      <c r="C798" s="1">
        <f t="shared" si="3"/>
        <v>42381</v>
      </c>
    </row>
    <row r="799" spans="1:3" x14ac:dyDescent="0.2">
      <c r="A799" s="1">
        <v>42675</v>
      </c>
      <c r="B799">
        <v>82.46</v>
      </c>
      <c r="C799" s="1">
        <f t="shared" si="3"/>
        <v>42380</v>
      </c>
    </row>
    <row r="800" spans="1:3" x14ac:dyDescent="0.2">
      <c r="A800" s="1">
        <v>42644</v>
      </c>
      <c r="B800">
        <v>86.8</v>
      </c>
      <c r="C800" s="1">
        <f t="shared" si="3"/>
        <v>42379</v>
      </c>
    </row>
    <row r="801" spans="1:3" x14ac:dyDescent="0.2">
      <c r="A801" s="1">
        <v>42614</v>
      </c>
      <c r="B801">
        <v>89.75</v>
      </c>
      <c r="C801" s="1">
        <f t="shared" si="3"/>
        <v>42378</v>
      </c>
    </row>
    <row r="802" spans="1:3" x14ac:dyDescent="0.2">
      <c r="A802" s="1">
        <v>42583</v>
      </c>
      <c r="B802">
        <v>87.31</v>
      </c>
      <c r="C802" s="1">
        <f t="shared" si="3"/>
        <v>42377</v>
      </c>
    </row>
    <row r="803" spans="1:3" x14ac:dyDescent="0.2">
      <c r="A803" s="1">
        <v>42552</v>
      </c>
      <c r="B803">
        <v>85.59</v>
      </c>
      <c r="C803" s="1">
        <f t="shared" si="3"/>
        <v>42376</v>
      </c>
    </row>
    <row r="804" spans="1:3" x14ac:dyDescent="0.2">
      <c r="A804" s="1">
        <v>42522</v>
      </c>
      <c r="B804">
        <v>84.67</v>
      </c>
      <c r="C804" s="1">
        <f t="shared" si="3"/>
        <v>42375</v>
      </c>
    </row>
    <row r="805" spans="1:3" x14ac:dyDescent="0.2">
      <c r="A805" s="1">
        <v>42491</v>
      </c>
      <c r="B805">
        <v>81.040000000000006</v>
      </c>
      <c r="C805" s="1">
        <f t="shared" si="3"/>
        <v>42374</v>
      </c>
    </row>
    <row r="806" spans="1:3" x14ac:dyDescent="0.2">
      <c r="A806" s="1">
        <v>42461</v>
      </c>
      <c r="B806">
        <v>80.12</v>
      </c>
      <c r="C806" s="1">
        <f t="shared" si="3"/>
        <v>42373</v>
      </c>
    </row>
    <row r="807" spans="1:3" x14ac:dyDescent="0.2">
      <c r="A807" s="1">
        <v>42430</v>
      </c>
      <c r="B807">
        <v>82.31</v>
      </c>
      <c r="C807" s="1">
        <f t="shared" si="3"/>
        <v>42372</v>
      </c>
    </row>
    <row r="808" spans="1:3" x14ac:dyDescent="0.2">
      <c r="A808" s="1">
        <v>42401</v>
      </c>
      <c r="B808">
        <v>80.290000000000006</v>
      </c>
      <c r="C808" s="1">
        <f t="shared" si="3"/>
        <v>42371</v>
      </c>
    </row>
    <row r="809" spans="1:3" x14ac:dyDescent="0.2">
      <c r="A809" s="1">
        <v>42370</v>
      </c>
      <c r="B809">
        <v>81.69</v>
      </c>
      <c r="C809" s="1">
        <f t="shared" si="3"/>
        <v>42370</v>
      </c>
    </row>
    <row r="810" spans="1:3" x14ac:dyDescent="0.2">
      <c r="A810" s="1">
        <v>42339</v>
      </c>
      <c r="B810">
        <v>79.41</v>
      </c>
      <c r="C810" s="1">
        <f t="shared" si="3"/>
        <v>42016</v>
      </c>
    </row>
    <row r="811" spans="1:3" x14ac:dyDescent="0.2">
      <c r="A811" s="1">
        <v>42309</v>
      </c>
      <c r="B811">
        <v>74.84</v>
      </c>
      <c r="C811" s="1">
        <f t="shared" si="3"/>
        <v>42015</v>
      </c>
    </row>
    <row r="812" spans="1:3" x14ac:dyDescent="0.2">
      <c r="A812" s="1">
        <v>42278</v>
      </c>
      <c r="B812">
        <v>76.38</v>
      </c>
      <c r="C812" s="1">
        <f t="shared" si="3"/>
        <v>42014</v>
      </c>
    </row>
    <row r="813" spans="1:3" x14ac:dyDescent="0.2">
      <c r="A813" s="1">
        <v>42248</v>
      </c>
      <c r="B813">
        <v>71.94</v>
      </c>
      <c r="C813" s="1">
        <f t="shared" si="3"/>
        <v>42013</v>
      </c>
    </row>
    <row r="814" spans="1:3" x14ac:dyDescent="0.2">
      <c r="A814" s="1">
        <v>42217</v>
      </c>
      <c r="B814">
        <v>70.67</v>
      </c>
      <c r="C814" s="1">
        <f t="shared" si="3"/>
        <v>42012</v>
      </c>
    </row>
    <row r="815" spans="1:3" x14ac:dyDescent="0.2">
      <c r="A815" s="1">
        <v>42186</v>
      </c>
      <c r="B815">
        <v>76.7</v>
      </c>
      <c r="C815" s="1">
        <f t="shared" si="3"/>
        <v>42011</v>
      </c>
    </row>
    <row r="816" spans="1:3" x14ac:dyDescent="0.2">
      <c r="A816" s="1">
        <v>42156</v>
      </c>
      <c r="B816">
        <v>78.239999999999995</v>
      </c>
      <c r="C816" s="1">
        <f t="shared" si="3"/>
        <v>42010</v>
      </c>
    </row>
    <row r="817" spans="1:4" x14ac:dyDescent="0.2">
      <c r="A817" s="1">
        <v>42125</v>
      </c>
      <c r="B817">
        <v>78.39</v>
      </c>
      <c r="C817" s="1">
        <f t="shared" si="3"/>
        <v>42009</v>
      </c>
    </row>
    <row r="818" spans="1:4" x14ac:dyDescent="0.2">
      <c r="A818" s="1">
        <v>42095</v>
      </c>
      <c r="B818">
        <v>79.510000000000005</v>
      </c>
      <c r="C818" s="1">
        <f t="shared" si="3"/>
        <v>42008</v>
      </c>
    </row>
    <row r="819" spans="1:4" x14ac:dyDescent="0.2">
      <c r="A819" s="1">
        <v>42064</v>
      </c>
      <c r="B819">
        <v>81.94</v>
      </c>
      <c r="C819" s="1">
        <f t="shared" si="3"/>
        <v>42007</v>
      </c>
    </row>
    <row r="820" spans="1:4" x14ac:dyDescent="0.2">
      <c r="A820" s="1">
        <v>42036</v>
      </c>
      <c r="B820">
        <v>85.13</v>
      </c>
      <c r="C820" s="1">
        <f t="shared" si="3"/>
        <v>42006</v>
      </c>
    </row>
    <row r="821" spans="1:4" x14ac:dyDescent="0.2">
      <c r="A821" s="1">
        <v>42005</v>
      </c>
      <c r="B821">
        <v>84.29</v>
      </c>
      <c r="C821" s="1">
        <f t="shared" si="3"/>
        <v>42005</v>
      </c>
    </row>
    <row r="825" spans="1:4" x14ac:dyDescent="0.2">
      <c r="A825" s="104" t="s">
        <v>783</v>
      </c>
      <c r="B825" s="104"/>
    </row>
    <row r="826" spans="1:4" x14ac:dyDescent="0.2">
      <c r="A826" t="s">
        <v>0</v>
      </c>
      <c r="B826" t="s">
        <v>783</v>
      </c>
      <c r="C826" t="s">
        <v>1305</v>
      </c>
    </row>
    <row r="827" spans="1:4" x14ac:dyDescent="0.2">
      <c r="A827" s="1">
        <v>46023</v>
      </c>
      <c r="B827">
        <v>87.63</v>
      </c>
      <c r="C827" s="1">
        <f>DATE(YEAR(TLT[[#This Row],[Date]]),DAY(TLT[[#This Row],[Date]]),MONTH(TLT[[#This Row],[Date]]))</f>
        <v>46023</v>
      </c>
    </row>
    <row r="828" spans="1:4" x14ac:dyDescent="0.2">
      <c r="A828" s="1">
        <v>45992</v>
      </c>
      <c r="B828">
        <v>87.16</v>
      </c>
      <c r="C828" s="1">
        <f>DATE(YEAR(TLT[[#This Row],[Date]]),DAY(TLT[[#This Row],[Date]]),MONTH(TLT[[#This Row],[Date]]))</f>
        <v>45669</v>
      </c>
      <c r="D828">
        <f>MONTH(TLT[[#This Row],[Date]])</f>
        <v>12</v>
      </c>
    </row>
    <row r="829" spans="1:4" x14ac:dyDescent="0.2">
      <c r="A829" s="1">
        <v>45962</v>
      </c>
      <c r="B829">
        <v>90.21</v>
      </c>
      <c r="C829" s="1">
        <f>DATE(YEAR(TLT[[#This Row],[Date]]),DAY(TLT[[#This Row],[Date]]),MONTH(TLT[[#This Row],[Date]]))</f>
        <v>45668</v>
      </c>
    </row>
    <row r="830" spans="1:4" x14ac:dyDescent="0.2">
      <c r="A830" s="1">
        <v>45931</v>
      </c>
      <c r="B830">
        <v>90.29</v>
      </c>
      <c r="C830" s="1">
        <f>DATE(YEAR(TLT[[#This Row],[Date]]),DAY(TLT[[#This Row],[Date]]),MONTH(TLT[[#This Row],[Date]]))</f>
        <v>45667</v>
      </c>
    </row>
    <row r="831" spans="1:4" x14ac:dyDescent="0.2">
      <c r="A831" s="1">
        <v>45901</v>
      </c>
      <c r="B831">
        <v>89.37</v>
      </c>
      <c r="C831" s="1">
        <f>DATE(YEAR(TLT[[#This Row],[Date]]),DAY(TLT[[#This Row],[Date]]),MONTH(TLT[[#This Row],[Date]]))</f>
        <v>45666</v>
      </c>
    </row>
    <row r="832" spans="1:4" x14ac:dyDescent="0.2">
      <c r="A832" s="1">
        <v>45870</v>
      </c>
      <c r="B832">
        <v>86.6</v>
      </c>
      <c r="C832" s="1">
        <f>DATE(YEAR(TLT[[#This Row],[Date]]),DAY(TLT[[#This Row],[Date]]),MONTH(TLT[[#This Row],[Date]]))</f>
        <v>45665</v>
      </c>
    </row>
    <row r="833" spans="1:3" x14ac:dyDescent="0.2">
      <c r="A833" s="1">
        <v>45839</v>
      </c>
      <c r="B833">
        <v>86.92</v>
      </c>
      <c r="C833" s="1">
        <f>DATE(YEAR(TLT[[#This Row],[Date]]),DAY(TLT[[#This Row],[Date]]),MONTH(TLT[[#This Row],[Date]]))</f>
        <v>45664</v>
      </c>
    </row>
    <row r="834" spans="1:3" x14ac:dyDescent="0.2">
      <c r="A834" s="1">
        <v>45809</v>
      </c>
      <c r="B834">
        <v>88.25</v>
      </c>
      <c r="C834" s="1">
        <f>DATE(YEAR(TLT[[#This Row],[Date]]),DAY(TLT[[#This Row],[Date]]),MONTH(TLT[[#This Row],[Date]]))</f>
        <v>45663</v>
      </c>
    </row>
    <row r="835" spans="1:3" x14ac:dyDescent="0.2">
      <c r="A835" s="1">
        <v>45778</v>
      </c>
      <c r="B835">
        <v>86.28</v>
      </c>
      <c r="C835" s="1">
        <f>DATE(YEAR(TLT[[#This Row],[Date]]),DAY(TLT[[#This Row],[Date]]),MONTH(TLT[[#This Row],[Date]]))</f>
        <v>45662</v>
      </c>
    </row>
    <row r="836" spans="1:3" x14ac:dyDescent="0.2">
      <c r="A836" s="1">
        <v>45748</v>
      </c>
      <c r="B836">
        <v>89.47</v>
      </c>
      <c r="C836" s="1">
        <f>DATE(YEAR(TLT[[#This Row],[Date]]),DAY(TLT[[#This Row],[Date]]),MONTH(TLT[[#This Row],[Date]]))</f>
        <v>45661</v>
      </c>
    </row>
    <row r="837" spans="1:3" x14ac:dyDescent="0.2">
      <c r="A837" s="1">
        <v>45717</v>
      </c>
      <c r="B837">
        <v>91.03</v>
      </c>
      <c r="C837" s="1">
        <f>DATE(YEAR(TLT[[#This Row],[Date]]),DAY(TLT[[#This Row],[Date]]),MONTH(TLT[[#This Row],[Date]]))</f>
        <v>45660</v>
      </c>
    </row>
    <row r="838" spans="1:3" x14ac:dyDescent="0.2">
      <c r="A838" s="1">
        <v>45689</v>
      </c>
      <c r="B838">
        <v>92.43</v>
      </c>
      <c r="C838" s="1">
        <f>DATE(YEAR(TLT[[#This Row],[Date]]),DAY(TLT[[#This Row],[Date]]),MONTH(TLT[[#This Row],[Date]]))</f>
        <v>45659</v>
      </c>
    </row>
    <row r="839" spans="1:3" x14ac:dyDescent="0.2">
      <c r="A839" s="1">
        <v>45658</v>
      </c>
      <c r="B839">
        <v>87.76</v>
      </c>
      <c r="C839" s="1">
        <f>DATE(YEAR(TLT[[#This Row],[Date]]),DAY(TLT[[#This Row],[Date]]),MONTH(TLT[[#This Row],[Date]]))</f>
        <v>45658</v>
      </c>
    </row>
    <row r="840" spans="1:3" x14ac:dyDescent="0.2">
      <c r="A840" s="1">
        <v>45627</v>
      </c>
      <c r="B840">
        <v>87.33</v>
      </c>
      <c r="C840" s="1">
        <f>DATE(YEAR(TLT[[#This Row],[Date]]),DAY(TLT[[#This Row],[Date]]),MONTH(TLT[[#This Row],[Date]]))</f>
        <v>45303</v>
      </c>
    </row>
    <row r="841" spans="1:3" x14ac:dyDescent="0.2">
      <c r="A841" s="1">
        <v>45597</v>
      </c>
      <c r="B841">
        <v>93.97</v>
      </c>
      <c r="C841" s="1">
        <f>DATE(YEAR(TLT[[#This Row],[Date]]),DAY(TLT[[#This Row],[Date]]),MONTH(TLT[[#This Row],[Date]]))</f>
        <v>45302</v>
      </c>
    </row>
    <row r="842" spans="1:3" x14ac:dyDescent="0.2">
      <c r="A842" s="1">
        <v>45566</v>
      </c>
      <c r="B842">
        <v>92.45</v>
      </c>
      <c r="C842" s="1">
        <f>DATE(YEAR(TLT[[#This Row],[Date]]),DAY(TLT[[#This Row],[Date]]),MONTH(TLT[[#This Row],[Date]]))</f>
        <v>45301</v>
      </c>
    </row>
    <row r="843" spans="1:3" x14ac:dyDescent="0.2">
      <c r="A843" s="1">
        <v>45536</v>
      </c>
      <c r="B843">
        <v>98.1</v>
      </c>
      <c r="C843" s="1">
        <f>DATE(YEAR(TLT[[#This Row],[Date]]),DAY(TLT[[#This Row],[Date]]),MONTH(TLT[[#This Row],[Date]]))</f>
        <v>45300</v>
      </c>
    </row>
    <row r="844" spans="1:3" x14ac:dyDescent="0.2">
      <c r="A844" s="1">
        <v>45505</v>
      </c>
      <c r="B844">
        <v>96.49</v>
      </c>
      <c r="C844" s="1">
        <f>DATE(YEAR(TLT[[#This Row],[Date]]),DAY(TLT[[#This Row],[Date]]),MONTH(TLT[[#This Row],[Date]]))</f>
        <v>45299</v>
      </c>
    </row>
    <row r="845" spans="1:3" x14ac:dyDescent="0.2">
      <c r="A845" s="1">
        <v>45474</v>
      </c>
      <c r="B845">
        <v>94.81</v>
      </c>
      <c r="C845" s="1">
        <f>DATE(YEAR(TLT[[#This Row],[Date]]),DAY(TLT[[#This Row],[Date]]),MONTH(TLT[[#This Row],[Date]]))</f>
        <v>45298</v>
      </c>
    </row>
    <row r="846" spans="1:3" x14ac:dyDescent="0.2">
      <c r="A846" s="1">
        <v>45444</v>
      </c>
      <c r="B846">
        <v>91.78</v>
      </c>
      <c r="C846" s="1">
        <f>DATE(YEAR(TLT[[#This Row],[Date]]),DAY(TLT[[#This Row],[Date]]),MONTH(TLT[[#This Row],[Date]]))</f>
        <v>45297</v>
      </c>
    </row>
    <row r="847" spans="1:3" x14ac:dyDescent="0.2">
      <c r="A847" s="1">
        <v>45413</v>
      </c>
      <c r="B847">
        <v>90.45</v>
      </c>
      <c r="C847" s="1">
        <f>DATE(YEAR(TLT[[#This Row],[Date]]),DAY(TLT[[#This Row],[Date]]),MONTH(TLT[[#This Row],[Date]]))</f>
        <v>45296</v>
      </c>
    </row>
    <row r="848" spans="1:3" x14ac:dyDescent="0.2">
      <c r="A848" s="1">
        <v>45383</v>
      </c>
      <c r="B848">
        <v>88.22</v>
      </c>
      <c r="C848" s="1">
        <f>DATE(YEAR(TLT[[#This Row],[Date]]),DAY(TLT[[#This Row],[Date]]),MONTH(TLT[[#This Row],[Date]]))</f>
        <v>45295</v>
      </c>
    </row>
    <row r="849" spans="1:3" x14ac:dyDescent="0.2">
      <c r="A849" s="1">
        <v>45352</v>
      </c>
      <c r="B849">
        <v>94.62</v>
      </c>
      <c r="C849" s="1">
        <f>DATE(YEAR(TLT[[#This Row],[Date]]),DAY(TLT[[#This Row],[Date]]),MONTH(TLT[[#This Row],[Date]]))</f>
        <v>45294</v>
      </c>
    </row>
    <row r="850" spans="1:3" x14ac:dyDescent="0.2">
      <c r="A850" s="1">
        <v>45323</v>
      </c>
      <c r="B850">
        <v>94.18</v>
      </c>
      <c r="C850" s="1">
        <f>DATE(YEAR(TLT[[#This Row],[Date]]),DAY(TLT[[#This Row],[Date]]),MONTH(TLT[[#This Row],[Date]]))</f>
        <v>45293</v>
      </c>
    </row>
    <row r="851" spans="1:3" x14ac:dyDescent="0.2">
      <c r="A851" s="1">
        <v>45292</v>
      </c>
      <c r="B851">
        <v>96.66</v>
      </c>
      <c r="C851" s="1">
        <f>DATE(YEAR(TLT[[#This Row],[Date]]),DAY(TLT[[#This Row],[Date]]),MONTH(TLT[[#This Row],[Date]]))</f>
        <v>45292</v>
      </c>
    </row>
    <row r="852" spans="1:3" x14ac:dyDescent="0.2">
      <c r="A852" s="1">
        <v>45261</v>
      </c>
      <c r="B852">
        <v>98.88</v>
      </c>
      <c r="C852" s="1">
        <f>DATE(YEAR(TLT[[#This Row],[Date]]),DAY(TLT[[#This Row],[Date]]),MONTH(TLT[[#This Row],[Date]]))</f>
        <v>44938</v>
      </c>
    </row>
    <row r="853" spans="1:3" x14ac:dyDescent="0.2">
      <c r="A853" s="1">
        <v>45231</v>
      </c>
      <c r="B853">
        <v>91.56</v>
      </c>
      <c r="C853" s="1">
        <f>DATE(YEAR(TLT[[#This Row],[Date]]),DAY(TLT[[#This Row],[Date]]),MONTH(TLT[[#This Row],[Date]]))</f>
        <v>44937</v>
      </c>
    </row>
    <row r="854" spans="1:3" x14ac:dyDescent="0.2">
      <c r="A854" s="1">
        <v>45200</v>
      </c>
      <c r="B854">
        <v>83.58</v>
      </c>
      <c r="C854" s="1">
        <f>DATE(YEAR(TLT[[#This Row],[Date]]),DAY(TLT[[#This Row],[Date]]),MONTH(TLT[[#This Row],[Date]]))</f>
        <v>44936</v>
      </c>
    </row>
    <row r="855" spans="1:3" x14ac:dyDescent="0.2">
      <c r="A855" s="1">
        <v>45170</v>
      </c>
      <c r="B855">
        <v>88.69</v>
      </c>
      <c r="C855" s="1">
        <f>DATE(YEAR(TLT[[#This Row],[Date]]),DAY(TLT[[#This Row],[Date]]),MONTH(TLT[[#This Row],[Date]]))</f>
        <v>44935</v>
      </c>
    </row>
    <row r="856" spans="1:3" x14ac:dyDescent="0.2">
      <c r="A856" s="1">
        <v>45139</v>
      </c>
      <c r="B856">
        <v>96.64</v>
      </c>
      <c r="C856" s="1">
        <f>DATE(YEAR(TLT[[#This Row],[Date]]),DAY(TLT[[#This Row],[Date]]),MONTH(TLT[[#This Row],[Date]]))</f>
        <v>44934</v>
      </c>
    </row>
    <row r="857" spans="1:3" x14ac:dyDescent="0.2">
      <c r="A857" s="1">
        <v>45108</v>
      </c>
      <c r="B857">
        <v>100.05</v>
      </c>
      <c r="C857" s="1">
        <f>DATE(YEAR(TLT[[#This Row],[Date]]),DAY(TLT[[#This Row],[Date]]),MONTH(TLT[[#This Row],[Date]]))</f>
        <v>44933</v>
      </c>
    </row>
    <row r="858" spans="1:3" x14ac:dyDescent="0.2">
      <c r="A858" s="1">
        <v>45078</v>
      </c>
      <c r="B858">
        <v>102.94</v>
      </c>
      <c r="C858" s="1">
        <f>DATE(YEAR(TLT[[#This Row],[Date]]),DAY(TLT[[#This Row],[Date]]),MONTH(TLT[[#This Row],[Date]]))</f>
        <v>44932</v>
      </c>
    </row>
    <row r="859" spans="1:3" x14ac:dyDescent="0.2">
      <c r="A859" s="1">
        <v>45047</v>
      </c>
      <c r="B859">
        <v>102.99</v>
      </c>
      <c r="C859" s="1">
        <f>DATE(YEAR(TLT[[#This Row],[Date]]),DAY(TLT[[#This Row],[Date]]),MONTH(TLT[[#This Row],[Date]]))</f>
        <v>44931</v>
      </c>
    </row>
    <row r="860" spans="1:3" x14ac:dyDescent="0.2">
      <c r="A860" s="1">
        <v>45017</v>
      </c>
      <c r="B860">
        <v>106.46</v>
      </c>
      <c r="C860" s="1">
        <f>DATE(YEAR(TLT[[#This Row],[Date]]),DAY(TLT[[#This Row],[Date]]),MONTH(TLT[[#This Row],[Date]]))</f>
        <v>44930</v>
      </c>
    </row>
    <row r="861" spans="1:3" x14ac:dyDescent="0.2">
      <c r="A861" s="1">
        <v>44986</v>
      </c>
      <c r="B861">
        <v>106.37</v>
      </c>
      <c r="C861" s="1">
        <f>DATE(YEAR(TLT[[#This Row],[Date]]),DAY(TLT[[#This Row],[Date]]),MONTH(TLT[[#This Row],[Date]]))</f>
        <v>44929</v>
      </c>
    </row>
    <row r="862" spans="1:3" x14ac:dyDescent="0.2">
      <c r="A862" s="1">
        <v>44958</v>
      </c>
      <c r="B862">
        <v>101.71</v>
      </c>
      <c r="C862" s="1">
        <f>DATE(YEAR(TLT[[#This Row],[Date]]),DAY(TLT[[#This Row],[Date]]),MONTH(TLT[[#This Row],[Date]]))</f>
        <v>44928</v>
      </c>
    </row>
    <row r="863" spans="1:3" x14ac:dyDescent="0.2">
      <c r="A863" s="1">
        <v>44927</v>
      </c>
      <c r="B863">
        <v>107.17</v>
      </c>
      <c r="C863" s="1">
        <f>DATE(YEAR(TLT[[#This Row],[Date]]),DAY(TLT[[#This Row],[Date]]),MONTH(TLT[[#This Row],[Date]]))</f>
        <v>44927</v>
      </c>
    </row>
    <row r="864" spans="1:3" x14ac:dyDescent="0.2">
      <c r="A864" s="1">
        <v>44896</v>
      </c>
      <c r="B864">
        <v>99.56</v>
      </c>
      <c r="C864" s="1">
        <f>DATE(YEAR(TLT[[#This Row],[Date]]),DAY(TLT[[#This Row],[Date]]),MONTH(TLT[[#This Row],[Date]]))</f>
        <v>44573</v>
      </c>
    </row>
    <row r="865" spans="1:3" x14ac:dyDescent="0.2">
      <c r="A865" s="1">
        <v>44866</v>
      </c>
      <c r="B865">
        <v>102.73</v>
      </c>
      <c r="C865" s="1">
        <f>DATE(YEAR(TLT[[#This Row],[Date]]),DAY(TLT[[#This Row],[Date]]),MONTH(TLT[[#This Row],[Date]]))</f>
        <v>44572</v>
      </c>
    </row>
    <row r="866" spans="1:3" x14ac:dyDescent="0.2">
      <c r="A866" s="1">
        <v>44835</v>
      </c>
      <c r="B866">
        <v>96.11</v>
      </c>
      <c r="C866" s="1">
        <f>DATE(YEAR(TLT[[#This Row],[Date]]),DAY(TLT[[#This Row],[Date]]),MONTH(TLT[[#This Row],[Date]]))</f>
        <v>44571</v>
      </c>
    </row>
    <row r="867" spans="1:3" x14ac:dyDescent="0.2">
      <c r="A867" s="1">
        <v>44805</v>
      </c>
      <c r="B867">
        <v>102.45</v>
      </c>
      <c r="C867" s="1">
        <f>DATE(YEAR(TLT[[#This Row],[Date]]),DAY(TLT[[#This Row],[Date]]),MONTH(TLT[[#This Row],[Date]]))</f>
        <v>44570</v>
      </c>
    </row>
    <row r="868" spans="1:3" x14ac:dyDescent="0.2">
      <c r="A868" s="1">
        <v>44774</v>
      </c>
      <c r="B868">
        <v>111.88</v>
      </c>
      <c r="C868" s="1">
        <f>DATE(YEAR(TLT[[#This Row],[Date]]),DAY(TLT[[#This Row],[Date]]),MONTH(TLT[[#This Row],[Date]]))</f>
        <v>44569</v>
      </c>
    </row>
    <row r="869" spans="1:3" x14ac:dyDescent="0.2">
      <c r="A869" s="1">
        <v>44743</v>
      </c>
      <c r="B869">
        <v>117.43</v>
      </c>
      <c r="C869" s="1">
        <f>DATE(YEAR(TLT[[#This Row],[Date]]),DAY(TLT[[#This Row],[Date]]),MONTH(TLT[[#This Row],[Date]]))</f>
        <v>44568</v>
      </c>
    </row>
    <row r="870" spans="1:3" x14ac:dyDescent="0.2">
      <c r="A870" s="1">
        <v>44713</v>
      </c>
      <c r="B870">
        <v>114.87</v>
      </c>
      <c r="C870" s="1">
        <f>DATE(YEAR(TLT[[#This Row],[Date]]),DAY(TLT[[#This Row],[Date]]),MONTH(TLT[[#This Row],[Date]]))</f>
        <v>44567</v>
      </c>
    </row>
    <row r="871" spans="1:3" x14ac:dyDescent="0.2">
      <c r="A871" s="1">
        <v>44682</v>
      </c>
      <c r="B871">
        <v>116.56</v>
      </c>
      <c r="C871" s="1">
        <f>DATE(YEAR(TLT[[#This Row],[Date]]),DAY(TLT[[#This Row],[Date]]),MONTH(TLT[[#This Row],[Date]]))</f>
        <v>44566</v>
      </c>
    </row>
    <row r="872" spans="1:3" x14ac:dyDescent="0.2">
      <c r="A872" s="1">
        <v>44652</v>
      </c>
      <c r="B872">
        <v>119.45</v>
      </c>
      <c r="C872" s="1">
        <f>DATE(YEAR(TLT[[#This Row],[Date]]),DAY(TLT[[#This Row],[Date]]),MONTH(TLT[[#This Row],[Date]]))</f>
        <v>44565</v>
      </c>
    </row>
    <row r="873" spans="1:3" x14ac:dyDescent="0.2">
      <c r="A873" s="1">
        <v>44621</v>
      </c>
      <c r="B873">
        <v>132.08000000000001</v>
      </c>
      <c r="C873" s="1">
        <f>DATE(YEAR(TLT[[#This Row],[Date]]),DAY(TLT[[#This Row],[Date]]),MONTH(TLT[[#This Row],[Date]]))</f>
        <v>44564</v>
      </c>
    </row>
    <row r="874" spans="1:3" x14ac:dyDescent="0.2">
      <c r="A874" s="1">
        <v>44593</v>
      </c>
      <c r="B874">
        <v>139.87</v>
      </c>
      <c r="C874" s="1">
        <f>DATE(YEAR(TLT[[#This Row],[Date]]),DAY(TLT[[#This Row],[Date]]),MONTH(TLT[[#This Row],[Date]]))</f>
        <v>44563</v>
      </c>
    </row>
    <row r="875" spans="1:3" x14ac:dyDescent="0.2">
      <c r="A875" s="1">
        <v>44562</v>
      </c>
      <c r="B875">
        <v>142.38999999999999</v>
      </c>
      <c r="C875" s="1">
        <f>DATE(YEAR(TLT[[#This Row],[Date]]),DAY(TLT[[#This Row],[Date]]),MONTH(TLT[[#This Row],[Date]]))</f>
        <v>44562</v>
      </c>
    </row>
    <row r="876" spans="1:3" x14ac:dyDescent="0.2">
      <c r="A876" s="1">
        <v>44531</v>
      </c>
      <c r="B876">
        <v>148.19</v>
      </c>
      <c r="C876" s="1">
        <f>DATE(YEAR(TLT[[#This Row],[Date]]),DAY(TLT[[#This Row],[Date]]),MONTH(TLT[[#This Row],[Date]]))</f>
        <v>44208</v>
      </c>
    </row>
    <row r="877" spans="1:3" x14ac:dyDescent="0.2">
      <c r="A877" s="1">
        <v>44501</v>
      </c>
      <c r="B877">
        <v>151.59</v>
      </c>
      <c r="C877" s="1">
        <f>DATE(YEAR(TLT[[#This Row],[Date]]),DAY(TLT[[#This Row],[Date]]),MONTH(TLT[[#This Row],[Date]]))</f>
        <v>44207</v>
      </c>
    </row>
    <row r="878" spans="1:3" x14ac:dyDescent="0.2">
      <c r="A878" s="1">
        <v>44470</v>
      </c>
      <c r="B878">
        <v>147.69</v>
      </c>
      <c r="C878" s="1">
        <f>DATE(YEAR(TLT[[#This Row],[Date]]),DAY(TLT[[#This Row],[Date]]),MONTH(TLT[[#This Row],[Date]]))</f>
        <v>44206</v>
      </c>
    </row>
    <row r="879" spans="1:3" x14ac:dyDescent="0.2">
      <c r="A879" s="1">
        <v>44440</v>
      </c>
      <c r="B879">
        <v>144.32</v>
      </c>
      <c r="C879" s="1">
        <f>DATE(YEAR(TLT[[#This Row],[Date]]),DAY(TLT[[#This Row],[Date]]),MONTH(TLT[[#This Row],[Date]]))</f>
        <v>44205</v>
      </c>
    </row>
    <row r="880" spans="1:3" x14ac:dyDescent="0.2">
      <c r="A880" s="1">
        <v>44409</v>
      </c>
      <c r="B880">
        <v>148.83000000000001</v>
      </c>
      <c r="C880" s="1">
        <f>DATE(YEAR(TLT[[#This Row],[Date]]),DAY(TLT[[#This Row],[Date]]),MONTH(TLT[[#This Row],[Date]]))</f>
        <v>44204</v>
      </c>
    </row>
    <row r="881" spans="1:3" x14ac:dyDescent="0.2">
      <c r="A881" s="1">
        <v>44378</v>
      </c>
      <c r="B881">
        <v>149.52000000000001</v>
      </c>
      <c r="C881" s="1">
        <f>DATE(YEAR(TLT[[#This Row],[Date]]),DAY(TLT[[#This Row],[Date]]),MONTH(TLT[[#This Row],[Date]]))</f>
        <v>44203</v>
      </c>
    </row>
    <row r="882" spans="1:3" x14ac:dyDescent="0.2">
      <c r="A882" s="1">
        <v>44348</v>
      </c>
      <c r="B882">
        <v>144.35</v>
      </c>
      <c r="C882" s="1">
        <f>DATE(YEAR(TLT[[#This Row],[Date]]),DAY(TLT[[#This Row],[Date]]),MONTH(TLT[[#This Row],[Date]]))</f>
        <v>44202</v>
      </c>
    </row>
    <row r="883" spans="1:3" x14ac:dyDescent="0.2">
      <c r="A883" s="1">
        <v>44317</v>
      </c>
      <c r="B883">
        <v>138.44</v>
      </c>
      <c r="C883" s="1">
        <f>DATE(YEAR(TLT[[#This Row],[Date]]),DAY(TLT[[#This Row],[Date]]),MONTH(TLT[[#This Row],[Date]]))</f>
        <v>44201</v>
      </c>
    </row>
    <row r="884" spans="1:3" x14ac:dyDescent="0.2">
      <c r="A884" s="1">
        <v>44287</v>
      </c>
      <c r="B884">
        <v>138.63999999999999</v>
      </c>
      <c r="C884" s="1">
        <f>DATE(YEAR(TLT[[#This Row],[Date]]),DAY(TLT[[#This Row],[Date]]),MONTH(TLT[[#This Row],[Date]]))</f>
        <v>44200</v>
      </c>
    </row>
    <row r="885" spans="1:3" x14ac:dyDescent="0.2">
      <c r="A885" s="1">
        <v>44256</v>
      </c>
      <c r="B885">
        <v>135.44999999999999</v>
      </c>
      <c r="C885" s="1">
        <f>DATE(YEAR(TLT[[#This Row],[Date]]),DAY(TLT[[#This Row],[Date]]),MONTH(TLT[[#This Row],[Date]]))</f>
        <v>44199</v>
      </c>
    </row>
    <row r="886" spans="1:3" x14ac:dyDescent="0.2">
      <c r="A886" s="1">
        <v>44228</v>
      </c>
      <c r="B886">
        <v>143.12</v>
      </c>
      <c r="C886" s="1">
        <f>DATE(YEAR(TLT[[#This Row],[Date]]),DAY(TLT[[#This Row],[Date]]),MONTH(TLT[[#This Row],[Date]]))</f>
        <v>44198</v>
      </c>
    </row>
    <row r="887" spans="1:3" x14ac:dyDescent="0.2">
      <c r="A887" s="1">
        <v>44197</v>
      </c>
      <c r="B887">
        <v>152</v>
      </c>
      <c r="C887" s="1">
        <f>DATE(YEAR(TLT[[#This Row],[Date]]),DAY(TLT[[#This Row],[Date]]),MONTH(TLT[[#This Row],[Date]]))</f>
        <v>44197</v>
      </c>
    </row>
    <row r="888" spans="1:3" x14ac:dyDescent="0.2">
      <c r="A888" s="1">
        <v>44166</v>
      </c>
      <c r="B888">
        <v>157.72999999999999</v>
      </c>
      <c r="C888" s="1">
        <f>DATE(YEAR(TLT[[#This Row],[Date]]),DAY(TLT[[#This Row],[Date]]),MONTH(TLT[[#This Row],[Date]]))</f>
        <v>43842</v>
      </c>
    </row>
    <row r="889" spans="1:3" x14ac:dyDescent="0.2">
      <c r="A889" s="1">
        <v>44136</v>
      </c>
      <c r="B889">
        <v>160.02000000000001</v>
      </c>
      <c r="C889" s="1">
        <f>DATE(YEAR(TLT[[#This Row],[Date]]),DAY(TLT[[#This Row],[Date]]),MONTH(TLT[[#This Row],[Date]]))</f>
        <v>43841</v>
      </c>
    </row>
    <row r="890" spans="1:3" x14ac:dyDescent="0.2">
      <c r="A890" s="1">
        <v>44105</v>
      </c>
      <c r="B890">
        <v>157.57</v>
      </c>
      <c r="C890" s="1">
        <f>DATE(YEAR(TLT[[#This Row],[Date]]),DAY(TLT[[#This Row],[Date]]),MONTH(TLT[[#This Row],[Date]]))</f>
        <v>43840</v>
      </c>
    </row>
    <row r="891" spans="1:3" x14ac:dyDescent="0.2">
      <c r="A891" s="1">
        <v>44075</v>
      </c>
      <c r="B891">
        <v>163.26</v>
      </c>
      <c r="C891" s="1">
        <f>DATE(YEAR(TLT[[#This Row],[Date]]),DAY(TLT[[#This Row],[Date]]),MONTH(TLT[[#This Row],[Date]]))</f>
        <v>43839</v>
      </c>
    </row>
    <row r="892" spans="1:3" x14ac:dyDescent="0.2">
      <c r="A892" s="1">
        <v>44044</v>
      </c>
      <c r="B892">
        <v>162.19</v>
      </c>
      <c r="C892" s="1">
        <f>DATE(YEAR(TLT[[#This Row],[Date]]),DAY(TLT[[#This Row],[Date]]),MONTH(TLT[[#This Row],[Date]]))</f>
        <v>43838</v>
      </c>
    </row>
    <row r="893" spans="1:3" x14ac:dyDescent="0.2">
      <c r="A893" s="1">
        <v>44013</v>
      </c>
      <c r="B893">
        <v>171</v>
      </c>
      <c r="C893" s="1">
        <f>DATE(YEAR(TLT[[#This Row],[Date]]),DAY(TLT[[#This Row],[Date]]),MONTH(TLT[[#This Row],[Date]]))</f>
        <v>43837</v>
      </c>
    </row>
    <row r="894" spans="1:3" x14ac:dyDescent="0.2">
      <c r="A894" s="1">
        <v>43983</v>
      </c>
      <c r="B894">
        <v>163.93</v>
      </c>
      <c r="C894" s="1">
        <f>DATE(YEAR(TLT[[#This Row],[Date]]),DAY(TLT[[#This Row],[Date]]),MONTH(TLT[[#This Row],[Date]]))</f>
        <v>43836</v>
      </c>
    </row>
    <row r="895" spans="1:3" x14ac:dyDescent="0.2">
      <c r="A895" s="1">
        <v>43952</v>
      </c>
      <c r="B895">
        <v>163.59</v>
      </c>
      <c r="C895" s="1">
        <f>DATE(YEAR(TLT[[#This Row],[Date]]),DAY(TLT[[#This Row],[Date]]),MONTH(TLT[[#This Row],[Date]]))</f>
        <v>43835</v>
      </c>
    </row>
    <row r="896" spans="1:3" x14ac:dyDescent="0.2">
      <c r="A896" s="1">
        <v>43922</v>
      </c>
      <c r="B896">
        <v>166.74</v>
      </c>
      <c r="C896" s="1">
        <f>DATE(YEAR(TLT[[#This Row],[Date]]),DAY(TLT[[#This Row],[Date]]),MONTH(TLT[[#This Row],[Date]]))</f>
        <v>43834</v>
      </c>
    </row>
    <row r="897" spans="1:3" x14ac:dyDescent="0.2">
      <c r="A897" s="1">
        <v>43891</v>
      </c>
      <c r="B897">
        <v>164.97</v>
      </c>
      <c r="C897" s="1">
        <f>DATE(YEAR(TLT[[#This Row],[Date]]),DAY(TLT[[#This Row],[Date]]),MONTH(TLT[[#This Row],[Date]]))</f>
        <v>43833</v>
      </c>
    </row>
    <row r="898" spans="1:3" x14ac:dyDescent="0.2">
      <c r="A898" s="1">
        <v>43862</v>
      </c>
      <c r="B898">
        <v>155.31</v>
      </c>
      <c r="C898" s="1">
        <f>DATE(YEAR(TLT[[#This Row],[Date]]),DAY(TLT[[#This Row],[Date]]),MONTH(TLT[[#This Row],[Date]]))</f>
        <v>43832</v>
      </c>
    </row>
    <row r="899" spans="1:3" x14ac:dyDescent="0.2">
      <c r="A899" s="1">
        <v>43831</v>
      </c>
      <c r="B899">
        <v>145.9</v>
      </c>
      <c r="C899" s="1">
        <f>DATE(YEAR(TLT[[#This Row],[Date]]),DAY(TLT[[#This Row],[Date]]),MONTH(TLT[[#This Row],[Date]]))</f>
        <v>43831</v>
      </c>
    </row>
    <row r="900" spans="1:3" x14ac:dyDescent="0.2">
      <c r="A900" s="1">
        <v>43800</v>
      </c>
      <c r="B900">
        <v>135.47999999999999</v>
      </c>
      <c r="C900" s="1">
        <f>DATE(YEAR(TLT[[#This Row],[Date]]),DAY(TLT[[#This Row],[Date]]),MONTH(TLT[[#This Row],[Date]]))</f>
        <v>43477</v>
      </c>
    </row>
    <row r="901" spans="1:3" x14ac:dyDescent="0.2">
      <c r="A901" s="1">
        <v>43770</v>
      </c>
      <c r="B901">
        <v>140.41999999999999</v>
      </c>
      <c r="C901" s="1">
        <f>DATE(YEAR(TLT[[#This Row],[Date]]),DAY(TLT[[#This Row],[Date]]),MONTH(TLT[[#This Row],[Date]]))</f>
        <v>43476</v>
      </c>
    </row>
    <row r="902" spans="1:3" x14ac:dyDescent="0.2">
      <c r="A902" s="1">
        <v>43739</v>
      </c>
      <c r="B902">
        <v>141.24</v>
      </c>
      <c r="C902" s="1">
        <f>DATE(YEAR(TLT[[#This Row],[Date]]),DAY(TLT[[#This Row],[Date]]),MONTH(TLT[[#This Row],[Date]]))</f>
        <v>43475</v>
      </c>
    </row>
    <row r="903" spans="1:3" x14ac:dyDescent="0.2">
      <c r="A903" s="1">
        <v>43709</v>
      </c>
      <c r="B903">
        <v>143.08000000000001</v>
      </c>
      <c r="C903" s="1">
        <f>DATE(YEAR(TLT[[#This Row],[Date]]),DAY(TLT[[#This Row],[Date]]),MONTH(TLT[[#This Row],[Date]]))</f>
        <v>43474</v>
      </c>
    </row>
    <row r="904" spans="1:3" x14ac:dyDescent="0.2">
      <c r="A904" s="1">
        <v>43678</v>
      </c>
      <c r="B904">
        <v>147.28</v>
      </c>
      <c r="C904" s="1">
        <f>DATE(YEAR(TLT[[#This Row],[Date]]),DAY(TLT[[#This Row],[Date]]),MONTH(TLT[[#This Row],[Date]]))</f>
        <v>43473</v>
      </c>
    </row>
    <row r="905" spans="1:3" x14ac:dyDescent="0.2">
      <c r="A905" s="1">
        <v>43647</v>
      </c>
      <c r="B905">
        <v>132.88999999999999</v>
      </c>
      <c r="C905" s="1">
        <f>DATE(YEAR(TLT[[#This Row],[Date]]),DAY(TLT[[#This Row],[Date]]),MONTH(TLT[[#This Row],[Date]]))</f>
        <v>43472</v>
      </c>
    </row>
    <row r="906" spans="1:3" x14ac:dyDescent="0.2">
      <c r="A906" s="1">
        <v>43617</v>
      </c>
      <c r="B906">
        <v>132.81</v>
      </c>
      <c r="C906" s="1">
        <f>DATE(YEAR(TLT[[#This Row],[Date]]),DAY(TLT[[#This Row],[Date]]),MONTH(TLT[[#This Row],[Date]]))</f>
        <v>43471</v>
      </c>
    </row>
    <row r="907" spans="1:3" x14ac:dyDescent="0.2">
      <c r="A907" s="1">
        <v>43586</v>
      </c>
      <c r="B907">
        <v>131.83000000000001</v>
      </c>
      <c r="C907" s="1">
        <f>DATE(YEAR(TLT[[#This Row],[Date]]),DAY(TLT[[#This Row],[Date]]),MONTH(TLT[[#This Row],[Date]]))</f>
        <v>43470</v>
      </c>
    </row>
    <row r="908" spans="1:3" x14ac:dyDescent="0.2">
      <c r="A908" s="1">
        <v>43556</v>
      </c>
      <c r="B908">
        <v>123.65</v>
      </c>
      <c r="C908" s="1">
        <f>DATE(YEAR(TLT[[#This Row],[Date]]),DAY(TLT[[#This Row],[Date]]),MONTH(TLT[[#This Row],[Date]]))</f>
        <v>43469</v>
      </c>
    </row>
    <row r="909" spans="1:3" x14ac:dyDescent="0.2">
      <c r="A909" s="1">
        <v>43525</v>
      </c>
      <c r="B909">
        <v>126.44</v>
      </c>
      <c r="C909" s="1">
        <f>DATE(YEAR(TLT[[#This Row],[Date]]),DAY(TLT[[#This Row],[Date]]),MONTH(TLT[[#This Row],[Date]]))</f>
        <v>43468</v>
      </c>
    </row>
    <row r="910" spans="1:3" x14ac:dyDescent="0.2">
      <c r="A910" s="1">
        <v>43497</v>
      </c>
      <c r="B910">
        <v>120.02</v>
      </c>
      <c r="C910" s="1">
        <f>DATE(YEAR(TLT[[#This Row],[Date]]),DAY(TLT[[#This Row],[Date]]),MONTH(TLT[[#This Row],[Date]]))</f>
        <v>43467</v>
      </c>
    </row>
    <row r="911" spans="1:3" x14ac:dyDescent="0.2">
      <c r="A911" s="1">
        <v>43466</v>
      </c>
      <c r="B911">
        <v>121.97</v>
      </c>
      <c r="C911" s="1">
        <f>DATE(YEAR(TLT[[#This Row],[Date]]),DAY(TLT[[#This Row],[Date]]),MONTH(TLT[[#This Row],[Date]]))</f>
        <v>43466</v>
      </c>
    </row>
    <row r="912" spans="1:3" x14ac:dyDescent="0.2">
      <c r="A912" s="1">
        <v>43435</v>
      </c>
      <c r="B912">
        <v>121.51</v>
      </c>
      <c r="C912" s="1">
        <f>DATE(YEAR(TLT[[#This Row],[Date]]),DAY(TLT[[#This Row],[Date]]),MONTH(TLT[[#This Row],[Date]]))</f>
        <v>43112</v>
      </c>
    </row>
    <row r="913" spans="1:3" x14ac:dyDescent="0.2">
      <c r="A913" s="1">
        <v>43405</v>
      </c>
      <c r="B913">
        <v>115.33</v>
      </c>
      <c r="C913" s="1">
        <f>DATE(YEAR(TLT[[#This Row],[Date]]),DAY(TLT[[#This Row],[Date]]),MONTH(TLT[[#This Row],[Date]]))</f>
        <v>43111</v>
      </c>
    </row>
    <row r="914" spans="1:3" x14ac:dyDescent="0.2">
      <c r="A914" s="1">
        <v>43374</v>
      </c>
      <c r="B914">
        <v>113.58</v>
      </c>
      <c r="C914" s="1">
        <f>DATE(YEAR(TLT[[#This Row],[Date]]),DAY(TLT[[#This Row],[Date]]),MONTH(TLT[[#This Row],[Date]]))</f>
        <v>43110</v>
      </c>
    </row>
    <row r="915" spans="1:3" x14ac:dyDescent="0.2">
      <c r="A915" s="1">
        <v>43344</v>
      </c>
      <c r="B915">
        <v>117.27</v>
      </c>
      <c r="C915" s="1">
        <f>DATE(YEAR(TLT[[#This Row],[Date]]),DAY(TLT[[#This Row],[Date]]),MONTH(TLT[[#This Row],[Date]]))</f>
        <v>43109</v>
      </c>
    </row>
    <row r="916" spans="1:3" x14ac:dyDescent="0.2">
      <c r="A916" s="1">
        <v>43313</v>
      </c>
      <c r="B916">
        <v>121</v>
      </c>
      <c r="C916" s="1">
        <f>DATE(YEAR(TLT[[#This Row],[Date]]),DAY(TLT[[#This Row],[Date]]),MONTH(TLT[[#This Row],[Date]]))</f>
        <v>43108</v>
      </c>
    </row>
    <row r="917" spans="1:3" x14ac:dyDescent="0.2">
      <c r="A917" s="1">
        <v>43282</v>
      </c>
      <c r="B917">
        <v>119.7</v>
      </c>
      <c r="C917" s="1">
        <f>DATE(YEAR(TLT[[#This Row],[Date]]),DAY(TLT[[#This Row],[Date]]),MONTH(TLT[[#This Row],[Date]]))</f>
        <v>43107</v>
      </c>
    </row>
    <row r="918" spans="1:3" x14ac:dyDescent="0.2">
      <c r="A918" s="1">
        <v>43252</v>
      </c>
      <c r="B918">
        <v>121.72</v>
      </c>
      <c r="C918" s="1">
        <f>DATE(YEAR(TLT[[#This Row],[Date]]),DAY(TLT[[#This Row],[Date]]),MONTH(TLT[[#This Row],[Date]]))</f>
        <v>43106</v>
      </c>
    </row>
    <row r="919" spans="1:3" x14ac:dyDescent="0.2">
      <c r="A919" s="1">
        <v>43221</v>
      </c>
      <c r="B919">
        <v>121.22</v>
      </c>
      <c r="C919" s="1">
        <f>DATE(YEAR(TLT[[#This Row],[Date]]),DAY(TLT[[#This Row],[Date]]),MONTH(TLT[[#This Row],[Date]]))</f>
        <v>43105</v>
      </c>
    </row>
    <row r="920" spans="1:3" x14ac:dyDescent="0.2">
      <c r="A920" s="1">
        <v>43191</v>
      </c>
      <c r="B920">
        <v>119.1</v>
      </c>
      <c r="C920" s="1">
        <f>DATE(YEAR(TLT[[#This Row],[Date]]),DAY(TLT[[#This Row],[Date]]),MONTH(TLT[[#This Row],[Date]]))</f>
        <v>43104</v>
      </c>
    </row>
    <row r="921" spans="1:3" x14ac:dyDescent="0.2">
      <c r="A921" s="1">
        <v>43160</v>
      </c>
      <c r="B921">
        <v>121.9</v>
      </c>
      <c r="C921" s="1">
        <f>DATE(YEAR(TLT[[#This Row],[Date]]),DAY(TLT[[#This Row],[Date]]),MONTH(TLT[[#This Row],[Date]]))</f>
        <v>43103</v>
      </c>
    </row>
    <row r="922" spans="1:3" x14ac:dyDescent="0.2">
      <c r="A922" s="1">
        <v>43132</v>
      </c>
      <c r="B922">
        <v>118.75</v>
      </c>
      <c r="C922" s="1">
        <f>DATE(YEAR(TLT[[#This Row],[Date]]),DAY(TLT[[#This Row],[Date]]),MONTH(TLT[[#This Row],[Date]]))</f>
        <v>43102</v>
      </c>
    </row>
    <row r="923" spans="1:3" x14ac:dyDescent="0.2">
      <c r="A923" s="1">
        <v>43101</v>
      </c>
      <c r="B923">
        <v>122.73</v>
      </c>
      <c r="C923" s="1">
        <f>DATE(YEAR(TLT[[#This Row],[Date]]),DAY(TLT[[#This Row],[Date]]),MONTH(TLT[[#This Row],[Date]]))</f>
        <v>43101</v>
      </c>
    </row>
    <row r="924" spans="1:3" x14ac:dyDescent="0.2">
      <c r="A924" s="1">
        <v>43070</v>
      </c>
      <c r="B924">
        <v>126.86</v>
      </c>
      <c r="C924" s="1">
        <f>DATE(YEAR(TLT[[#This Row],[Date]]),DAY(TLT[[#This Row],[Date]]),MONTH(TLT[[#This Row],[Date]]))</f>
        <v>42747</v>
      </c>
    </row>
    <row r="925" spans="1:3" x14ac:dyDescent="0.2">
      <c r="A925" s="1">
        <v>43040</v>
      </c>
      <c r="B925">
        <v>125.12</v>
      </c>
      <c r="C925" s="1">
        <f>DATE(YEAR(TLT[[#This Row],[Date]]),DAY(TLT[[#This Row],[Date]]),MONTH(TLT[[#This Row],[Date]]))</f>
        <v>42746</v>
      </c>
    </row>
    <row r="926" spans="1:3" x14ac:dyDescent="0.2">
      <c r="A926" s="1">
        <v>43009</v>
      </c>
      <c r="B926">
        <v>124.46</v>
      </c>
      <c r="C926" s="1">
        <f>DATE(YEAR(TLT[[#This Row],[Date]]),DAY(TLT[[#This Row],[Date]]),MONTH(TLT[[#This Row],[Date]]))</f>
        <v>42745</v>
      </c>
    </row>
    <row r="927" spans="1:3" x14ac:dyDescent="0.2">
      <c r="A927" s="1">
        <v>42979</v>
      </c>
      <c r="B927">
        <v>124.76</v>
      </c>
      <c r="C927" s="1">
        <f>DATE(YEAR(TLT[[#This Row],[Date]]),DAY(TLT[[#This Row],[Date]]),MONTH(TLT[[#This Row],[Date]]))</f>
        <v>42744</v>
      </c>
    </row>
    <row r="928" spans="1:3" x14ac:dyDescent="0.2">
      <c r="A928" s="1">
        <v>42948</v>
      </c>
      <c r="B928">
        <v>127.99</v>
      </c>
      <c r="C928" s="1">
        <f>DATE(YEAR(TLT[[#This Row],[Date]]),DAY(TLT[[#This Row],[Date]]),MONTH(TLT[[#This Row],[Date]]))</f>
        <v>42743</v>
      </c>
    </row>
    <row r="929" spans="1:3" x14ac:dyDescent="0.2">
      <c r="A929" s="1">
        <v>42917</v>
      </c>
      <c r="B929">
        <v>124.04</v>
      </c>
      <c r="C929" s="1">
        <f>DATE(YEAR(TLT[[#This Row],[Date]]),DAY(TLT[[#This Row],[Date]]),MONTH(TLT[[#This Row],[Date]]))</f>
        <v>42742</v>
      </c>
    </row>
    <row r="930" spans="1:3" x14ac:dyDescent="0.2">
      <c r="A930" s="1">
        <v>42887</v>
      </c>
      <c r="B930">
        <v>125.12</v>
      </c>
      <c r="C930" s="1">
        <f>DATE(YEAR(TLT[[#This Row],[Date]]),DAY(TLT[[#This Row],[Date]]),MONTH(TLT[[#This Row],[Date]]))</f>
        <v>42741</v>
      </c>
    </row>
    <row r="931" spans="1:3" x14ac:dyDescent="0.2">
      <c r="A931" s="1">
        <v>42856</v>
      </c>
      <c r="B931">
        <v>124.4</v>
      </c>
      <c r="C931" s="1">
        <f>DATE(YEAR(TLT[[#This Row],[Date]]),DAY(TLT[[#This Row],[Date]]),MONTH(TLT[[#This Row],[Date]]))</f>
        <v>42740</v>
      </c>
    </row>
    <row r="932" spans="1:3" x14ac:dyDescent="0.2">
      <c r="A932" s="1">
        <v>42826</v>
      </c>
      <c r="B932">
        <v>122.35</v>
      </c>
      <c r="C932" s="1">
        <f>DATE(YEAR(TLT[[#This Row],[Date]]),DAY(TLT[[#This Row],[Date]]),MONTH(TLT[[#This Row],[Date]]))</f>
        <v>42739</v>
      </c>
    </row>
    <row r="933" spans="1:3" x14ac:dyDescent="0.2">
      <c r="A933" s="1">
        <v>42795</v>
      </c>
      <c r="B933">
        <v>120.71</v>
      </c>
      <c r="C933" s="1">
        <f>DATE(YEAR(TLT[[#This Row],[Date]]),DAY(TLT[[#This Row],[Date]]),MONTH(TLT[[#This Row],[Date]]))</f>
        <v>42738</v>
      </c>
    </row>
    <row r="934" spans="1:3" x14ac:dyDescent="0.2">
      <c r="A934" s="1">
        <v>42767</v>
      </c>
      <c r="B934">
        <v>121.74</v>
      </c>
      <c r="C934" s="1">
        <f>DATE(YEAR(TLT[[#This Row],[Date]]),DAY(TLT[[#This Row],[Date]]),MONTH(TLT[[#This Row],[Date]]))</f>
        <v>42737</v>
      </c>
    </row>
    <row r="935" spans="1:3" x14ac:dyDescent="0.2">
      <c r="A935" s="1">
        <v>42736</v>
      </c>
      <c r="B935">
        <v>120.1</v>
      </c>
      <c r="C935" s="1">
        <f>DATE(YEAR(TLT[[#This Row],[Date]]),DAY(TLT[[#This Row],[Date]]),MONTH(TLT[[#This Row],[Date]]))</f>
        <v>42736</v>
      </c>
    </row>
    <row r="936" spans="1:3" x14ac:dyDescent="0.2">
      <c r="A936" s="1">
        <v>42705</v>
      </c>
      <c r="B936">
        <v>119.13</v>
      </c>
      <c r="C936" s="1">
        <f>DATE(YEAR(TLT[[#This Row],[Date]]),DAY(TLT[[#This Row],[Date]]),MONTH(TLT[[#This Row],[Date]]))</f>
        <v>42381</v>
      </c>
    </row>
    <row r="937" spans="1:3" x14ac:dyDescent="0.2">
      <c r="A937" s="1">
        <v>42675</v>
      </c>
      <c r="B937">
        <v>120.24</v>
      </c>
      <c r="C937" s="1">
        <f>DATE(YEAR(TLT[[#This Row],[Date]]),DAY(TLT[[#This Row],[Date]]),MONTH(TLT[[#This Row],[Date]]))</f>
        <v>42380</v>
      </c>
    </row>
    <row r="938" spans="1:3" x14ac:dyDescent="0.2">
      <c r="A938" s="1">
        <v>42644</v>
      </c>
      <c r="B938">
        <v>131.25</v>
      </c>
      <c r="C938" s="1">
        <f>DATE(YEAR(TLT[[#This Row],[Date]]),DAY(TLT[[#This Row],[Date]]),MONTH(TLT[[#This Row],[Date]]))</f>
        <v>42379</v>
      </c>
    </row>
    <row r="939" spans="1:3" x14ac:dyDescent="0.2">
      <c r="A939" s="1">
        <v>42614</v>
      </c>
      <c r="B939">
        <v>137.51</v>
      </c>
      <c r="C939" s="1">
        <f>DATE(YEAR(TLT[[#This Row],[Date]]),DAY(TLT[[#This Row],[Date]]),MONTH(TLT[[#This Row],[Date]]))</f>
        <v>42378</v>
      </c>
    </row>
    <row r="940" spans="1:3" x14ac:dyDescent="0.2">
      <c r="A940" s="1">
        <v>42583</v>
      </c>
      <c r="B940">
        <v>139.87</v>
      </c>
      <c r="C940" s="1">
        <f>DATE(YEAR(TLT[[#This Row],[Date]]),DAY(TLT[[#This Row],[Date]]),MONTH(TLT[[#This Row],[Date]]))</f>
        <v>42377</v>
      </c>
    </row>
    <row r="941" spans="1:3" x14ac:dyDescent="0.2">
      <c r="A941" s="1">
        <v>42552</v>
      </c>
      <c r="B941">
        <v>141.56</v>
      </c>
      <c r="C941" s="1">
        <f>DATE(YEAR(TLT[[#This Row],[Date]]),DAY(TLT[[#This Row],[Date]]),MONTH(TLT[[#This Row],[Date]]))</f>
        <v>42376</v>
      </c>
    </row>
    <row r="942" spans="1:3" x14ac:dyDescent="0.2">
      <c r="A942" s="1">
        <v>42522</v>
      </c>
      <c r="B942">
        <v>138.9</v>
      </c>
      <c r="C942" s="1">
        <f>DATE(YEAR(TLT[[#This Row],[Date]]),DAY(TLT[[#This Row],[Date]]),MONTH(TLT[[#This Row],[Date]]))</f>
        <v>42375</v>
      </c>
    </row>
    <row r="943" spans="1:3" x14ac:dyDescent="0.2">
      <c r="A943" s="1">
        <v>42491</v>
      </c>
      <c r="B943">
        <v>130.16</v>
      </c>
      <c r="C943" s="1">
        <f>DATE(YEAR(TLT[[#This Row],[Date]]),DAY(TLT[[#This Row],[Date]]),MONTH(TLT[[#This Row],[Date]]))</f>
        <v>42374</v>
      </c>
    </row>
    <row r="944" spans="1:3" x14ac:dyDescent="0.2">
      <c r="A944" s="1">
        <v>42461</v>
      </c>
      <c r="B944">
        <v>129.38</v>
      </c>
      <c r="C944" s="1">
        <f>DATE(YEAR(TLT[[#This Row],[Date]]),DAY(TLT[[#This Row],[Date]]),MONTH(TLT[[#This Row],[Date]]))</f>
        <v>42373</v>
      </c>
    </row>
    <row r="945" spans="1:3" x14ac:dyDescent="0.2">
      <c r="A945" s="1">
        <v>42430</v>
      </c>
      <c r="B945">
        <v>130.61000000000001</v>
      </c>
      <c r="C945" s="1">
        <f>DATE(YEAR(TLT[[#This Row],[Date]]),DAY(TLT[[#This Row],[Date]]),MONTH(TLT[[#This Row],[Date]]))</f>
        <v>42372</v>
      </c>
    </row>
    <row r="946" spans="1:3" x14ac:dyDescent="0.2">
      <c r="A946" s="1">
        <v>42401</v>
      </c>
      <c r="B946">
        <v>130.97999999999999</v>
      </c>
      <c r="C946" s="1">
        <f>DATE(YEAR(TLT[[#This Row],[Date]]),DAY(TLT[[#This Row],[Date]]),MONTH(TLT[[#This Row],[Date]]))</f>
        <v>42371</v>
      </c>
    </row>
    <row r="947" spans="1:3" x14ac:dyDescent="0.2">
      <c r="A947" s="1">
        <v>42370</v>
      </c>
      <c r="B947">
        <v>127.3</v>
      </c>
      <c r="C947" s="1">
        <f>DATE(YEAR(TLT[[#This Row],[Date]]),DAY(TLT[[#This Row],[Date]]),MONTH(TLT[[#This Row],[Date]]))</f>
        <v>42370</v>
      </c>
    </row>
    <row r="948" spans="1:3" x14ac:dyDescent="0.2">
      <c r="A948" s="1">
        <v>42339</v>
      </c>
      <c r="B948">
        <v>120.58</v>
      </c>
      <c r="C948" s="1">
        <f>DATE(YEAR(TLT[[#This Row],[Date]]),DAY(TLT[[#This Row],[Date]]),MONTH(TLT[[#This Row],[Date]]))</f>
        <v>42016</v>
      </c>
    </row>
    <row r="949" spans="1:3" x14ac:dyDescent="0.2">
      <c r="A949" s="1">
        <v>42309</v>
      </c>
      <c r="B949">
        <v>121.45</v>
      </c>
      <c r="C949" s="1">
        <f>DATE(YEAR(TLT[[#This Row],[Date]]),DAY(TLT[[#This Row],[Date]]),MONTH(TLT[[#This Row],[Date]]))</f>
        <v>42015</v>
      </c>
    </row>
    <row r="950" spans="1:3" x14ac:dyDescent="0.2">
      <c r="A950" s="1">
        <v>42278</v>
      </c>
      <c r="B950">
        <v>122.78</v>
      </c>
      <c r="C950" s="1">
        <f>DATE(YEAR(TLT[[#This Row],[Date]]),DAY(TLT[[#This Row],[Date]]),MONTH(TLT[[#This Row],[Date]]))</f>
        <v>42014</v>
      </c>
    </row>
    <row r="951" spans="1:3" x14ac:dyDescent="0.2">
      <c r="A951" s="1">
        <v>42248</v>
      </c>
      <c r="B951">
        <v>123.54</v>
      </c>
      <c r="C951" s="1">
        <f>DATE(YEAR(TLT[[#This Row],[Date]]),DAY(TLT[[#This Row],[Date]]),MONTH(TLT[[#This Row],[Date]]))</f>
        <v>42013</v>
      </c>
    </row>
    <row r="952" spans="1:3" x14ac:dyDescent="0.2">
      <c r="A952" s="1">
        <v>42217</v>
      </c>
      <c r="B952">
        <v>121.42</v>
      </c>
      <c r="C952" s="1">
        <f>DATE(YEAR(TLT[[#This Row],[Date]]),DAY(TLT[[#This Row],[Date]]),MONTH(TLT[[#This Row],[Date]]))</f>
        <v>42012</v>
      </c>
    </row>
    <row r="953" spans="1:3" x14ac:dyDescent="0.2">
      <c r="A953" s="1">
        <v>42186</v>
      </c>
      <c r="B953">
        <v>122.53</v>
      </c>
      <c r="C953" s="1">
        <f>DATE(YEAR(TLT[[#This Row],[Date]]),DAY(TLT[[#This Row],[Date]]),MONTH(TLT[[#This Row],[Date]]))</f>
        <v>42011</v>
      </c>
    </row>
    <row r="954" spans="1:3" x14ac:dyDescent="0.2">
      <c r="A954" s="1">
        <v>42156</v>
      </c>
      <c r="B954">
        <v>117.46</v>
      </c>
      <c r="C954" s="1">
        <f>DATE(YEAR(TLT[[#This Row],[Date]]),DAY(TLT[[#This Row],[Date]]),MONTH(TLT[[#This Row],[Date]]))</f>
        <v>42010</v>
      </c>
    </row>
    <row r="955" spans="1:3" x14ac:dyDescent="0.2">
      <c r="A955" s="1">
        <v>42125</v>
      </c>
      <c r="B955">
        <v>122.71</v>
      </c>
      <c r="C955" s="1">
        <f>DATE(YEAR(TLT[[#This Row],[Date]]),DAY(TLT[[#This Row],[Date]]),MONTH(TLT[[#This Row],[Date]]))</f>
        <v>42009</v>
      </c>
    </row>
    <row r="956" spans="1:3" x14ac:dyDescent="0.2">
      <c r="A956" s="1">
        <v>42095</v>
      </c>
      <c r="B956">
        <v>125.95</v>
      </c>
      <c r="C956" s="1">
        <f>DATE(YEAR(TLT[[#This Row],[Date]]),DAY(TLT[[#This Row],[Date]]),MONTH(TLT[[#This Row],[Date]]))</f>
        <v>42008</v>
      </c>
    </row>
    <row r="957" spans="1:3" x14ac:dyDescent="0.2">
      <c r="A957" s="1">
        <v>42064</v>
      </c>
      <c r="B957">
        <v>130.69</v>
      </c>
      <c r="C957" s="1">
        <f>DATE(YEAR(TLT[[#This Row],[Date]]),DAY(TLT[[#This Row],[Date]]),MONTH(TLT[[#This Row],[Date]]))</f>
        <v>42007</v>
      </c>
    </row>
    <row r="958" spans="1:3" x14ac:dyDescent="0.2">
      <c r="A958" s="1">
        <v>42036</v>
      </c>
      <c r="B958">
        <v>129.53</v>
      </c>
      <c r="C958" s="1">
        <f>DATE(YEAR(TLT[[#This Row],[Date]]),DAY(TLT[[#This Row],[Date]]),MONTH(TLT[[#This Row],[Date]]))</f>
        <v>42006</v>
      </c>
    </row>
    <row r="959" spans="1:3" x14ac:dyDescent="0.2">
      <c r="A959" s="1">
        <v>42005</v>
      </c>
      <c r="B959">
        <v>138.28</v>
      </c>
      <c r="C959" s="1">
        <f>DATE(YEAR(TLT[[#This Row],[Date]]),DAY(TLT[[#This Row],[Date]]),MONTH(TLT[[#This Row],[Date]]))</f>
        <v>42005</v>
      </c>
    </row>
    <row r="963" spans="1:3" x14ac:dyDescent="0.2">
      <c r="A963" s="104" t="s">
        <v>914</v>
      </c>
      <c r="B963" s="104"/>
    </row>
    <row r="964" spans="1:3" x14ac:dyDescent="0.2">
      <c r="A964" t="s">
        <v>0</v>
      </c>
      <c r="B964" t="s">
        <v>914</v>
      </c>
      <c r="C964" t="s">
        <v>1305</v>
      </c>
    </row>
    <row r="965" spans="1:3" x14ac:dyDescent="0.2">
      <c r="A965" s="1">
        <v>46023</v>
      </c>
      <c r="B965">
        <v>753.57</v>
      </c>
      <c r="C965" s="1">
        <f>DATE(YEAR(VGT[[#This Row],[Date]]),DAY(VGT[[#This Row],[Date]]),MONTH(VGT[[#This Row],[Date]]))</f>
        <v>46023</v>
      </c>
    </row>
    <row r="966" spans="1:3" x14ac:dyDescent="0.2">
      <c r="A966" s="1">
        <v>45992</v>
      </c>
      <c r="B966">
        <v>753.78</v>
      </c>
      <c r="C966" s="1">
        <f>DATE(YEAR(VGT[[#This Row],[Date]]),DAY(VGT[[#This Row],[Date]]),MONTH(VGT[[#This Row],[Date]]))</f>
        <v>45669</v>
      </c>
    </row>
    <row r="967" spans="1:3" x14ac:dyDescent="0.2">
      <c r="A967" s="1">
        <v>45962</v>
      </c>
      <c r="B967">
        <v>752.2</v>
      </c>
      <c r="C967" s="1">
        <f>DATE(YEAR(VGT[[#This Row],[Date]]),DAY(VGT[[#This Row],[Date]]),MONTH(VGT[[#This Row],[Date]]))</f>
        <v>45668</v>
      </c>
    </row>
    <row r="968" spans="1:3" x14ac:dyDescent="0.2">
      <c r="A968" s="1">
        <v>45931</v>
      </c>
      <c r="B968">
        <v>793.21</v>
      </c>
      <c r="C968" s="1">
        <f>DATE(YEAR(VGT[[#This Row],[Date]]),DAY(VGT[[#This Row],[Date]]),MONTH(VGT[[#This Row],[Date]]))</f>
        <v>45667</v>
      </c>
    </row>
    <row r="969" spans="1:3" x14ac:dyDescent="0.2">
      <c r="A969" s="1">
        <v>45901</v>
      </c>
      <c r="B969">
        <v>746.63</v>
      </c>
      <c r="C969" s="1">
        <f>DATE(YEAR(VGT[[#This Row],[Date]]),DAY(VGT[[#This Row],[Date]]),MONTH(VGT[[#This Row],[Date]]))</f>
        <v>45666</v>
      </c>
    </row>
    <row r="970" spans="1:3" x14ac:dyDescent="0.2">
      <c r="A970" s="1">
        <v>45870</v>
      </c>
      <c r="B970">
        <v>697.02</v>
      </c>
      <c r="C970" s="1">
        <f>DATE(YEAR(VGT[[#This Row],[Date]]),DAY(VGT[[#This Row],[Date]]),MONTH(VGT[[#This Row],[Date]]))</f>
        <v>45665</v>
      </c>
    </row>
    <row r="971" spans="1:3" x14ac:dyDescent="0.2">
      <c r="A971" s="1">
        <v>45839</v>
      </c>
      <c r="B971">
        <v>690.47</v>
      </c>
      <c r="C971" s="1">
        <f>DATE(YEAR(VGT[[#This Row],[Date]]),DAY(VGT[[#This Row],[Date]]),MONTH(VGT[[#This Row],[Date]]))</f>
        <v>45664</v>
      </c>
    </row>
    <row r="972" spans="1:3" x14ac:dyDescent="0.2">
      <c r="A972" s="1">
        <v>45809</v>
      </c>
      <c r="B972">
        <v>663.28</v>
      </c>
      <c r="C972" s="1">
        <f>DATE(YEAR(VGT[[#This Row],[Date]]),DAY(VGT[[#This Row],[Date]]),MONTH(VGT[[#This Row],[Date]]))</f>
        <v>45663</v>
      </c>
    </row>
    <row r="973" spans="1:3" x14ac:dyDescent="0.2">
      <c r="A973" s="1">
        <v>45778</v>
      </c>
      <c r="B973">
        <v>606.37</v>
      </c>
      <c r="C973" s="1">
        <f>DATE(YEAR(VGT[[#This Row],[Date]]),DAY(VGT[[#This Row],[Date]]),MONTH(VGT[[#This Row],[Date]]))</f>
        <v>45662</v>
      </c>
    </row>
    <row r="974" spans="1:3" x14ac:dyDescent="0.2">
      <c r="A974" s="1">
        <v>45748</v>
      </c>
      <c r="B974">
        <v>549.45000000000005</v>
      </c>
      <c r="C974" s="1">
        <f>DATE(YEAR(VGT[[#This Row],[Date]]),DAY(VGT[[#This Row],[Date]]),MONTH(VGT[[#This Row],[Date]]))</f>
        <v>45661</v>
      </c>
    </row>
    <row r="975" spans="1:3" x14ac:dyDescent="0.2">
      <c r="A975" s="1">
        <v>45717</v>
      </c>
      <c r="B975">
        <v>542.38</v>
      </c>
      <c r="C975" s="1">
        <f>DATE(YEAR(VGT[[#This Row],[Date]]),DAY(VGT[[#This Row],[Date]]),MONTH(VGT[[#This Row],[Date]]))</f>
        <v>45660</v>
      </c>
    </row>
    <row r="976" spans="1:3" x14ac:dyDescent="0.2">
      <c r="A976" s="1">
        <v>45689</v>
      </c>
      <c r="B976">
        <v>598.48</v>
      </c>
      <c r="C976" s="1">
        <f>DATE(YEAR(VGT[[#This Row],[Date]]),DAY(VGT[[#This Row],[Date]]),MONTH(VGT[[#This Row],[Date]]))</f>
        <v>45659</v>
      </c>
    </row>
    <row r="977" spans="1:3" x14ac:dyDescent="0.2">
      <c r="A977" s="1">
        <v>45658</v>
      </c>
      <c r="B977">
        <v>616.61</v>
      </c>
      <c r="C977" s="1">
        <f>DATE(YEAR(VGT[[#This Row],[Date]]),DAY(VGT[[#This Row],[Date]]),MONTH(VGT[[#This Row],[Date]]))</f>
        <v>45658</v>
      </c>
    </row>
    <row r="978" spans="1:3" x14ac:dyDescent="0.2">
      <c r="A978" s="1">
        <v>45627</v>
      </c>
      <c r="B978">
        <v>621.79999999999995</v>
      </c>
      <c r="C978" s="1">
        <f>DATE(YEAR(VGT[[#This Row],[Date]]),DAY(VGT[[#This Row],[Date]]),MONTH(VGT[[#This Row],[Date]]))</f>
        <v>45303</v>
      </c>
    </row>
    <row r="979" spans="1:3" x14ac:dyDescent="0.2">
      <c r="A979" s="1">
        <v>45597</v>
      </c>
      <c r="B979">
        <v>622.25</v>
      </c>
      <c r="C979" s="1">
        <f>DATE(YEAR(VGT[[#This Row],[Date]]),DAY(VGT[[#This Row],[Date]]),MONTH(VGT[[#This Row],[Date]]))</f>
        <v>45302</v>
      </c>
    </row>
    <row r="980" spans="1:3" x14ac:dyDescent="0.2">
      <c r="A980" s="1">
        <v>45566</v>
      </c>
      <c r="B980">
        <v>582.29999999999995</v>
      </c>
      <c r="C980" s="1">
        <f>DATE(YEAR(VGT[[#This Row],[Date]]),DAY(VGT[[#This Row],[Date]]),MONTH(VGT[[#This Row],[Date]]))</f>
        <v>45301</v>
      </c>
    </row>
    <row r="981" spans="1:3" x14ac:dyDescent="0.2">
      <c r="A981" s="1">
        <v>45536</v>
      </c>
      <c r="B981">
        <v>586.52</v>
      </c>
      <c r="C981" s="1">
        <f>DATE(YEAR(VGT[[#This Row],[Date]]),DAY(VGT[[#This Row],[Date]]),MONTH(VGT[[#This Row],[Date]]))</f>
        <v>45300</v>
      </c>
    </row>
    <row r="982" spans="1:3" x14ac:dyDescent="0.2">
      <c r="A982" s="1">
        <v>45505</v>
      </c>
      <c r="B982">
        <v>573.97</v>
      </c>
      <c r="C982" s="1">
        <f>DATE(YEAR(VGT[[#This Row],[Date]]),DAY(VGT[[#This Row],[Date]]),MONTH(VGT[[#This Row],[Date]]))</f>
        <v>45299</v>
      </c>
    </row>
    <row r="983" spans="1:3" x14ac:dyDescent="0.2">
      <c r="A983" s="1">
        <v>45474</v>
      </c>
      <c r="B983">
        <v>568.01</v>
      </c>
      <c r="C983" s="1">
        <f>DATE(YEAR(VGT[[#This Row],[Date]]),DAY(VGT[[#This Row],[Date]]),MONTH(VGT[[#This Row],[Date]]))</f>
        <v>45298</v>
      </c>
    </row>
    <row r="984" spans="1:3" x14ac:dyDescent="0.2">
      <c r="A984" s="1">
        <v>45444</v>
      </c>
      <c r="B984">
        <v>576.59</v>
      </c>
      <c r="C984" s="1">
        <f>DATE(YEAR(VGT[[#This Row],[Date]]),DAY(VGT[[#This Row],[Date]]),MONTH(VGT[[#This Row],[Date]]))</f>
        <v>45297</v>
      </c>
    </row>
    <row r="985" spans="1:3" x14ac:dyDescent="0.2">
      <c r="A985" s="1">
        <v>45413</v>
      </c>
      <c r="B985">
        <v>534.61</v>
      </c>
      <c r="C985" s="1">
        <f>DATE(YEAR(VGT[[#This Row],[Date]]),DAY(VGT[[#This Row],[Date]]),MONTH(VGT[[#This Row],[Date]]))</f>
        <v>45296</v>
      </c>
    </row>
    <row r="986" spans="1:3" x14ac:dyDescent="0.2">
      <c r="A986" s="1">
        <v>45383</v>
      </c>
      <c r="B986">
        <v>494.73</v>
      </c>
      <c r="C986" s="1">
        <f>DATE(YEAR(VGT[[#This Row],[Date]]),DAY(VGT[[#This Row],[Date]]),MONTH(VGT[[#This Row],[Date]]))</f>
        <v>45295</v>
      </c>
    </row>
    <row r="987" spans="1:3" x14ac:dyDescent="0.2">
      <c r="A987" s="1">
        <v>45352</v>
      </c>
      <c r="B987">
        <v>524.34</v>
      </c>
      <c r="C987" s="1">
        <f>DATE(YEAR(VGT[[#This Row],[Date]]),DAY(VGT[[#This Row],[Date]]),MONTH(VGT[[#This Row],[Date]]))</f>
        <v>45294</v>
      </c>
    </row>
    <row r="988" spans="1:3" x14ac:dyDescent="0.2">
      <c r="A988" s="1">
        <v>45323</v>
      </c>
      <c r="B988">
        <v>517.79</v>
      </c>
      <c r="C988" s="1">
        <f>DATE(YEAR(VGT[[#This Row],[Date]]),DAY(VGT[[#This Row],[Date]]),MONTH(VGT[[#This Row],[Date]]))</f>
        <v>45293</v>
      </c>
    </row>
    <row r="989" spans="1:3" x14ac:dyDescent="0.2">
      <c r="A989" s="1">
        <v>45292</v>
      </c>
      <c r="B989">
        <v>493.91</v>
      </c>
      <c r="C989" s="1">
        <f>DATE(YEAR(VGT[[#This Row],[Date]]),DAY(VGT[[#This Row],[Date]]),MONTH(VGT[[#This Row],[Date]]))</f>
        <v>45292</v>
      </c>
    </row>
    <row r="990" spans="1:3" x14ac:dyDescent="0.2">
      <c r="A990" s="1">
        <v>45261</v>
      </c>
      <c r="B990">
        <v>484</v>
      </c>
      <c r="C990" s="1">
        <f>DATE(YEAR(VGT[[#This Row],[Date]]),DAY(VGT[[#This Row],[Date]]),MONTH(VGT[[#This Row],[Date]]))</f>
        <v>44938</v>
      </c>
    </row>
    <row r="991" spans="1:3" x14ac:dyDescent="0.2">
      <c r="A991" s="1">
        <v>45231</v>
      </c>
      <c r="B991">
        <v>462.03</v>
      </c>
      <c r="C991" s="1">
        <f>DATE(YEAR(VGT[[#This Row],[Date]]),DAY(VGT[[#This Row],[Date]]),MONTH(VGT[[#This Row],[Date]]))</f>
        <v>44937</v>
      </c>
    </row>
    <row r="992" spans="1:3" x14ac:dyDescent="0.2">
      <c r="A992" s="1">
        <v>45200</v>
      </c>
      <c r="B992">
        <v>407.8</v>
      </c>
      <c r="C992" s="1">
        <f>DATE(YEAR(VGT[[#This Row],[Date]]),DAY(VGT[[#This Row],[Date]]),MONTH(VGT[[#This Row],[Date]]))</f>
        <v>44936</v>
      </c>
    </row>
    <row r="993" spans="1:3" x14ac:dyDescent="0.2">
      <c r="A993" s="1">
        <v>45170</v>
      </c>
      <c r="B993">
        <v>414.9</v>
      </c>
      <c r="C993" s="1">
        <f>DATE(YEAR(VGT[[#This Row],[Date]]),DAY(VGT[[#This Row],[Date]]),MONTH(VGT[[#This Row],[Date]]))</f>
        <v>44935</v>
      </c>
    </row>
    <row r="994" spans="1:3" x14ac:dyDescent="0.2">
      <c r="A994" s="1">
        <v>45139</v>
      </c>
      <c r="B994">
        <v>444.88</v>
      </c>
      <c r="C994" s="1">
        <f>DATE(YEAR(VGT[[#This Row],[Date]]),DAY(VGT[[#This Row],[Date]]),MONTH(VGT[[#This Row],[Date]]))</f>
        <v>44934</v>
      </c>
    </row>
    <row r="995" spans="1:3" x14ac:dyDescent="0.2">
      <c r="A995" s="1">
        <v>45108</v>
      </c>
      <c r="B995">
        <v>454.81</v>
      </c>
      <c r="C995" s="1">
        <f>DATE(YEAR(VGT[[#This Row],[Date]]),DAY(VGT[[#This Row],[Date]]),MONTH(VGT[[#This Row],[Date]]))</f>
        <v>44933</v>
      </c>
    </row>
    <row r="996" spans="1:3" x14ac:dyDescent="0.2">
      <c r="A996" s="1">
        <v>45078</v>
      </c>
      <c r="B996">
        <v>442.16</v>
      </c>
      <c r="C996" s="1">
        <f>DATE(YEAR(VGT[[#This Row],[Date]]),DAY(VGT[[#This Row],[Date]]),MONTH(VGT[[#This Row],[Date]]))</f>
        <v>44932</v>
      </c>
    </row>
    <row r="997" spans="1:3" x14ac:dyDescent="0.2">
      <c r="A997" s="1">
        <v>45047</v>
      </c>
      <c r="B997">
        <v>416.88</v>
      </c>
      <c r="C997" s="1">
        <f>DATE(YEAR(VGT[[#This Row],[Date]]),DAY(VGT[[#This Row],[Date]]),MONTH(VGT[[#This Row],[Date]]))</f>
        <v>44931</v>
      </c>
    </row>
    <row r="998" spans="1:3" x14ac:dyDescent="0.2">
      <c r="A998" s="1">
        <v>45017</v>
      </c>
      <c r="B998">
        <v>384.36</v>
      </c>
      <c r="C998" s="1">
        <f>DATE(YEAR(VGT[[#This Row],[Date]]),DAY(VGT[[#This Row],[Date]]),MONTH(VGT[[#This Row],[Date]]))</f>
        <v>44930</v>
      </c>
    </row>
    <row r="999" spans="1:3" x14ac:dyDescent="0.2">
      <c r="A999" s="1">
        <v>44986</v>
      </c>
      <c r="B999">
        <v>385.47</v>
      </c>
      <c r="C999" s="1">
        <f>DATE(YEAR(VGT[[#This Row],[Date]]),DAY(VGT[[#This Row],[Date]]),MONTH(VGT[[#This Row],[Date]]))</f>
        <v>44929</v>
      </c>
    </row>
    <row r="1000" spans="1:3" x14ac:dyDescent="0.2">
      <c r="A1000" s="1">
        <v>44958</v>
      </c>
      <c r="B1000">
        <v>352.12</v>
      </c>
      <c r="C1000" s="1">
        <f>DATE(YEAR(VGT[[#This Row],[Date]]),DAY(VGT[[#This Row],[Date]]),MONTH(VGT[[#This Row],[Date]]))</f>
        <v>44928</v>
      </c>
    </row>
    <row r="1001" spans="1:3" x14ac:dyDescent="0.2">
      <c r="A1001" s="1">
        <v>44927</v>
      </c>
      <c r="B1001">
        <v>350.38</v>
      </c>
      <c r="C1001" s="1">
        <f>DATE(YEAR(VGT[[#This Row],[Date]]),DAY(VGT[[#This Row],[Date]]),MONTH(VGT[[#This Row],[Date]]))</f>
        <v>44927</v>
      </c>
    </row>
    <row r="1002" spans="1:3" x14ac:dyDescent="0.2">
      <c r="A1002" s="1">
        <v>44896</v>
      </c>
      <c r="B1002">
        <v>319.41000000000003</v>
      </c>
      <c r="C1002" s="1">
        <f>DATE(YEAR(VGT[[#This Row],[Date]]),DAY(VGT[[#This Row],[Date]]),MONTH(VGT[[#This Row],[Date]]))</f>
        <v>44573</v>
      </c>
    </row>
    <row r="1003" spans="1:3" x14ac:dyDescent="0.2">
      <c r="A1003" s="1">
        <v>44866</v>
      </c>
      <c r="B1003">
        <v>347.94</v>
      </c>
      <c r="C1003" s="1">
        <f>DATE(YEAR(VGT[[#This Row],[Date]]),DAY(VGT[[#This Row],[Date]]),MONTH(VGT[[#This Row],[Date]]))</f>
        <v>44572</v>
      </c>
    </row>
    <row r="1004" spans="1:3" x14ac:dyDescent="0.2">
      <c r="A1004" s="1">
        <v>44835</v>
      </c>
      <c r="B1004">
        <v>330.2</v>
      </c>
      <c r="C1004" s="1">
        <f>DATE(YEAR(VGT[[#This Row],[Date]]),DAY(VGT[[#This Row],[Date]]),MONTH(VGT[[#This Row],[Date]]))</f>
        <v>44571</v>
      </c>
    </row>
    <row r="1005" spans="1:3" x14ac:dyDescent="0.2">
      <c r="A1005" s="1">
        <v>44805</v>
      </c>
      <c r="B1005">
        <v>307.37</v>
      </c>
      <c r="C1005" s="1">
        <f>DATE(YEAR(VGT[[#This Row],[Date]]),DAY(VGT[[#This Row],[Date]]),MONTH(VGT[[#This Row],[Date]]))</f>
        <v>44570</v>
      </c>
    </row>
    <row r="1006" spans="1:3" x14ac:dyDescent="0.2">
      <c r="A1006" s="1">
        <v>44774</v>
      </c>
      <c r="B1006">
        <v>349.28</v>
      </c>
      <c r="C1006" s="1">
        <f>DATE(YEAR(VGT[[#This Row],[Date]]),DAY(VGT[[#This Row],[Date]]),MONTH(VGT[[#This Row],[Date]]))</f>
        <v>44569</v>
      </c>
    </row>
    <row r="1007" spans="1:3" x14ac:dyDescent="0.2">
      <c r="A1007" s="1">
        <v>44743</v>
      </c>
      <c r="B1007">
        <v>370.2</v>
      </c>
      <c r="C1007" s="1">
        <f>DATE(YEAR(VGT[[#This Row],[Date]]),DAY(VGT[[#This Row],[Date]]),MONTH(VGT[[#This Row],[Date]]))</f>
        <v>44568</v>
      </c>
    </row>
    <row r="1008" spans="1:3" x14ac:dyDescent="0.2">
      <c r="A1008" s="1">
        <v>44713</v>
      </c>
      <c r="B1008">
        <v>326.55</v>
      </c>
      <c r="C1008" s="1">
        <f>DATE(YEAR(VGT[[#This Row],[Date]]),DAY(VGT[[#This Row],[Date]]),MONTH(VGT[[#This Row],[Date]]))</f>
        <v>44567</v>
      </c>
    </row>
    <row r="1009" spans="1:3" x14ac:dyDescent="0.2">
      <c r="A1009" s="1">
        <v>44682</v>
      </c>
      <c r="B1009">
        <v>361.1</v>
      </c>
      <c r="C1009" s="1">
        <f>DATE(YEAR(VGT[[#This Row],[Date]]),DAY(VGT[[#This Row],[Date]]),MONTH(VGT[[#This Row],[Date]]))</f>
        <v>44566</v>
      </c>
    </row>
    <row r="1010" spans="1:3" x14ac:dyDescent="0.2">
      <c r="A1010" s="1">
        <v>44652</v>
      </c>
      <c r="B1010">
        <v>367.2</v>
      </c>
      <c r="C1010" s="1">
        <f>DATE(YEAR(VGT[[#This Row],[Date]]),DAY(VGT[[#This Row],[Date]]),MONTH(VGT[[#This Row],[Date]]))</f>
        <v>44565</v>
      </c>
    </row>
    <row r="1011" spans="1:3" x14ac:dyDescent="0.2">
      <c r="A1011" s="1">
        <v>44621</v>
      </c>
      <c r="B1011">
        <v>416.48</v>
      </c>
      <c r="C1011" s="1">
        <f>DATE(YEAR(VGT[[#This Row],[Date]]),DAY(VGT[[#This Row],[Date]]),MONTH(VGT[[#This Row],[Date]]))</f>
        <v>44564</v>
      </c>
    </row>
    <row r="1012" spans="1:3" x14ac:dyDescent="0.2">
      <c r="A1012" s="1">
        <v>44593</v>
      </c>
      <c r="B1012">
        <v>403.91</v>
      </c>
      <c r="C1012" s="1">
        <f>DATE(YEAR(VGT[[#This Row],[Date]]),DAY(VGT[[#This Row],[Date]]),MONTH(VGT[[#This Row],[Date]]))</f>
        <v>44563</v>
      </c>
    </row>
    <row r="1013" spans="1:3" x14ac:dyDescent="0.2">
      <c r="A1013" s="1">
        <v>44562</v>
      </c>
      <c r="B1013">
        <v>422.26</v>
      </c>
      <c r="C1013" s="1">
        <f>DATE(YEAR(VGT[[#This Row],[Date]]),DAY(VGT[[#This Row],[Date]]),MONTH(VGT[[#This Row],[Date]]))</f>
        <v>44562</v>
      </c>
    </row>
    <row r="1014" spans="1:3" x14ac:dyDescent="0.2">
      <c r="A1014" s="1">
        <v>44531</v>
      </c>
      <c r="B1014">
        <v>458.17</v>
      </c>
      <c r="C1014" s="1">
        <f>DATE(YEAR(VGT[[#This Row],[Date]]),DAY(VGT[[#This Row],[Date]]),MONTH(VGT[[#This Row],[Date]]))</f>
        <v>44208</v>
      </c>
    </row>
    <row r="1015" spans="1:3" x14ac:dyDescent="0.2">
      <c r="A1015" s="1">
        <v>44501</v>
      </c>
      <c r="B1015">
        <v>447.69</v>
      </c>
      <c r="C1015" s="1">
        <f>DATE(YEAR(VGT[[#This Row],[Date]]),DAY(VGT[[#This Row],[Date]]),MONTH(VGT[[#This Row],[Date]]))</f>
        <v>44207</v>
      </c>
    </row>
    <row r="1016" spans="1:3" x14ac:dyDescent="0.2">
      <c r="A1016" s="1">
        <v>44470</v>
      </c>
      <c r="B1016">
        <v>434.16</v>
      </c>
      <c r="C1016" s="1">
        <f>DATE(YEAR(VGT[[#This Row],[Date]]),DAY(VGT[[#This Row],[Date]]),MONTH(VGT[[#This Row],[Date]]))</f>
        <v>44206</v>
      </c>
    </row>
    <row r="1017" spans="1:3" x14ac:dyDescent="0.2">
      <c r="A1017" s="1">
        <v>44440</v>
      </c>
      <c r="B1017">
        <v>401.29</v>
      </c>
      <c r="C1017" s="1">
        <f>DATE(YEAR(VGT[[#This Row],[Date]]),DAY(VGT[[#This Row],[Date]]),MONTH(VGT[[#This Row],[Date]]))</f>
        <v>44205</v>
      </c>
    </row>
    <row r="1018" spans="1:3" x14ac:dyDescent="0.2">
      <c r="A1018" s="1">
        <v>44409</v>
      </c>
      <c r="B1018">
        <v>426.68</v>
      </c>
      <c r="C1018" s="1">
        <f>DATE(YEAR(VGT[[#This Row],[Date]]),DAY(VGT[[#This Row],[Date]]),MONTH(VGT[[#This Row],[Date]]))</f>
        <v>44204</v>
      </c>
    </row>
    <row r="1019" spans="1:3" x14ac:dyDescent="0.2">
      <c r="A1019" s="1">
        <v>44378</v>
      </c>
      <c r="B1019">
        <v>412.21</v>
      </c>
      <c r="C1019" s="1">
        <f>DATE(YEAR(VGT[[#This Row],[Date]]),DAY(VGT[[#This Row],[Date]]),MONTH(VGT[[#This Row],[Date]]))</f>
        <v>44203</v>
      </c>
    </row>
    <row r="1020" spans="1:3" x14ac:dyDescent="0.2">
      <c r="A1020" s="1">
        <v>44348</v>
      </c>
      <c r="B1020">
        <v>398.77</v>
      </c>
      <c r="C1020" s="1">
        <f>DATE(YEAR(VGT[[#This Row],[Date]]),DAY(VGT[[#This Row],[Date]]),MONTH(VGT[[#This Row],[Date]]))</f>
        <v>44202</v>
      </c>
    </row>
    <row r="1021" spans="1:3" x14ac:dyDescent="0.2">
      <c r="A1021" s="1">
        <v>44317</v>
      </c>
      <c r="B1021">
        <v>372.28</v>
      </c>
      <c r="C1021" s="1">
        <f>DATE(YEAR(VGT[[#This Row],[Date]]),DAY(VGT[[#This Row],[Date]]),MONTH(VGT[[#This Row],[Date]]))</f>
        <v>44201</v>
      </c>
    </row>
    <row r="1022" spans="1:3" x14ac:dyDescent="0.2">
      <c r="A1022" s="1">
        <v>44287</v>
      </c>
      <c r="B1022">
        <v>376.94</v>
      </c>
      <c r="C1022" s="1">
        <f>DATE(YEAR(VGT[[#This Row],[Date]]),DAY(VGT[[#This Row],[Date]]),MONTH(VGT[[#This Row],[Date]]))</f>
        <v>44200</v>
      </c>
    </row>
    <row r="1023" spans="1:3" x14ac:dyDescent="0.2">
      <c r="A1023" s="1">
        <v>44256</v>
      </c>
      <c r="B1023">
        <v>358.49</v>
      </c>
      <c r="C1023" s="1">
        <f>DATE(YEAR(VGT[[#This Row],[Date]]),DAY(VGT[[#This Row],[Date]]),MONTH(VGT[[#This Row],[Date]]))</f>
        <v>44199</v>
      </c>
    </row>
    <row r="1024" spans="1:3" x14ac:dyDescent="0.2">
      <c r="A1024" s="1">
        <v>44228</v>
      </c>
      <c r="B1024">
        <v>356.5</v>
      </c>
      <c r="C1024" s="1">
        <f>DATE(YEAR(VGT[[#This Row],[Date]]),DAY(VGT[[#This Row],[Date]]),MONTH(VGT[[#This Row],[Date]]))</f>
        <v>44198</v>
      </c>
    </row>
    <row r="1025" spans="1:3" x14ac:dyDescent="0.2">
      <c r="A1025" s="1">
        <v>44197</v>
      </c>
      <c r="B1025">
        <v>351.3</v>
      </c>
      <c r="C1025" s="1">
        <f>DATE(YEAR(VGT[[#This Row],[Date]]),DAY(VGT[[#This Row],[Date]]),MONTH(VGT[[#This Row],[Date]]))</f>
        <v>44197</v>
      </c>
    </row>
    <row r="1026" spans="1:3" x14ac:dyDescent="0.2">
      <c r="A1026" s="1">
        <v>44166</v>
      </c>
      <c r="B1026">
        <v>353.79</v>
      </c>
      <c r="C1026" s="1">
        <f>DATE(YEAR(VGT[[#This Row],[Date]]),DAY(VGT[[#This Row],[Date]]),MONTH(VGT[[#This Row],[Date]]))</f>
        <v>43842</v>
      </c>
    </row>
    <row r="1027" spans="1:3" x14ac:dyDescent="0.2">
      <c r="A1027" s="1">
        <v>44136</v>
      </c>
      <c r="B1027">
        <v>335.33</v>
      </c>
      <c r="C1027" s="1">
        <f>DATE(YEAR(VGT[[#This Row],[Date]]),DAY(VGT[[#This Row],[Date]]),MONTH(VGT[[#This Row],[Date]]))</f>
        <v>43841</v>
      </c>
    </row>
    <row r="1028" spans="1:3" x14ac:dyDescent="0.2">
      <c r="A1028" s="1">
        <v>44105</v>
      </c>
      <c r="B1028">
        <v>297.99</v>
      </c>
      <c r="C1028" s="1">
        <f>DATE(YEAR(VGT[[#This Row],[Date]]),DAY(VGT[[#This Row],[Date]]),MONTH(VGT[[#This Row],[Date]]))</f>
        <v>43840</v>
      </c>
    </row>
    <row r="1029" spans="1:3" x14ac:dyDescent="0.2">
      <c r="A1029" s="1">
        <v>44075</v>
      </c>
      <c r="B1029">
        <v>311.45</v>
      </c>
      <c r="C1029" s="1">
        <f>DATE(YEAR(VGT[[#This Row],[Date]]),DAY(VGT[[#This Row],[Date]]),MONTH(VGT[[#This Row],[Date]]))</f>
        <v>43839</v>
      </c>
    </row>
    <row r="1030" spans="1:3" x14ac:dyDescent="0.2">
      <c r="A1030" s="1">
        <v>44044</v>
      </c>
      <c r="B1030">
        <v>328.15</v>
      </c>
      <c r="C1030" s="1">
        <f>DATE(YEAR(VGT[[#This Row],[Date]]),DAY(VGT[[#This Row],[Date]]),MONTH(VGT[[#This Row],[Date]]))</f>
        <v>43838</v>
      </c>
    </row>
    <row r="1031" spans="1:3" x14ac:dyDescent="0.2">
      <c r="A1031" s="1">
        <v>44013</v>
      </c>
      <c r="B1031">
        <v>295.27</v>
      </c>
      <c r="C1031" s="1">
        <f>DATE(YEAR(VGT[[#This Row],[Date]]),DAY(VGT[[#This Row],[Date]]),MONTH(VGT[[#This Row],[Date]]))</f>
        <v>43837</v>
      </c>
    </row>
    <row r="1032" spans="1:3" x14ac:dyDescent="0.2">
      <c r="A1032" s="1">
        <v>43983</v>
      </c>
      <c r="B1032">
        <v>278.70999999999998</v>
      </c>
      <c r="C1032" s="1">
        <f>DATE(YEAR(VGT[[#This Row],[Date]]),DAY(VGT[[#This Row],[Date]]),MONTH(VGT[[#This Row],[Date]]))</f>
        <v>43836</v>
      </c>
    </row>
    <row r="1033" spans="1:3" x14ac:dyDescent="0.2">
      <c r="A1033" s="1">
        <v>43952</v>
      </c>
      <c r="B1033">
        <v>261.02999999999997</v>
      </c>
      <c r="C1033" s="1">
        <f>DATE(YEAR(VGT[[#This Row],[Date]]),DAY(VGT[[#This Row],[Date]]),MONTH(VGT[[#This Row],[Date]]))</f>
        <v>43835</v>
      </c>
    </row>
    <row r="1034" spans="1:3" x14ac:dyDescent="0.2">
      <c r="A1034" s="1">
        <v>43922</v>
      </c>
      <c r="B1034">
        <v>242</v>
      </c>
      <c r="C1034" s="1">
        <f>DATE(YEAR(VGT[[#This Row],[Date]]),DAY(VGT[[#This Row],[Date]]),MONTH(VGT[[#This Row],[Date]]))</f>
        <v>43834</v>
      </c>
    </row>
    <row r="1035" spans="1:3" x14ac:dyDescent="0.2">
      <c r="A1035" s="1">
        <v>43891</v>
      </c>
      <c r="B1035">
        <v>211.9</v>
      </c>
      <c r="C1035" s="1">
        <f>DATE(YEAR(VGT[[#This Row],[Date]]),DAY(VGT[[#This Row],[Date]]),MONTH(VGT[[#This Row],[Date]]))</f>
        <v>43833</v>
      </c>
    </row>
    <row r="1036" spans="1:3" x14ac:dyDescent="0.2">
      <c r="A1036" s="1">
        <v>43862</v>
      </c>
      <c r="B1036">
        <v>235.65</v>
      </c>
      <c r="C1036" s="1">
        <f>DATE(YEAR(VGT[[#This Row],[Date]]),DAY(VGT[[#This Row],[Date]]),MONTH(VGT[[#This Row],[Date]]))</f>
        <v>43832</v>
      </c>
    </row>
    <row r="1037" spans="1:3" x14ac:dyDescent="0.2">
      <c r="A1037" s="1">
        <v>43831</v>
      </c>
      <c r="B1037">
        <v>254.18</v>
      </c>
      <c r="C1037" s="1">
        <f>DATE(YEAR(VGT[[#This Row],[Date]]),DAY(VGT[[#This Row],[Date]]),MONTH(VGT[[#This Row],[Date]]))</f>
        <v>43831</v>
      </c>
    </row>
    <row r="1038" spans="1:3" x14ac:dyDescent="0.2">
      <c r="A1038" s="1">
        <v>43800</v>
      </c>
      <c r="B1038">
        <v>244.85</v>
      </c>
      <c r="C1038" s="1">
        <f>DATE(YEAR(VGT[[#This Row],[Date]]),DAY(VGT[[#This Row],[Date]]),MONTH(VGT[[#This Row],[Date]]))</f>
        <v>43477</v>
      </c>
    </row>
    <row r="1039" spans="1:3" x14ac:dyDescent="0.2">
      <c r="A1039" s="1">
        <v>43770</v>
      </c>
      <c r="B1039">
        <v>236.15</v>
      </c>
      <c r="C1039" s="1">
        <f>DATE(YEAR(VGT[[#This Row],[Date]]),DAY(VGT[[#This Row],[Date]]),MONTH(VGT[[#This Row],[Date]]))</f>
        <v>43476</v>
      </c>
    </row>
    <row r="1040" spans="1:3" x14ac:dyDescent="0.2">
      <c r="A1040" s="1">
        <v>43739</v>
      </c>
      <c r="B1040">
        <v>223.64</v>
      </c>
      <c r="C1040" s="1">
        <f>DATE(YEAR(VGT[[#This Row],[Date]]),DAY(VGT[[#This Row],[Date]]),MONTH(VGT[[#This Row],[Date]]))</f>
        <v>43475</v>
      </c>
    </row>
    <row r="1041" spans="1:3" x14ac:dyDescent="0.2">
      <c r="A1041" s="1">
        <v>43709</v>
      </c>
      <c r="B1041">
        <v>215.55</v>
      </c>
      <c r="C1041" s="1">
        <f>DATE(YEAR(VGT[[#This Row],[Date]]),DAY(VGT[[#This Row],[Date]]),MONTH(VGT[[#This Row],[Date]]))</f>
        <v>43474</v>
      </c>
    </row>
    <row r="1042" spans="1:3" x14ac:dyDescent="0.2">
      <c r="A1042" s="1">
        <v>43678</v>
      </c>
      <c r="B1042">
        <v>213.56</v>
      </c>
      <c r="C1042" s="1">
        <f>DATE(YEAR(VGT[[#This Row],[Date]]),DAY(VGT[[#This Row],[Date]]),MONTH(VGT[[#This Row],[Date]]))</f>
        <v>43473</v>
      </c>
    </row>
    <row r="1043" spans="1:3" x14ac:dyDescent="0.2">
      <c r="A1043" s="1">
        <v>43647</v>
      </c>
      <c r="B1043">
        <v>218.35</v>
      </c>
      <c r="C1043" s="1">
        <f>DATE(YEAR(VGT[[#This Row],[Date]]),DAY(VGT[[#This Row],[Date]]),MONTH(VGT[[#This Row],[Date]]))</f>
        <v>43472</v>
      </c>
    </row>
    <row r="1044" spans="1:3" x14ac:dyDescent="0.2">
      <c r="A1044" s="1">
        <v>43617</v>
      </c>
      <c r="B1044">
        <v>210.89</v>
      </c>
      <c r="C1044" s="1">
        <f>DATE(YEAR(VGT[[#This Row],[Date]]),DAY(VGT[[#This Row],[Date]]),MONTH(VGT[[#This Row],[Date]]))</f>
        <v>43471</v>
      </c>
    </row>
    <row r="1045" spans="1:3" x14ac:dyDescent="0.2">
      <c r="A1045" s="1">
        <v>43586</v>
      </c>
      <c r="B1045">
        <v>194.46</v>
      </c>
      <c r="C1045" s="1">
        <f>DATE(YEAR(VGT[[#This Row],[Date]]),DAY(VGT[[#This Row],[Date]]),MONTH(VGT[[#This Row],[Date]]))</f>
        <v>43470</v>
      </c>
    </row>
    <row r="1046" spans="1:3" x14ac:dyDescent="0.2">
      <c r="A1046" s="1">
        <v>43556</v>
      </c>
      <c r="B1046">
        <v>213.41</v>
      </c>
      <c r="C1046" s="1">
        <f>DATE(YEAR(VGT[[#This Row],[Date]]),DAY(VGT[[#This Row],[Date]]),MONTH(VGT[[#This Row],[Date]]))</f>
        <v>43469</v>
      </c>
    </row>
    <row r="1047" spans="1:3" x14ac:dyDescent="0.2">
      <c r="A1047" s="1">
        <v>43525</v>
      </c>
      <c r="B1047">
        <v>200.63</v>
      </c>
      <c r="C1047" s="1">
        <f>DATE(YEAR(VGT[[#This Row],[Date]]),DAY(VGT[[#This Row],[Date]]),MONTH(VGT[[#This Row],[Date]]))</f>
        <v>43468</v>
      </c>
    </row>
    <row r="1048" spans="1:3" x14ac:dyDescent="0.2">
      <c r="A1048" s="1">
        <v>43497</v>
      </c>
      <c r="B1048">
        <v>193.36</v>
      </c>
      <c r="C1048" s="1">
        <f>DATE(YEAR(VGT[[#This Row],[Date]]),DAY(VGT[[#This Row],[Date]]),MONTH(VGT[[#This Row],[Date]]))</f>
        <v>43467</v>
      </c>
    </row>
    <row r="1049" spans="1:3" x14ac:dyDescent="0.2">
      <c r="A1049" s="1">
        <v>43466</v>
      </c>
      <c r="B1049">
        <v>180.16</v>
      </c>
      <c r="C1049" s="1">
        <f>DATE(YEAR(VGT[[#This Row],[Date]]),DAY(VGT[[#This Row],[Date]]),MONTH(VGT[[#This Row],[Date]]))</f>
        <v>43466</v>
      </c>
    </row>
    <row r="1050" spans="1:3" x14ac:dyDescent="0.2">
      <c r="A1050" s="1">
        <v>43435</v>
      </c>
      <c r="B1050">
        <v>166.83</v>
      </c>
      <c r="C1050" s="1">
        <f>DATE(YEAR(VGT[[#This Row],[Date]]),DAY(VGT[[#This Row],[Date]]),MONTH(VGT[[#This Row],[Date]]))</f>
        <v>43112</v>
      </c>
    </row>
    <row r="1051" spans="1:3" x14ac:dyDescent="0.2">
      <c r="A1051" s="1">
        <v>43405</v>
      </c>
      <c r="B1051">
        <v>182.67</v>
      </c>
      <c r="C1051" s="1">
        <f>DATE(YEAR(VGT[[#This Row],[Date]]),DAY(VGT[[#This Row],[Date]]),MONTH(VGT[[#This Row],[Date]]))</f>
        <v>43111</v>
      </c>
    </row>
    <row r="1052" spans="1:3" x14ac:dyDescent="0.2">
      <c r="A1052" s="1">
        <v>43374</v>
      </c>
      <c r="B1052">
        <v>185.39</v>
      </c>
      <c r="C1052" s="1">
        <f>DATE(YEAR(VGT[[#This Row],[Date]]),DAY(VGT[[#This Row],[Date]]),MONTH(VGT[[#This Row],[Date]]))</f>
        <v>43110</v>
      </c>
    </row>
    <row r="1053" spans="1:3" x14ac:dyDescent="0.2">
      <c r="A1053" s="1">
        <v>43344</v>
      </c>
      <c r="B1053">
        <v>202.56</v>
      </c>
      <c r="C1053" s="1">
        <f>DATE(YEAR(VGT[[#This Row],[Date]]),DAY(VGT[[#This Row],[Date]]),MONTH(VGT[[#This Row],[Date]]))</f>
        <v>43109</v>
      </c>
    </row>
    <row r="1054" spans="1:3" x14ac:dyDescent="0.2">
      <c r="A1054" s="1">
        <v>43313</v>
      </c>
      <c r="B1054">
        <v>202.8</v>
      </c>
      <c r="C1054" s="1">
        <f>DATE(YEAR(VGT[[#This Row],[Date]]),DAY(VGT[[#This Row],[Date]]),MONTH(VGT[[#This Row],[Date]]))</f>
        <v>43108</v>
      </c>
    </row>
    <row r="1055" spans="1:3" x14ac:dyDescent="0.2">
      <c r="A1055" s="1">
        <v>43282</v>
      </c>
      <c r="B1055">
        <v>186.16</v>
      </c>
      <c r="C1055" s="1">
        <f>DATE(YEAR(VGT[[#This Row],[Date]]),DAY(VGT[[#This Row],[Date]]),MONTH(VGT[[#This Row],[Date]]))</f>
        <v>43107</v>
      </c>
    </row>
    <row r="1056" spans="1:3" x14ac:dyDescent="0.2">
      <c r="A1056" s="1">
        <v>43252</v>
      </c>
      <c r="B1056">
        <v>181.4</v>
      </c>
      <c r="C1056" s="1">
        <f>DATE(YEAR(VGT[[#This Row],[Date]]),DAY(VGT[[#This Row],[Date]]),MONTH(VGT[[#This Row],[Date]]))</f>
        <v>43106</v>
      </c>
    </row>
    <row r="1057" spans="1:3" x14ac:dyDescent="0.2">
      <c r="A1057" s="1">
        <v>43221</v>
      </c>
      <c r="B1057">
        <v>183.01</v>
      </c>
      <c r="C1057" s="1">
        <f>DATE(YEAR(VGT[[#This Row],[Date]]),DAY(VGT[[#This Row],[Date]]),MONTH(VGT[[#This Row],[Date]]))</f>
        <v>43105</v>
      </c>
    </row>
    <row r="1058" spans="1:3" x14ac:dyDescent="0.2">
      <c r="A1058" s="1">
        <v>43191</v>
      </c>
      <c r="B1058">
        <v>170.96</v>
      </c>
      <c r="C1058" s="1">
        <f>DATE(YEAR(VGT[[#This Row],[Date]]),DAY(VGT[[#This Row],[Date]]),MONTH(VGT[[#This Row],[Date]]))</f>
        <v>43104</v>
      </c>
    </row>
    <row r="1059" spans="1:3" x14ac:dyDescent="0.2">
      <c r="A1059" s="1">
        <v>43160</v>
      </c>
      <c r="B1059">
        <v>171</v>
      </c>
      <c r="C1059" s="1">
        <f>DATE(YEAR(VGT[[#This Row],[Date]]),DAY(VGT[[#This Row],[Date]]),MONTH(VGT[[#This Row],[Date]]))</f>
        <v>43103</v>
      </c>
    </row>
    <row r="1060" spans="1:3" x14ac:dyDescent="0.2">
      <c r="A1060" s="1">
        <v>43132</v>
      </c>
      <c r="B1060">
        <v>177.34</v>
      </c>
      <c r="C1060" s="1">
        <f>DATE(YEAR(VGT[[#This Row],[Date]]),DAY(VGT[[#This Row],[Date]]),MONTH(VGT[[#This Row],[Date]]))</f>
        <v>43102</v>
      </c>
    </row>
    <row r="1061" spans="1:3" x14ac:dyDescent="0.2">
      <c r="A1061" s="1">
        <v>43101</v>
      </c>
      <c r="B1061">
        <v>177.17</v>
      </c>
      <c r="C1061" s="1">
        <f>DATE(YEAR(VGT[[#This Row],[Date]]),DAY(VGT[[#This Row],[Date]]),MONTH(VGT[[#This Row],[Date]]))</f>
        <v>43101</v>
      </c>
    </row>
    <row r="1062" spans="1:3" x14ac:dyDescent="0.2">
      <c r="A1062" s="1">
        <v>43070</v>
      </c>
      <c r="B1062">
        <v>164.73</v>
      </c>
      <c r="C1062" s="1">
        <f>DATE(YEAR(VGT[[#This Row],[Date]]),DAY(VGT[[#This Row],[Date]]),MONTH(VGT[[#This Row],[Date]]))</f>
        <v>42747</v>
      </c>
    </row>
    <row r="1063" spans="1:3" x14ac:dyDescent="0.2">
      <c r="A1063" s="1">
        <v>43040</v>
      </c>
      <c r="B1063">
        <v>165.01</v>
      </c>
      <c r="C1063" s="1">
        <f>DATE(YEAR(VGT[[#This Row],[Date]]),DAY(VGT[[#This Row],[Date]]),MONTH(VGT[[#This Row],[Date]]))</f>
        <v>42746</v>
      </c>
    </row>
    <row r="1064" spans="1:3" x14ac:dyDescent="0.2">
      <c r="A1064" s="1">
        <v>43009</v>
      </c>
      <c r="B1064">
        <v>163.22999999999999</v>
      </c>
      <c r="C1064" s="1">
        <f>DATE(YEAR(VGT[[#This Row],[Date]]),DAY(VGT[[#This Row],[Date]]),MONTH(VGT[[#This Row],[Date]]))</f>
        <v>42745</v>
      </c>
    </row>
    <row r="1065" spans="1:3" x14ac:dyDescent="0.2">
      <c r="A1065" s="1">
        <v>42979</v>
      </c>
      <c r="B1065">
        <v>151.99</v>
      </c>
      <c r="C1065" s="1">
        <f>DATE(YEAR(VGT[[#This Row],[Date]]),DAY(VGT[[#This Row],[Date]]),MONTH(VGT[[#This Row],[Date]]))</f>
        <v>42744</v>
      </c>
    </row>
    <row r="1066" spans="1:3" x14ac:dyDescent="0.2">
      <c r="A1066" s="1">
        <v>42948</v>
      </c>
      <c r="B1066">
        <v>151.22</v>
      </c>
      <c r="C1066" s="1">
        <f>DATE(YEAR(VGT[[#This Row],[Date]]),DAY(VGT[[#This Row],[Date]]),MONTH(VGT[[#This Row],[Date]]))</f>
        <v>42743</v>
      </c>
    </row>
    <row r="1067" spans="1:3" x14ac:dyDescent="0.2">
      <c r="A1067" s="1">
        <v>42917</v>
      </c>
      <c r="B1067">
        <v>146.66</v>
      </c>
      <c r="C1067" s="1">
        <f>DATE(YEAR(VGT[[#This Row],[Date]]),DAY(VGT[[#This Row],[Date]]),MONTH(VGT[[#This Row],[Date]]))</f>
        <v>42742</v>
      </c>
    </row>
    <row r="1068" spans="1:3" x14ac:dyDescent="0.2">
      <c r="A1068" s="1">
        <v>42887</v>
      </c>
      <c r="B1068">
        <v>140.84</v>
      </c>
      <c r="C1068" s="1">
        <f>DATE(YEAR(VGT[[#This Row],[Date]]),DAY(VGT[[#This Row],[Date]]),MONTH(VGT[[#This Row],[Date]]))</f>
        <v>42741</v>
      </c>
    </row>
    <row r="1069" spans="1:3" x14ac:dyDescent="0.2">
      <c r="A1069" s="1">
        <v>42856</v>
      </c>
      <c r="B1069">
        <v>144.91999999999999</v>
      </c>
      <c r="C1069" s="1">
        <f>DATE(YEAR(VGT[[#This Row],[Date]]),DAY(VGT[[#This Row],[Date]]),MONTH(VGT[[#This Row],[Date]]))</f>
        <v>42740</v>
      </c>
    </row>
    <row r="1070" spans="1:3" x14ac:dyDescent="0.2">
      <c r="A1070" s="1">
        <v>42826</v>
      </c>
      <c r="B1070">
        <v>138.80000000000001</v>
      </c>
      <c r="C1070" s="1">
        <f>DATE(YEAR(VGT[[#This Row],[Date]]),DAY(VGT[[#This Row],[Date]]),MONTH(VGT[[#This Row],[Date]]))</f>
        <v>42739</v>
      </c>
    </row>
    <row r="1071" spans="1:3" x14ac:dyDescent="0.2">
      <c r="A1071" s="1">
        <v>42795</v>
      </c>
      <c r="B1071">
        <v>135.63</v>
      </c>
      <c r="C1071" s="1">
        <f>DATE(YEAR(VGT[[#This Row],[Date]]),DAY(VGT[[#This Row],[Date]]),MONTH(VGT[[#This Row],[Date]]))</f>
        <v>42738</v>
      </c>
    </row>
    <row r="1072" spans="1:3" x14ac:dyDescent="0.2">
      <c r="A1072" s="1">
        <v>42767</v>
      </c>
      <c r="B1072">
        <v>133</v>
      </c>
      <c r="C1072" s="1">
        <f>DATE(YEAR(VGT[[#This Row],[Date]]),DAY(VGT[[#This Row],[Date]]),MONTH(VGT[[#This Row],[Date]]))</f>
        <v>42737</v>
      </c>
    </row>
    <row r="1073" spans="1:3" x14ac:dyDescent="0.2">
      <c r="A1073" s="1">
        <v>42736</v>
      </c>
      <c r="B1073">
        <v>126.74</v>
      </c>
      <c r="C1073" s="1">
        <f>DATE(YEAR(VGT[[#This Row],[Date]]),DAY(VGT[[#This Row],[Date]]),MONTH(VGT[[#This Row],[Date]]))</f>
        <v>42736</v>
      </c>
    </row>
    <row r="1074" spans="1:3" x14ac:dyDescent="0.2">
      <c r="A1074" s="1">
        <v>42705</v>
      </c>
      <c r="B1074">
        <v>121.5</v>
      </c>
      <c r="C1074" s="1">
        <f>DATE(YEAR(VGT[[#This Row],[Date]]),DAY(VGT[[#This Row],[Date]]),MONTH(VGT[[#This Row],[Date]]))</f>
        <v>42381</v>
      </c>
    </row>
    <row r="1075" spans="1:3" x14ac:dyDescent="0.2">
      <c r="A1075" s="1">
        <v>42675</v>
      </c>
      <c r="B1075">
        <v>120.35</v>
      </c>
      <c r="C1075" s="1">
        <f>DATE(YEAR(VGT[[#This Row],[Date]]),DAY(VGT[[#This Row],[Date]]),MONTH(VGT[[#This Row],[Date]]))</f>
        <v>42380</v>
      </c>
    </row>
    <row r="1076" spans="1:3" x14ac:dyDescent="0.2">
      <c r="A1076" s="1">
        <v>42644</v>
      </c>
      <c r="B1076">
        <v>119.72</v>
      </c>
      <c r="C1076" s="1">
        <f>DATE(YEAR(VGT[[#This Row],[Date]]),DAY(VGT[[#This Row],[Date]]),MONTH(VGT[[#This Row],[Date]]))</f>
        <v>42379</v>
      </c>
    </row>
    <row r="1077" spans="1:3" x14ac:dyDescent="0.2">
      <c r="A1077" s="1">
        <v>42614</v>
      </c>
      <c r="B1077">
        <v>120.37</v>
      </c>
      <c r="C1077" s="1">
        <f>DATE(YEAR(VGT[[#This Row],[Date]]),DAY(VGT[[#This Row],[Date]]),MONTH(VGT[[#This Row],[Date]]))</f>
        <v>42378</v>
      </c>
    </row>
    <row r="1078" spans="1:3" x14ac:dyDescent="0.2">
      <c r="A1078" s="1">
        <v>42583</v>
      </c>
      <c r="B1078">
        <v>117.89</v>
      </c>
      <c r="C1078" s="1">
        <f>DATE(YEAR(VGT[[#This Row],[Date]]),DAY(VGT[[#This Row],[Date]]),MONTH(VGT[[#This Row],[Date]]))</f>
        <v>42377</v>
      </c>
    </row>
    <row r="1079" spans="1:3" x14ac:dyDescent="0.2">
      <c r="A1079" s="1">
        <v>42552</v>
      </c>
      <c r="B1079">
        <v>115.2</v>
      </c>
      <c r="C1079" s="1">
        <f>DATE(YEAR(VGT[[#This Row],[Date]]),DAY(VGT[[#This Row],[Date]]),MONTH(VGT[[#This Row],[Date]]))</f>
        <v>42376</v>
      </c>
    </row>
    <row r="1080" spans="1:3" x14ac:dyDescent="0.2">
      <c r="A1080" s="1">
        <v>42522</v>
      </c>
      <c r="B1080">
        <v>107.09</v>
      </c>
      <c r="C1080" s="1">
        <f>DATE(YEAR(VGT[[#This Row],[Date]]),DAY(VGT[[#This Row],[Date]]),MONTH(VGT[[#This Row],[Date]]))</f>
        <v>42375</v>
      </c>
    </row>
    <row r="1081" spans="1:3" x14ac:dyDescent="0.2">
      <c r="A1081" s="1">
        <v>42491</v>
      </c>
      <c r="B1081">
        <v>109.99</v>
      </c>
      <c r="C1081" s="1">
        <f>DATE(YEAR(VGT[[#This Row],[Date]]),DAY(VGT[[#This Row],[Date]]),MONTH(VGT[[#This Row],[Date]]))</f>
        <v>42374</v>
      </c>
    </row>
    <row r="1082" spans="1:3" x14ac:dyDescent="0.2">
      <c r="A1082" s="1">
        <v>42461</v>
      </c>
      <c r="B1082">
        <v>104.41</v>
      </c>
      <c r="C1082" s="1">
        <f>DATE(YEAR(VGT[[#This Row],[Date]]),DAY(VGT[[#This Row],[Date]]),MONTH(VGT[[#This Row],[Date]]))</f>
        <v>42373</v>
      </c>
    </row>
    <row r="1083" spans="1:3" x14ac:dyDescent="0.2">
      <c r="A1083" s="1">
        <v>42430</v>
      </c>
      <c r="B1083">
        <v>109.53</v>
      </c>
      <c r="C1083" s="1">
        <f>DATE(YEAR(VGT[[#This Row],[Date]]),DAY(VGT[[#This Row],[Date]]),MONTH(VGT[[#This Row],[Date]]))</f>
        <v>42372</v>
      </c>
    </row>
    <row r="1084" spans="1:3" x14ac:dyDescent="0.2">
      <c r="A1084" s="1">
        <v>42401</v>
      </c>
      <c r="B1084">
        <v>100.94</v>
      </c>
      <c r="C1084" s="1">
        <f>DATE(YEAR(VGT[[#This Row],[Date]]),DAY(VGT[[#This Row],[Date]]),MONTH(VGT[[#This Row],[Date]]))</f>
        <v>42371</v>
      </c>
    </row>
    <row r="1085" spans="1:3" x14ac:dyDescent="0.2">
      <c r="A1085" s="1">
        <v>42370</v>
      </c>
      <c r="B1085">
        <v>101.93</v>
      </c>
      <c r="C1085" s="1">
        <f>DATE(YEAR(VGT[[#This Row],[Date]]),DAY(VGT[[#This Row],[Date]]),MONTH(VGT[[#This Row],[Date]]))</f>
        <v>42370</v>
      </c>
    </row>
    <row r="1086" spans="1:3" x14ac:dyDescent="0.2">
      <c r="A1086" s="1">
        <v>42339</v>
      </c>
      <c r="B1086">
        <v>108.29</v>
      </c>
      <c r="C1086" s="1">
        <f>DATE(YEAR(VGT[[#This Row],[Date]]),DAY(VGT[[#This Row],[Date]]),MONTH(VGT[[#This Row],[Date]]))</f>
        <v>42016</v>
      </c>
    </row>
    <row r="1087" spans="1:3" x14ac:dyDescent="0.2">
      <c r="A1087" s="1">
        <v>42309</v>
      </c>
      <c r="B1087">
        <v>111.77</v>
      </c>
      <c r="C1087" s="1">
        <f>DATE(YEAR(VGT[[#This Row],[Date]]),DAY(VGT[[#This Row],[Date]]),MONTH(VGT[[#This Row],[Date]]))</f>
        <v>42015</v>
      </c>
    </row>
    <row r="1088" spans="1:3" x14ac:dyDescent="0.2">
      <c r="A1088" s="1">
        <v>42278</v>
      </c>
      <c r="B1088">
        <v>110.46</v>
      </c>
      <c r="C1088" s="1">
        <f>DATE(YEAR(VGT[[#This Row],[Date]]),DAY(VGT[[#This Row],[Date]]),MONTH(VGT[[#This Row],[Date]]))</f>
        <v>42014</v>
      </c>
    </row>
    <row r="1089" spans="1:3" x14ac:dyDescent="0.2">
      <c r="A1089" s="1">
        <v>42248</v>
      </c>
      <c r="B1089">
        <v>100</v>
      </c>
      <c r="C1089" s="1">
        <f>DATE(YEAR(VGT[[#This Row],[Date]]),DAY(VGT[[#This Row],[Date]]),MONTH(VGT[[#This Row],[Date]]))</f>
        <v>42013</v>
      </c>
    </row>
    <row r="1090" spans="1:3" x14ac:dyDescent="0.2">
      <c r="A1090" s="1">
        <v>42217</v>
      </c>
      <c r="B1090">
        <v>102.34</v>
      </c>
      <c r="C1090" s="1">
        <f>DATE(YEAR(VGT[[#This Row],[Date]]),DAY(VGT[[#This Row],[Date]]),MONTH(VGT[[#This Row],[Date]]))</f>
        <v>42012</v>
      </c>
    </row>
    <row r="1091" spans="1:3" x14ac:dyDescent="0.2">
      <c r="A1091" s="1">
        <v>42186</v>
      </c>
      <c r="B1091">
        <v>108.64</v>
      </c>
      <c r="C1091" s="1">
        <f>DATE(YEAR(VGT[[#This Row],[Date]]),DAY(VGT[[#This Row],[Date]]),MONTH(VGT[[#This Row],[Date]]))</f>
        <v>42011</v>
      </c>
    </row>
    <row r="1092" spans="1:3" x14ac:dyDescent="0.2">
      <c r="A1092" s="1">
        <v>42156</v>
      </c>
      <c r="B1092">
        <v>106.23</v>
      </c>
      <c r="C1092" s="1">
        <f>DATE(YEAR(VGT[[#This Row],[Date]]),DAY(VGT[[#This Row],[Date]]),MONTH(VGT[[#This Row],[Date]]))</f>
        <v>42010</v>
      </c>
    </row>
    <row r="1093" spans="1:3" x14ac:dyDescent="0.2">
      <c r="A1093" s="1">
        <v>42125</v>
      </c>
      <c r="B1093">
        <v>110.58</v>
      </c>
      <c r="C1093" s="1">
        <f>DATE(YEAR(VGT[[#This Row],[Date]]),DAY(VGT[[#This Row],[Date]]),MONTH(VGT[[#This Row],[Date]]))</f>
        <v>42009</v>
      </c>
    </row>
    <row r="1094" spans="1:3" x14ac:dyDescent="0.2">
      <c r="A1094" s="1">
        <v>42095</v>
      </c>
      <c r="B1094">
        <v>107.89</v>
      </c>
      <c r="C1094" s="1">
        <f>DATE(YEAR(VGT[[#This Row],[Date]]),DAY(VGT[[#This Row],[Date]]),MONTH(VGT[[#This Row],[Date]]))</f>
        <v>42008</v>
      </c>
    </row>
    <row r="1095" spans="1:3" x14ac:dyDescent="0.2">
      <c r="A1095" s="1">
        <v>42064</v>
      </c>
      <c r="B1095">
        <v>106.52</v>
      </c>
      <c r="C1095" s="1">
        <f>DATE(YEAR(VGT[[#This Row],[Date]]),DAY(VGT[[#This Row],[Date]]),MONTH(VGT[[#This Row],[Date]]))</f>
        <v>42007</v>
      </c>
    </row>
    <row r="1096" spans="1:3" x14ac:dyDescent="0.2">
      <c r="A1096" s="1">
        <v>42036</v>
      </c>
      <c r="B1096">
        <v>109.21</v>
      </c>
      <c r="C1096" s="1">
        <f>DATE(YEAR(VGT[[#This Row],[Date]]),DAY(VGT[[#This Row],[Date]]),MONTH(VGT[[#This Row],[Date]]))</f>
        <v>42006</v>
      </c>
    </row>
    <row r="1097" spans="1:3" x14ac:dyDescent="0.2">
      <c r="A1097" s="1">
        <v>42005</v>
      </c>
      <c r="B1097">
        <v>100.81</v>
      </c>
      <c r="C1097" s="1">
        <f>DATE(YEAR(VGT[[#This Row],[Date]]),DAY(VGT[[#This Row],[Date]]),MONTH(VGT[[#This Row],[Date]]))</f>
        <v>42005</v>
      </c>
    </row>
    <row r="1101" spans="1:3" x14ac:dyDescent="0.2">
      <c r="A1101" s="104" t="s">
        <v>1042</v>
      </c>
      <c r="B1101" s="104"/>
    </row>
    <row r="1102" spans="1:3" x14ac:dyDescent="0.2">
      <c r="A1102" t="s">
        <v>0</v>
      </c>
      <c r="B1102" t="s">
        <v>1042</v>
      </c>
      <c r="C1102" t="s">
        <v>1305</v>
      </c>
    </row>
    <row r="1103" spans="1:3" x14ac:dyDescent="0.2">
      <c r="A1103" s="1">
        <v>46023</v>
      </c>
      <c r="B1103">
        <v>90.37</v>
      </c>
      <c r="C1103" s="1">
        <f>DATE(YEAR(VNQ[[#This Row],[Date]]),DAY(VNQ[[#This Row],[Date]]),MONTH(VNQ[[#This Row],[Date]]))</f>
        <v>46023</v>
      </c>
    </row>
    <row r="1104" spans="1:3" x14ac:dyDescent="0.2">
      <c r="A1104" s="1">
        <v>45992</v>
      </c>
      <c r="B1104">
        <v>88.49</v>
      </c>
      <c r="C1104" s="1">
        <f>DATE(YEAR(VNQ[[#This Row],[Date]]),DAY(VNQ[[#This Row],[Date]]),MONTH(VNQ[[#This Row],[Date]]))</f>
        <v>45669</v>
      </c>
    </row>
    <row r="1105" spans="1:3" x14ac:dyDescent="0.2">
      <c r="A1105" s="1">
        <v>45962</v>
      </c>
      <c r="B1105">
        <v>91.34</v>
      </c>
      <c r="C1105" s="1">
        <f>DATE(YEAR(VNQ[[#This Row],[Date]]),DAY(VNQ[[#This Row],[Date]]),MONTH(VNQ[[#This Row],[Date]]))</f>
        <v>45668</v>
      </c>
    </row>
    <row r="1106" spans="1:3" x14ac:dyDescent="0.2">
      <c r="A1106" s="1">
        <v>45931</v>
      </c>
      <c r="B1106">
        <v>89.18</v>
      </c>
      <c r="C1106" s="1">
        <f>DATE(YEAR(VNQ[[#This Row],[Date]]),DAY(VNQ[[#This Row],[Date]]),MONTH(VNQ[[#This Row],[Date]]))</f>
        <v>45667</v>
      </c>
    </row>
    <row r="1107" spans="1:3" x14ac:dyDescent="0.2">
      <c r="A1107" s="1">
        <v>45901</v>
      </c>
      <c r="B1107">
        <v>91.42</v>
      </c>
      <c r="C1107" s="1">
        <f>DATE(YEAR(VNQ[[#This Row],[Date]]),DAY(VNQ[[#This Row],[Date]]),MONTH(VNQ[[#This Row],[Date]]))</f>
        <v>45666</v>
      </c>
    </row>
    <row r="1108" spans="1:3" x14ac:dyDescent="0.2">
      <c r="A1108" s="1">
        <v>45870</v>
      </c>
      <c r="B1108">
        <v>92.24</v>
      </c>
      <c r="C1108" s="1">
        <f>DATE(YEAR(VNQ[[#This Row],[Date]]),DAY(VNQ[[#This Row],[Date]]),MONTH(VNQ[[#This Row],[Date]]))</f>
        <v>45665</v>
      </c>
    </row>
    <row r="1109" spans="1:3" x14ac:dyDescent="0.2">
      <c r="A1109" s="1">
        <v>45839</v>
      </c>
      <c r="B1109">
        <v>89.14</v>
      </c>
      <c r="C1109" s="1">
        <f>DATE(YEAR(VNQ[[#This Row],[Date]]),DAY(VNQ[[#This Row],[Date]]),MONTH(VNQ[[#This Row],[Date]]))</f>
        <v>45664</v>
      </c>
    </row>
    <row r="1110" spans="1:3" x14ac:dyDescent="0.2">
      <c r="A1110" s="1">
        <v>45809</v>
      </c>
      <c r="B1110">
        <v>89.06</v>
      </c>
      <c r="C1110" s="1">
        <f>DATE(YEAR(VNQ[[#This Row],[Date]]),DAY(VNQ[[#This Row],[Date]]),MONTH(VNQ[[#This Row],[Date]]))</f>
        <v>45663</v>
      </c>
    </row>
    <row r="1111" spans="1:3" x14ac:dyDescent="0.2">
      <c r="A1111" s="1">
        <v>45778</v>
      </c>
      <c r="B1111">
        <v>89.32</v>
      </c>
      <c r="C1111" s="1">
        <f>DATE(YEAR(VNQ[[#This Row],[Date]]),DAY(VNQ[[#This Row],[Date]]),MONTH(VNQ[[#This Row],[Date]]))</f>
        <v>45662</v>
      </c>
    </row>
    <row r="1112" spans="1:3" x14ac:dyDescent="0.2">
      <c r="A1112" s="1">
        <v>45748</v>
      </c>
      <c r="B1112">
        <v>88.33</v>
      </c>
      <c r="C1112" s="1">
        <f>DATE(YEAR(VNQ[[#This Row],[Date]]),DAY(VNQ[[#This Row],[Date]]),MONTH(VNQ[[#This Row],[Date]]))</f>
        <v>45661</v>
      </c>
    </row>
    <row r="1113" spans="1:3" x14ac:dyDescent="0.2">
      <c r="A1113" s="1">
        <v>45717</v>
      </c>
      <c r="B1113">
        <v>90.54</v>
      </c>
      <c r="C1113" s="1">
        <f>DATE(YEAR(VNQ[[#This Row],[Date]]),DAY(VNQ[[#This Row],[Date]]),MONTH(VNQ[[#This Row],[Date]]))</f>
        <v>45660</v>
      </c>
    </row>
    <row r="1114" spans="1:3" x14ac:dyDescent="0.2">
      <c r="A1114" s="1">
        <v>45689</v>
      </c>
      <c r="B1114">
        <v>93.9</v>
      </c>
      <c r="C1114" s="1">
        <f>DATE(YEAR(VNQ[[#This Row],[Date]]),DAY(VNQ[[#This Row],[Date]]),MONTH(VNQ[[#This Row],[Date]]))</f>
        <v>45659</v>
      </c>
    </row>
    <row r="1115" spans="1:3" x14ac:dyDescent="0.2">
      <c r="A1115" s="1">
        <v>45658</v>
      </c>
      <c r="B1115">
        <v>90.55</v>
      </c>
      <c r="C1115" s="1">
        <f>DATE(YEAR(VNQ[[#This Row],[Date]]),DAY(VNQ[[#This Row],[Date]]),MONTH(VNQ[[#This Row],[Date]]))</f>
        <v>45658</v>
      </c>
    </row>
    <row r="1116" spans="1:3" x14ac:dyDescent="0.2">
      <c r="A1116" s="1">
        <v>45627</v>
      </c>
      <c r="B1116">
        <v>89.08</v>
      </c>
      <c r="C1116" s="1">
        <f>DATE(YEAR(VNQ[[#This Row],[Date]]),DAY(VNQ[[#This Row],[Date]]),MONTH(VNQ[[#This Row],[Date]]))</f>
        <v>45303</v>
      </c>
    </row>
    <row r="1117" spans="1:3" x14ac:dyDescent="0.2">
      <c r="A1117" s="1">
        <v>45597</v>
      </c>
      <c r="B1117">
        <v>98.16</v>
      </c>
      <c r="C1117" s="1">
        <f>DATE(YEAR(VNQ[[#This Row],[Date]]),DAY(VNQ[[#This Row],[Date]]),MONTH(VNQ[[#This Row],[Date]]))</f>
        <v>45302</v>
      </c>
    </row>
    <row r="1118" spans="1:3" x14ac:dyDescent="0.2">
      <c r="A1118" s="1">
        <v>45566</v>
      </c>
      <c r="B1118">
        <v>94.15</v>
      </c>
      <c r="C1118" s="1">
        <f>DATE(YEAR(VNQ[[#This Row],[Date]]),DAY(VNQ[[#This Row],[Date]]),MONTH(VNQ[[#This Row],[Date]]))</f>
        <v>45301</v>
      </c>
    </row>
    <row r="1119" spans="1:3" x14ac:dyDescent="0.2">
      <c r="A1119" s="1">
        <v>45536</v>
      </c>
      <c r="B1119">
        <v>97.42</v>
      </c>
      <c r="C1119" s="1">
        <f>DATE(YEAR(VNQ[[#This Row],[Date]]),DAY(VNQ[[#This Row],[Date]]),MONTH(VNQ[[#This Row],[Date]]))</f>
        <v>45300</v>
      </c>
    </row>
    <row r="1120" spans="1:3" x14ac:dyDescent="0.2">
      <c r="A1120" s="1">
        <v>45505</v>
      </c>
      <c r="B1120">
        <v>95.13</v>
      </c>
      <c r="C1120" s="1">
        <f>DATE(YEAR(VNQ[[#This Row],[Date]]),DAY(VNQ[[#This Row],[Date]]),MONTH(VNQ[[#This Row],[Date]]))</f>
        <v>45299</v>
      </c>
    </row>
    <row r="1121" spans="1:3" x14ac:dyDescent="0.2">
      <c r="A1121" s="1">
        <v>45474</v>
      </c>
      <c r="B1121">
        <v>90.41</v>
      </c>
      <c r="C1121" s="1">
        <f>DATE(YEAR(VNQ[[#This Row],[Date]]),DAY(VNQ[[#This Row],[Date]]),MONTH(VNQ[[#This Row],[Date]]))</f>
        <v>45298</v>
      </c>
    </row>
    <row r="1122" spans="1:3" x14ac:dyDescent="0.2">
      <c r="A1122" s="1">
        <v>45444</v>
      </c>
      <c r="B1122">
        <v>83.76</v>
      </c>
      <c r="C1122" s="1">
        <f>DATE(YEAR(VNQ[[#This Row],[Date]]),DAY(VNQ[[#This Row],[Date]]),MONTH(VNQ[[#This Row],[Date]]))</f>
        <v>45297</v>
      </c>
    </row>
    <row r="1123" spans="1:3" x14ac:dyDescent="0.2">
      <c r="A1123" s="1">
        <v>45413</v>
      </c>
      <c r="B1123">
        <v>83.24</v>
      </c>
      <c r="C1123" s="1">
        <f>DATE(YEAR(VNQ[[#This Row],[Date]]),DAY(VNQ[[#This Row],[Date]]),MONTH(VNQ[[#This Row],[Date]]))</f>
        <v>45296</v>
      </c>
    </row>
    <row r="1124" spans="1:3" x14ac:dyDescent="0.2">
      <c r="A1124" s="1">
        <v>45383</v>
      </c>
      <c r="B1124">
        <v>79.61</v>
      </c>
      <c r="C1124" s="1">
        <f>DATE(YEAR(VNQ[[#This Row],[Date]]),DAY(VNQ[[#This Row],[Date]]),MONTH(VNQ[[#This Row],[Date]]))</f>
        <v>45295</v>
      </c>
    </row>
    <row r="1125" spans="1:3" x14ac:dyDescent="0.2">
      <c r="A1125" s="1">
        <v>45352</v>
      </c>
      <c r="B1125">
        <v>86.48</v>
      </c>
      <c r="C1125" s="1">
        <f>DATE(YEAR(VNQ[[#This Row],[Date]]),DAY(VNQ[[#This Row],[Date]]),MONTH(VNQ[[#This Row],[Date]]))</f>
        <v>45294</v>
      </c>
    </row>
    <row r="1126" spans="1:3" x14ac:dyDescent="0.2">
      <c r="A1126" s="1">
        <v>45323</v>
      </c>
      <c r="B1126">
        <v>85.55</v>
      </c>
      <c r="C1126" s="1">
        <f>DATE(YEAR(VNQ[[#This Row],[Date]]),DAY(VNQ[[#This Row],[Date]]),MONTH(VNQ[[#This Row],[Date]]))</f>
        <v>45293</v>
      </c>
    </row>
    <row r="1127" spans="1:3" x14ac:dyDescent="0.2">
      <c r="A1127" s="1">
        <v>45292</v>
      </c>
      <c r="B1127">
        <v>83.89</v>
      </c>
      <c r="C1127" s="1">
        <f>DATE(YEAR(VNQ[[#This Row],[Date]]),DAY(VNQ[[#This Row],[Date]]),MONTH(VNQ[[#This Row],[Date]]))</f>
        <v>45292</v>
      </c>
    </row>
    <row r="1128" spans="1:3" x14ac:dyDescent="0.2">
      <c r="A1128" s="1">
        <v>45261</v>
      </c>
      <c r="B1128">
        <v>88.36</v>
      </c>
      <c r="C1128" s="1">
        <f>DATE(YEAR(VNQ[[#This Row],[Date]]),DAY(VNQ[[#This Row],[Date]]),MONTH(VNQ[[#This Row],[Date]]))</f>
        <v>44938</v>
      </c>
    </row>
    <row r="1129" spans="1:3" x14ac:dyDescent="0.2">
      <c r="A1129" s="1">
        <v>45231</v>
      </c>
      <c r="B1129">
        <v>81.73</v>
      </c>
      <c r="C1129" s="1">
        <f>DATE(YEAR(VNQ[[#This Row],[Date]]),DAY(VNQ[[#This Row],[Date]]),MONTH(VNQ[[#This Row],[Date]]))</f>
        <v>44937</v>
      </c>
    </row>
    <row r="1130" spans="1:3" x14ac:dyDescent="0.2">
      <c r="A1130" s="1">
        <v>45200</v>
      </c>
      <c r="B1130">
        <v>72.92</v>
      </c>
      <c r="C1130" s="1">
        <f>DATE(YEAR(VNQ[[#This Row],[Date]]),DAY(VNQ[[#This Row],[Date]]),MONTH(VNQ[[#This Row],[Date]]))</f>
        <v>44936</v>
      </c>
    </row>
    <row r="1131" spans="1:3" x14ac:dyDescent="0.2">
      <c r="A1131" s="1">
        <v>45170</v>
      </c>
      <c r="B1131">
        <v>75.66</v>
      </c>
      <c r="C1131" s="1">
        <f>DATE(YEAR(VNQ[[#This Row],[Date]]),DAY(VNQ[[#This Row],[Date]]),MONTH(VNQ[[#This Row],[Date]]))</f>
        <v>44935</v>
      </c>
    </row>
    <row r="1132" spans="1:3" x14ac:dyDescent="0.2">
      <c r="A1132" s="1">
        <v>45139</v>
      </c>
      <c r="B1132">
        <v>82.38</v>
      </c>
      <c r="C1132" s="1">
        <f>DATE(YEAR(VNQ[[#This Row],[Date]]),DAY(VNQ[[#This Row],[Date]]),MONTH(VNQ[[#This Row],[Date]]))</f>
        <v>44934</v>
      </c>
    </row>
    <row r="1133" spans="1:3" x14ac:dyDescent="0.2">
      <c r="A1133" s="1">
        <v>45108</v>
      </c>
      <c r="B1133">
        <v>85.26</v>
      </c>
      <c r="C1133" s="1">
        <f>DATE(YEAR(VNQ[[#This Row],[Date]]),DAY(VNQ[[#This Row],[Date]]),MONTH(VNQ[[#This Row],[Date]]))</f>
        <v>44933</v>
      </c>
    </row>
    <row r="1134" spans="1:3" x14ac:dyDescent="0.2">
      <c r="A1134" s="1">
        <v>45078</v>
      </c>
      <c r="B1134">
        <v>83.56</v>
      </c>
      <c r="C1134" s="1">
        <f>DATE(YEAR(VNQ[[#This Row],[Date]]),DAY(VNQ[[#This Row],[Date]]),MONTH(VNQ[[#This Row],[Date]]))</f>
        <v>44932</v>
      </c>
    </row>
    <row r="1135" spans="1:3" x14ac:dyDescent="0.2">
      <c r="A1135" s="1">
        <v>45047</v>
      </c>
      <c r="B1135">
        <v>80</v>
      </c>
      <c r="C1135" s="1">
        <f>DATE(YEAR(VNQ[[#This Row],[Date]]),DAY(VNQ[[#This Row],[Date]]),MONTH(VNQ[[#This Row],[Date]]))</f>
        <v>44931</v>
      </c>
    </row>
    <row r="1136" spans="1:3" x14ac:dyDescent="0.2">
      <c r="A1136" s="1">
        <v>45017</v>
      </c>
      <c r="B1136">
        <v>83.3</v>
      </c>
      <c r="C1136" s="1">
        <f>DATE(YEAR(VNQ[[#This Row],[Date]]),DAY(VNQ[[#This Row],[Date]]),MONTH(VNQ[[#This Row],[Date]]))</f>
        <v>44930</v>
      </c>
    </row>
    <row r="1137" spans="1:3" x14ac:dyDescent="0.2">
      <c r="A1137" s="1">
        <v>44986</v>
      </c>
      <c r="B1137">
        <v>83.04</v>
      </c>
      <c r="C1137" s="1">
        <f>DATE(YEAR(VNQ[[#This Row],[Date]]),DAY(VNQ[[#This Row],[Date]]),MONTH(VNQ[[#This Row],[Date]]))</f>
        <v>44929</v>
      </c>
    </row>
    <row r="1138" spans="1:3" x14ac:dyDescent="0.2">
      <c r="A1138" s="1">
        <v>44958</v>
      </c>
      <c r="B1138">
        <v>85.72</v>
      </c>
      <c r="C1138" s="1">
        <f>DATE(YEAR(VNQ[[#This Row],[Date]]),DAY(VNQ[[#This Row],[Date]]),MONTH(VNQ[[#This Row],[Date]]))</f>
        <v>44928</v>
      </c>
    </row>
    <row r="1139" spans="1:3" x14ac:dyDescent="0.2">
      <c r="A1139" s="1">
        <v>44927</v>
      </c>
      <c r="B1139">
        <v>91.06</v>
      </c>
      <c r="C1139" s="1">
        <f>DATE(YEAR(VNQ[[#This Row],[Date]]),DAY(VNQ[[#This Row],[Date]]),MONTH(VNQ[[#This Row],[Date]]))</f>
        <v>44927</v>
      </c>
    </row>
    <row r="1140" spans="1:3" x14ac:dyDescent="0.2">
      <c r="A1140" s="1">
        <v>44896</v>
      </c>
      <c r="B1140">
        <v>82.48</v>
      </c>
      <c r="C1140" s="1">
        <f>DATE(YEAR(VNQ[[#This Row],[Date]]),DAY(VNQ[[#This Row],[Date]]),MONTH(VNQ[[#This Row],[Date]]))</f>
        <v>44573</v>
      </c>
    </row>
    <row r="1141" spans="1:3" x14ac:dyDescent="0.2">
      <c r="A1141" s="1">
        <v>44866</v>
      </c>
      <c r="B1141">
        <v>88.08</v>
      </c>
      <c r="C1141" s="1">
        <f>DATE(YEAR(VNQ[[#This Row],[Date]]),DAY(VNQ[[#This Row],[Date]]),MONTH(VNQ[[#This Row],[Date]]))</f>
        <v>44572</v>
      </c>
    </row>
    <row r="1142" spans="1:3" x14ac:dyDescent="0.2">
      <c r="A1142" s="1">
        <v>44835</v>
      </c>
      <c r="B1142">
        <v>82.98</v>
      </c>
      <c r="C1142" s="1">
        <f>DATE(YEAR(VNQ[[#This Row],[Date]]),DAY(VNQ[[#This Row],[Date]]),MONTH(VNQ[[#This Row],[Date]]))</f>
        <v>44571</v>
      </c>
    </row>
    <row r="1143" spans="1:3" x14ac:dyDescent="0.2">
      <c r="A1143" s="1">
        <v>44805</v>
      </c>
      <c r="B1143">
        <v>80.17</v>
      </c>
      <c r="C1143" s="1">
        <f>DATE(YEAR(VNQ[[#This Row],[Date]]),DAY(VNQ[[#This Row],[Date]]),MONTH(VNQ[[#This Row],[Date]]))</f>
        <v>44570</v>
      </c>
    </row>
    <row r="1144" spans="1:3" x14ac:dyDescent="0.2">
      <c r="A1144" s="1">
        <v>44774</v>
      </c>
      <c r="B1144">
        <v>93.01</v>
      </c>
      <c r="C1144" s="1">
        <f>DATE(YEAR(VNQ[[#This Row],[Date]]),DAY(VNQ[[#This Row],[Date]]),MONTH(VNQ[[#This Row],[Date]]))</f>
        <v>44569</v>
      </c>
    </row>
    <row r="1145" spans="1:3" x14ac:dyDescent="0.2">
      <c r="A1145" s="1">
        <v>44743</v>
      </c>
      <c r="B1145">
        <v>98.96</v>
      </c>
      <c r="C1145" s="1">
        <f>DATE(YEAR(VNQ[[#This Row],[Date]]),DAY(VNQ[[#This Row],[Date]]),MONTH(VNQ[[#This Row],[Date]]))</f>
        <v>44568</v>
      </c>
    </row>
    <row r="1146" spans="1:3" x14ac:dyDescent="0.2">
      <c r="A1146" s="1">
        <v>44713</v>
      </c>
      <c r="B1146">
        <v>91.11</v>
      </c>
      <c r="C1146" s="1">
        <f>DATE(YEAR(VNQ[[#This Row],[Date]]),DAY(VNQ[[#This Row],[Date]]),MONTH(VNQ[[#This Row],[Date]]))</f>
        <v>44567</v>
      </c>
    </row>
    <row r="1147" spans="1:3" x14ac:dyDescent="0.2">
      <c r="A1147" s="1">
        <v>44682</v>
      </c>
      <c r="B1147">
        <v>99.07</v>
      </c>
      <c r="C1147" s="1">
        <f>DATE(YEAR(VNQ[[#This Row],[Date]]),DAY(VNQ[[#This Row],[Date]]),MONTH(VNQ[[#This Row],[Date]]))</f>
        <v>44566</v>
      </c>
    </row>
    <row r="1148" spans="1:3" x14ac:dyDescent="0.2">
      <c r="A1148" s="1">
        <v>44652</v>
      </c>
      <c r="B1148">
        <v>103.94</v>
      </c>
      <c r="C1148" s="1">
        <f>DATE(YEAR(VNQ[[#This Row],[Date]]),DAY(VNQ[[#This Row],[Date]]),MONTH(VNQ[[#This Row],[Date]]))</f>
        <v>44565</v>
      </c>
    </row>
    <row r="1149" spans="1:3" x14ac:dyDescent="0.2">
      <c r="A1149" s="1">
        <v>44621</v>
      </c>
      <c r="B1149">
        <v>108.37</v>
      </c>
      <c r="C1149" s="1">
        <f>DATE(YEAR(VNQ[[#This Row],[Date]]),DAY(VNQ[[#This Row],[Date]]),MONTH(VNQ[[#This Row],[Date]]))</f>
        <v>44564</v>
      </c>
    </row>
    <row r="1150" spans="1:3" x14ac:dyDescent="0.2">
      <c r="A1150" s="1">
        <v>44593</v>
      </c>
      <c r="B1150">
        <v>102.54</v>
      </c>
      <c r="C1150" s="1">
        <f>DATE(YEAR(VNQ[[#This Row],[Date]]),DAY(VNQ[[#This Row],[Date]]),MONTH(VNQ[[#This Row],[Date]]))</f>
        <v>44563</v>
      </c>
    </row>
    <row r="1151" spans="1:3" x14ac:dyDescent="0.2">
      <c r="A1151" s="1">
        <v>44562</v>
      </c>
      <c r="B1151">
        <v>106.24</v>
      </c>
      <c r="C1151" s="1">
        <f>DATE(YEAR(VNQ[[#This Row],[Date]]),DAY(VNQ[[#This Row],[Date]]),MONTH(VNQ[[#This Row],[Date]]))</f>
        <v>44562</v>
      </c>
    </row>
    <row r="1152" spans="1:3" x14ac:dyDescent="0.2">
      <c r="A1152" s="1">
        <v>44531</v>
      </c>
      <c r="B1152">
        <v>116.01</v>
      </c>
      <c r="C1152" s="1">
        <f>DATE(YEAR(VNQ[[#This Row],[Date]]),DAY(VNQ[[#This Row],[Date]]),MONTH(VNQ[[#This Row],[Date]]))</f>
        <v>44208</v>
      </c>
    </row>
    <row r="1153" spans="1:3" x14ac:dyDescent="0.2">
      <c r="A1153" s="1">
        <v>44501</v>
      </c>
      <c r="B1153">
        <v>106.74</v>
      </c>
      <c r="C1153" s="1">
        <f>DATE(YEAR(VNQ[[#This Row],[Date]]),DAY(VNQ[[#This Row],[Date]]),MONTH(VNQ[[#This Row],[Date]]))</f>
        <v>44207</v>
      </c>
    </row>
    <row r="1154" spans="1:3" x14ac:dyDescent="0.2">
      <c r="A1154" s="1">
        <v>44470</v>
      </c>
      <c r="B1154">
        <v>109.04</v>
      </c>
      <c r="C1154" s="1">
        <f>DATE(YEAR(VNQ[[#This Row],[Date]]),DAY(VNQ[[#This Row],[Date]]),MONTH(VNQ[[#This Row],[Date]]))</f>
        <v>44206</v>
      </c>
    </row>
    <row r="1155" spans="1:3" x14ac:dyDescent="0.2">
      <c r="A1155" s="1">
        <v>44440</v>
      </c>
      <c r="B1155">
        <v>101.78</v>
      </c>
      <c r="C1155" s="1">
        <f>DATE(YEAR(VNQ[[#This Row],[Date]]),DAY(VNQ[[#This Row],[Date]]),MONTH(VNQ[[#This Row],[Date]]))</f>
        <v>44205</v>
      </c>
    </row>
    <row r="1156" spans="1:3" x14ac:dyDescent="0.2">
      <c r="A1156" s="1">
        <v>44409</v>
      </c>
      <c r="B1156">
        <v>108.58</v>
      </c>
      <c r="C1156" s="1">
        <f>DATE(YEAR(VNQ[[#This Row],[Date]]),DAY(VNQ[[#This Row],[Date]]),MONTH(VNQ[[#This Row],[Date]]))</f>
        <v>44204</v>
      </c>
    </row>
    <row r="1157" spans="1:3" x14ac:dyDescent="0.2">
      <c r="A1157" s="1">
        <v>44378</v>
      </c>
      <c r="B1157">
        <v>106.29</v>
      </c>
      <c r="C1157" s="1">
        <f>DATE(YEAR(VNQ[[#This Row],[Date]]),DAY(VNQ[[#This Row],[Date]]),MONTH(VNQ[[#This Row],[Date]]))</f>
        <v>44203</v>
      </c>
    </row>
    <row r="1158" spans="1:3" x14ac:dyDescent="0.2">
      <c r="A1158" s="1">
        <v>44348</v>
      </c>
      <c r="B1158">
        <v>101.79</v>
      </c>
      <c r="C1158" s="1">
        <f>DATE(YEAR(VNQ[[#This Row],[Date]]),DAY(VNQ[[#This Row],[Date]]),MONTH(VNQ[[#This Row],[Date]]))</f>
        <v>44202</v>
      </c>
    </row>
    <row r="1159" spans="1:3" x14ac:dyDescent="0.2">
      <c r="A1159" s="1">
        <v>44317</v>
      </c>
      <c r="B1159">
        <v>99.88</v>
      </c>
      <c r="C1159" s="1">
        <f>DATE(YEAR(VNQ[[#This Row],[Date]]),DAY(VNQ[[#This Row],[Date]]),MONTH(VNQ[[#This Row],[Date]]))</f>
        <v>44201</v>
      </c>
    </row>
    <row r="1160" spans="1:3" x14ac:dyDescent="0.2">
      <c r="A1160" s="1">
        <v>44287</v>
      </c>
      <c r="B1160">
        <v>99.08</v>
      </c>
      <c r="C1160" s="1">
        <f>DATE(YEAR(VNQ[[#This Row],[Date]]),DAY(VNQ[[#This Row],[Date]]),MONTH(VNQ[[#This Row],[Date]]))</f>
        <v>44200</v>
      </c>
    </row>
    <row r="1161" spans="1:3" x14ac:dyDescent="0.2">
      <c r="A1161" s="1">
        <v>44256</v>
      </c>
      <c r="B1161">
        <v>91.86</v>
      </c>
      <c r="C1161" s="1">
        <f>DATE(YEAR(VNQ[[#This Row],[Date]]),DAY(VNQ[[#This Row],[Date]]),MONTH(VNQ[[#This Row],[Date]]))</f>
        <v>44199</v>
      </c>
    </row>
    <row r="1162" spans="1:3" x14ac:dyDescent="0.2">
      <c r="A1162" s="1">
        <v>44228</v>
      </c>
      <c r="B1162">
        <v>87.87</v>
      </c>
      <c r="C1162" s="1">
        <f>DATE(YEAR(VNQ[[#This Row],[Date]]),DAY(VNQ[[#This Row],[Date]]),MONTH(VNQ[[#This Row],[Date]]))</f>
        <v>44198</v>
      </c>
    </row>
    <row r="1163" spans="1:3" x14ac:dyDescent="0.2">
      <c r="A1163" s="1">
        <v>44197</v>
      </c>
      <c r="B1163">
        <v>84.96</v>
      </c>
      <c r="C1163" s="1">
        <f>DATE(YEAR(VNQ[[#This Row],[Date]]),DAY(VNQ[[#This Row],[Date]]),MONTH(VNQ[[#This Row],[Date]]))</f>
        <v>44197</v>
      </c>
    </row>
    <row r="1164" spans="1:3" x14ac:dyDescent="0.2">
      <c r="A1164" s="1">
        <v>44166</v>
      </c>
      <c r="B1164">
        <v>84.93</v>
      </c>
      <c r="C1164" s="1">
        <f>DATE(YEAR(VNQ[[#This Row],[Date]]),DAY(VNQ[[#This Row],[Date]]),MONTH(VNQ[[#This Row],[Date]]))</f>
        <v>43842</v>
      </c>
    </row>
    <row r="1165" spans="1:3" x14ac:dyDescent="0.2">
      <c r="A1165" s="1">
        <v>44136</v>
      </c>
      <c r="B1165">
        <v>84</v>
      </c>
      <c r="C1165" s="1">
        <f>DATE(YEAR(VNQ[[#This Row],[Date]]),DAY(VNQ[[#This Row],[Date]]),MONTH(VNQ[[#This Row],[Date]]))</f>
        <v>43841</v>
      </c>
    </row>
    <row r="1166" spans="1:3" x14ac:dyDescent="0.2">
      <c r="A1166" s="1">
        <v>44105</v>
      </c>
      <c r="B1166">
        <v>76.59</v>
      </c>
      <c r="C1166" s="1">
        <f>DATE(YEAR(VNQ[[#This Row],[Date]]),DAY(VNQ[[#This Row],[Date]]),MONTH(VNQ[[#This Row],[Date]]))</f>
        <v>43840</v>
      </c>
    </row>
    <row r="1167" spans="1:3" x14ac:dyDescent="0.2">
      <c r="A1167" s="1">
        <v>44075</v>
      </c>
      <c r="B1167">
        <v>78.959999999999994</v>
      </c>
      <c r="C1167" s="1">
        <f>DATE(YEAR(VNQ[[#This Row],[Date]]),DAY(VNQ[[#This Row],[Date]]),MONTH(VNQ[[#This Row],[Date]]))</f>
        <v>43839</v>
      </c>
    </row>
    <row r="1168" spans="1:3" x14ac:dyDescent="0.2">
      <c r="A1168" s="1">
        <v>44044</v>
      </c>
      <c r="B1168">
        <v>81.75</v>
      </c>
      <c r="C1168" s="1">
        <f>DATE(YEAR(VNQ[[#This Row],[Date]]),DAY(VNQ[[#This Row],[Date]]),MONTH(VNQ[[#This Row],[Date]]))</f>
        <v>43838</v>
      </c>
    </row>
    <row r="1169" spans="1:3" x14ac:dyDescent="0.2">
      <c r="A1169" s="1">
        <v>44013</v>
      </c>
      <c r="B1169">
        <v>81.39</v>
      </c>
      <c r="C1169" s="1">
        <f>DATE(YEAR(VNQ[[#This Row],[Date]]),DAY(VNQ[[#This Row],[Date]]),MONTH(VNQ[[#This Row],[Date]]))</f>
        <v>43837</v>
      </c>
    </row>
    <row r="1170" spans="1:3" x14ac:dyDescent="0.2">
      <c r="A1170" s="1">
        <v>43983</v>
      </c>
      <c r="B1170">
        <v>78.53</v>
      </c>
      <c r="C1170" s="1">
        <f>DATE(YEAR(VNQ[[#This Row],[Date]]),DAY(VNQ[[#This Row],[Date]]),MONTH(VNQ[[#This Row],[Date]]))</f>
        <v>43836</v>
      </c>
    </row>
    <row r="1171" spans="1:3" x14ac:dyDescent="0.2">
      <c r="A1171" s="1">
        <v>43952</v>
      </c>
      <c r="B1171">
        <v>77.430000000000007</v>
      </c>
      <c r="C1171" s="1">
        <f>DATE(YEAR(VNQ[[#This Row],[Date]]),DAY(VNQ[[#This Row],[Date]]),MONTH(VNQ[[#This Row],[Date]]))</f>
        <v>43835</v>
      </c>
    </row>
    <row r="1172" spans="1:3" x14ac:dyDescent="0.2">
      <c r="A1172" s="1">
        <v>43922</v>
      </c>
      <c r="B1172">
        <v>76.11</v>
      </c>
      <c r="C1172" s="1">
        <f>DATE(YEAR(VNQ[[#This Row],[Date]]),DAY(VNQ[[#This Row],[Date]]),MONTH(VNQ[[#This Row],[Date]]))</f>
        <v>43834</v>
      </c>
    </row>
    <row r="1173" spans="1:3" x14ac:dyDescent="0.2">
      <c r="A1173" s="1">
        <v>43891</v>
      </c>
      <c r="B1173">
        <v>69.849999999999994</v>
      </c>
      <c r="C1173" s="1">
        <f>DATE(YEAR(VNQ[[#This Row],[Date]]),DAY(VNQ[[#This Row],[Date]]),MONTH(VNQ[[#This Row],[Date]]))</f>
        <v>43833</v>
      </c>
    </row>
    <row r="1174" spans="1:3" x14ac:dyDescent="0.2">
      <c r="A1174" s="1">
        <v>43862</v>
      </c>
      <c r="B1174">
        <v>87.33</v>
      </c>
      <c r="C1174" s="1">
        <f>DATE(YEAR(VNQ[[#This Row],[Date]]),DAY(VNQ[[#This Row],[Date]]),MONTH(VNQ[[#This Row],[Date]]))</f>
        <v>43832</v>
      </c>
    </row>
    <row r="1175" spans="1:3" x14ac:dyDescent="0.2">
      <c r="A1175" s="1">
        <v>43831</v>
      </c>
      <c r="B1175">
        <v>93.93</v>
      </c>
      <c r="C1175" s="1">
        <f>DATE(YEAR(VNQ[[#This Row],[Date]]),DAY(VNQ[[#This Row],[Date]]),MONTH(VNQ[[#This Row],[Date]]))</f>
        <v>43831</v>
      </c>
    </row>
    <row r="1176" spans="1:3" x14ac:dyDescent="0.2">
      <c r="A1176" s="1">
        <v>43800</v>
      </c>
      <c r="B1176">
        <v>92.79</v>
      </c>
      <c r="C1176" s="1">
        <f>DATE(YEAR(VNQ[[#This Row],[Date]]),DAY(VNQ[[#This Row],[Date]]),MONTH(VNQ[[#This Row],[Date]]))</f>
        <v>43477</v>
      </c>
    </row>
    <row r="1177" spans="1:3" x14ac:dyDescent="0.2">
      <c r="A1177" s="1">
        <v>43770</v>
      </c>
      <c r="B1177">
        <v>93.07</v>
      </c>
      <c r="C1177" s="1">
        <f>DATE(YEAR(VNQ[[#This Row],[Date]]),DAY(VNQ[[#This Row],[Date]]),MONTH(VNQ[[#This Row],[Date]]))</f>
        <v>43476</v>
      </c>
    </row>
    <row r="1178" spans="1:3" x14ac:dyDescent="0.2">
      <c r="A1178" s="1">
        <v>43739</v>
      </c>
      <c r="B1178">
        <v>94.3</v>
      </c>
      <c r="C1178" s="1">
        <f>DATE(YEAR(VNQ[[#This Row],[Date]]),DAY(VNQ[[#This Row],[Date]]),MONTH(VNQ[[#This Row],[Date]]))</f>
        <v>43475</v>
      </c>
    </row>
    <row r="1179" spans="1:3" x14ac:dyDescent="0.2">
      <c r="A1179" s="1">
        <v>43709</v>
      </c>
      <c r="B1179">
        <v>93.25</v>
      </c>
      <c r="C1179" s="1">
        <f>DATE(YEAR(VNQ[[#This Row],[Date]]),DAY(VNQ[[#This Row],[Date]]),MONTH(VNQ[[#This Row],[Date]]))</f>
        <v>43474</v>
      </c>
    </row>
    <row r="1180" spans="1:3" x14ac:dyDescent="0.2">
      <c r="A1180" s="1">
        <v>43678</v>
      </c>
      <c r="B1180">
        <v>92.22</v>
      </c>
      <c r="C1180" s="1">
        <f>DATE(YEAR(VNQ[[#This Row],[Date]]),DAY(VNQ[[#This Row],[Date]]),MONTH(VNQ[[#This Row],[Date]]))</f>
        <v>43473</v>
      </c>
    </row>
    <row r="1181" spans="1:3" x14ac:dyDescent="0.2">
      <c r="A1181" s="1">
        <v>43647</v>
      </c>
      <c r="B1181">
        <v>88.89</v>
      </c>
      <c r="C1181" s="1">
        <f>DATE(YEAR(VNQ[[#This Row],[Date]]),DAY(VNQ[[#This Row],[Date]]),MONTH(VNQ[[#This Row],[Date]]))</f>
        <v>43472</v>
      </c>
    </row>
    <row r="1182" spans="1:3" x14ac:dyDescent="0.2">
      <c r="A1182" s="1">
        <v>43617</v>
      </c>
      <c r="B1182">
        <v>87.4</v>
      </c>
      <c r="C1182" s="1">
        <f>DATE(YEAR(VNQ[[#This Row],[Date]]),DAY(VNQ[[#This Row],[Date]]),MONTH(VNQ[[#This Row],[Date]]))</f>
        <v>43471</v>
      </c>
    </row>
    <row r="1183" spans="1:3" x14ac:dyDescent="0.2">
      <c r="A1183" s="1">
        <v>43586</v>
      </c>
      <c r="B1183">
        <v>86.89</v>
      </c>
      <c r="C1183" s="1">
        <f>DATE(YEAR(VNQ[[#This Row],[Date]]),DAY(VNQ[[#This Row],[Date]]),MONTH(VNQ[[#This Row],[Date]]))</f>
        <v>43470</v>
      </c>
    </row>
    <row r="1184" spans="1:3" x14ac:dyDescent="0.2">
      <c r="A1184" s="1">
        <v>43556</v>
      </c>
      <c r="B1184">
        <v>86.77</v>
      </c>
      <c r="C1184" s="1">
        <f>DATE(YEAR(VNQ[[#This Row],[Date]]),DAY(VNQ[[#This Row],[Date]]),MONTH(VNQ[[#This Row],[Date]]))</f>
        <v>43469</v>
      </c>
    </row>
    <row r="1185" spans="1:3" x14ac:dyDescent="0.2">
      <c r="A1185" s="1">
        <v>43525</v>
      </c>
      <c r="B1185">
        <v>86.91</v>
      </c>
      <c r="C1185" s="1">
        <f>DATE(YEAR(VNQ[[#This Row],[Date]]),DAY(VNQ[[#This Row],[Date]]),MONTH(VNQ[[#This Row],[Date]]))</f>
        <v>43468</v>
      </c>
    </row>
    <row r="1186" spans="1:3" x14ac:dyDescent="0.2">
      <c r="A1186" s="1">
        <v>43497</v>
      </c>
      <c r="B1186">
        <v>83.99</v>
      </c>
      <c r="C1186" s="1">
        <f>DATE(YEAR(VNQ[[#This Row],[Date]]),DAY(VNQ[[#This Row],[Date]]),MONTH(VNQ[[#This Row],[Date]]))</f>
        <v>43467</v>
      </c>
    </row>
    <row r="1187" spans="1:3" x14ac:dyDescent="0.2">
      <c r="A1187" s="1">
        <v>43466</v>
      </c>
      <c r="B1187">
        <v>83.41</v>
      </c>
      <c r="C1187" s="1">
        <f>DATE(YEAR(VNQ[[#This Row],[Date]]),DAY(VNQ[[#This Row],[Date]]),MONTH(VNQ[[#This Row],[Date]]))</f>
        <v>43466</v>
      </c>
    </row>
    <row r="1188" spans="1:3" x14ac:dyDescent="0.2">
      <c r="A1188" s="1">
        <v>43435</v>
      </c>
      <c r="B1188">
        <v>74.569999999999993</v>
      </c>
      <c r="C1188" s="1">
        <f>DATE(YEAR(VNQ[[#This Row],[Date]]),DAY(VNQ[[#This Row],[Date]]),MONTH(VNQ[[#This Row],[Date]]))</f>
        <v>43112</v>
      </c>
    </row>
    <row r="1189" spans="1:3" x14ac:dyDescent="0.2">
      <c r="A1189" s="1">
        <v>43405</v>
      </c>
      <c r="B1189">
        <v>81.98</v>
      </c>
      <c r="C1189" s="1">
        <f>DATE(YEAR(VNQ[[#This Row],[Date]]),DAY(VNQ[[#This Row],[Date]]),MONTH(VNQ[[#This Row],[Date]]))</f>
        <v>43111</v>
      </c>
    </row>
    <row r="1190" spans="1:3" x14ac:dyDescent="0.2">
      <c r="A1190" s="1">
        <v>43374</v>
      </c>
      <c r="B1190">
        <v>78.319999999999993</v>
      </c>
      <c r="C1190" s="1">
        <f>DATE(YEAR(VNQ[[#This Row],[Date]]),DAY(VNQ[[#This Row],[Date]]),MONTH(VNQ[[#This Row],[Date]]))</f>
        <v>43110</v>
      </c>
    </row>
    <row r="1191" spans="1:3" x14ac:dyDescent="0.2">
      <c r="A1191" s="1">
        <v>43344</v>
      </c>
      <c r="B1191">
        <v>80.680000000000007</v>
      </c>
      <c r="C1191" s="1">
        <f>DATE(YEAR(VNQ[[#This Row],[Date]]),DAY(VNQ[[#This Row],[Date]]),MONTH(VNQ[[#This Row],[Date]]))</f>
        <v>43109</v>
      </c>
    </row>
    <row r="1192" spans="1:3" x14ac:dyDescent="0.2">
      <c r="A1192" s="1">
        <v>43313</v>
      </c>
      <c r="B1192">
        <v>84.05</v>
      </c>
      <c r="C1192" s="1">
        <f>DATE(YEAR(VNQ[[#This Row],[Date]]),DAY(VNQ[[#This Row],[Date]]),MONTH(VNQ[[#This Row],[Date]]))</f>
        <v>43108</v>
      </c>
    </row>
    <row r="1193" spans="1:3" x14ac:dyDescent="0.2">
      <c r="A1193" s="1">
        <v>43282</v>
      </c>
      <c r="B1193">
        <v>81.94</v>
      </c>
      <c r="C1193" s="1">
        <f>DATE(YEAR(VNQ[[#This Row],[Date]]),DAY(VNQ[[#This Row],[Date]]),MONTH(VNQ[[#This Row],[Date]]))</f>
        <v>43107</v>
      </c>
    </row>
    <row r="1194" spans="1:3" x14ac:dyDescent="0.2">
      <c r="A1194" s="1">
        <v>43252</v>
      </c>
      <c r="B1194">
        <v>81.45</v>
      </c>
      <c r="C1194" s="1">
        <f>DATE(YEAR(VNQ[[#This Row],[Date]]),DAY(VNQ[[#This Row],[Date]]),MONTH(VNQ[[#This Row],[Date]]))</f>
        <v>43106</v>
      </c>
    </row>
    <row r="1195" spans="1:3" x14ac:dyDescent="0.2">
      <c r="A1195" s="1">
        <v>43221</v>
      </c>
      <c r="B1195">
        <v>78.89</v>
      </c>
      <c r="C1195" s="1">
        <f>DATE(YEAR(VNQ[[#This Row],[Date]]),DAY(VNQ[[#This Row],[Date]]),MONTH(VNQ[[#This Row],[Date]]))</f>
        <v>43105</v>
      </c>
    </row>
    <row r="1196" spans="1:3" x14ac:dyDescent="0.2">
      <c r="A1196" s="1">
        <v>43191</v>
      </c>
      <c r="B1196">
        <v>76.09</v>
      </c>
      <c r="C1196" s="1">
        <f>DATE(YEAR(VNQ[[#This Row],[Date]]),DAY(VNQ[[#This Row],[Date]]),MONTH(VNQ[[#This Row],[Date]]))</f>
        <v>43104</v>
      </c>
    </row>
    <row r="1197" spans="1:3" x14ac:dyDescent="0.2">
      <c r="A1197" s="1">
        <v>43160</v>
      </c>
      <c r="B1197">
        <v>75.47</v>
      </c>
      <c r="C1197" s="1">
        <f>DATE(YEAR(VNQ[[#This Row],[Date]]),DAY(VNQ[[#This Row],[Date]]),MONTH(VNQ[[#This Row],[Date]]))</f>
        <v>43103</v>
      </c>
    </row>
    <row r="1198" spans="1:3" x14ac:dyDescent="0.2">
      <c r="A1198" s="1">
        <v>43132</v>
      </c>
      <c r="B1198">
        <v>73.349999999999994</v>
      </c>
      <c r="C1198" s="1">
        <f>DATE(YEAR(VNQ[[#This Row],[Date]]),DAY(VNQ[[#This Row],[Date]]),MONTH(VNQ[[#This Row],[Date]]))</f>
        <v>43102</v>
      </c>
    </row>
    <row r="1199" spans="1:3" x14ac:dyDescent="0.2">
      <c r="A1199" s="1">
        <v>43101</v>
      </c>
      <c r="B1199">
        <v>79.45</v>
      </c>
      <c r="C1199" s="1">
        <f>DATE(YEAR(VNQ[[#This Row],[Date]]),DAY(VNQ[[#This Row],[Date]]),MONTH(VNQ[[#This Row],[Date]]))</f>
        <v>43101</v>
      </c>
    </row>
    <row r="1200" spans="1:3" x14ac:dyDescent="0.2">
      <c r="A1200" s="1">
        <v>43070</v>
      </c>
      <c r="B1200">
        <v>82.98</v>
      </c>
      <c r="C1200" s="1">
        <f>DATE(YEAR(VNQ[[#This Row],[Date]]),DAY(VNQ[[#This Row],[Date]]),MONTH(VNQ[[#This Row],[Date]]))</f>
        <v>42747</v>
      </c>
    </row>
    <row r="1201" spans="1:3" x14ac:dyDescent="0.2">
      <c r="A1201" s="1">
        <v>43040</v>
      </c>
      <c r="B1201">
        <v>84.39</v>
      </c>
      <c r="C1201" s="1">
        <f>DATE(YEAR(VNQ[[#This Row],[Date]]),DAY(VNQ[[#This Row],[Date]]),MONTH(VNQ[[#This Row],[Date]]))</f>
        <v>42746</v>
      </c>
    </row>
    <row r="1202" spans="1:3" x14ac:dyDescent="0.2">
      <c r="A1202" s="1">
        <v>43009</v>
      </c>
      <c r="B1202">
        <v>82.2</v>
      </c>
      <c r="C1202" s="1">
        <f>DATE(YEAR(VNQ[[#This Row],[Date]]),DAY(VNQ[[#This Row],[Date]]),MONTH(VNQ[[#This Row],[Date]]))</f>
        <v>42745</v>
      </c>
    </row>
    <row r="1203" spans="1:3" x14ac:dyDescent="0.2">
      <c r="A1203" s="1">
        <v>42979</v>
      </c>
      <c r="B1203">
        <v>83.09</v>
      </c>
      <c r="C1203" s="1">
        <f>DATE(YEAR(VNQ[[#This Row],[Date]]),DAY(VNQ[[#This Row],[Date]]),MONTH(VNQ[[#This Row],[Date]]))</f>
        <v>42744</v>
      </c>
    </row>
    <row r="1204" spans="1:3" x14ac:dyDescent="0.2">
      <c r="A1204" s="1">
        <v>42948</v>
      </c>
      <c r="B1204">
        <v>84.04</v>
      </c>
      <c r="C1204" s="1">
        <f>DATE(YEAR(VNQ[[#This Row],[Date]]),DAY(VNQ[[#This Row],[Date]]),MONTH(VNQ[[#This Row],[Date]]))</f>
        <v>42743</v>
      </c>
    </row>
    <row r="1205" spans="1:3" x14ac:dyDescent="0.2">
      <c r="A1205" s="1">
        <v>42917</v>
      </c>
      <c r="B1205">
        <v>84.26</v>
      </c>
      <c r="C1205" s="1">
        <f>DATE(YEAR(VNQ[[#This Row],[Date]]),DAY(VNQ[[#This Row],[Date]]),MONTH(VNQ[[#This Row],[Date]]))</f>
        <v>42742</v>
      </c>
    </row>
    <row r="1206" spans="1:3" x14ac:dyDescent="0.2">
      <c r="A1206" s="1">
        <v>42887</v>
      </c>
      <c r="B1206">
        <v>83.23</v>
      </c>
      <c r="C1206" s="1">
        <f>DATE(YEAR(VNQ[[#This Row],[Date]]),DAY(VNQ[[#This Row],[Date]]),MONTH(VNQ[[#This Row],[Date]]))</f>
        <v>42741</v>
      </c>
    </row>
    <row r="1207" spans="1:3" x14ac:dyDescent="0.2">
      <c r="A1207" s="1">
        <v>42856</v>
      </c>
      <c r="B1207">
        <v>82.19</v>
      </c>
      <c r="C1207" s="1">
        <f>DATE(YEAR(VNQ[[#This Row],[Date]]),DAY(VNQ[[#This Row],[Date]]),MONTH(VNQ[[#This Row],[Date]]))</f>
        <v>42740</v>
      </c>
    </row>
    <row r="1208" spans="1:3" x14ac:dyDescent="0.2">
      <c r="A1208" s="1">
        <v>42826</v>
      </c>
      <c r="B1208">
        <v>82.79</v>
      </c>
      <c r="C1208" s="1">
        <f>DATE(YEAR(VNQ[[#This Row],[Date]]),DAY(VNQ[[#This Row],[Date]]),MONTH(VNQ[[#This Row],[Date]]))</f>
        <v>42739</v>
      </c>
    </row>
    <row r="1209" spans="1:3" x14ac:dyDescent="0.2">
      <c r="A1209" s="1">
        <v>42795</v>
      </c>
      <c r="B1209">
        <v>82.59</v>
      </c>
      <c r="C1209" s="1">
        <f>DATE(YEAR(VNQ[[#This Row],[Date]]),DAY(VNQ[[#This Row],[Date]]),MONTH(VNQ[[#This Row],[Date]]))</f>
        <v>42738</v>
      </c>
    </row>
    <row r="1210" spans="1:3" x14ac:dyDescent="0.2">
      <c r="A1210" s="1">
        <v>42767</v>
      </c>
      <c r="B1210">
        <v>85.26</v>
      </c>
      <c r="C1210" s="1">
        <f>DATE(YEAR(VNQ[[#This Row],[Date]]),DAY(VNQ[[#This Row],[Date]]),MONTH(VNQ[[#This Row],[Date]]))</f>
        <v>42737</v>
      </c>
    </row>
    <row r="1211" spans="1:3" x14ac:dyDescent="0.2">
      <c r="A1211" s="1">
        <v>42736</v>
      </c>
      <c r="B1211">
        <v>82.37</v>
      </c>
      <c r="C1211" s="1">
        <f>DATE(YEAR(VNQ[[#This Row],[Date]]),DAY(VNQ[[#This Row],[Date]]),MONTH(VNQ[[#This Row],[Date]]))</f>
        <v>42736</v>
      </c>
    </row>
    <row r="1212" spans="1:3" x14ac:dyDescent="0.2">
      <c r="A1212" s="1">
        <v>42705</v>
      </c>
      <c r="B1212">
        <v>82.53</v>
      </c>
      <c r="C1212" s="1">
        <f>DATE(YEAR(VNQ[[#This Row],[Date]]),DAY(VNQ[[#This Row],[Date]]),MONTH(VNQ[[#This Row],[Date]]))</f>
        <v>42381</v>
      </c>
    </row>
    <row r="1213" spans="1:3" x14ac:dyDescent="0.2">
      <c r="A1213" s="1">
        <v>42675</v>
      </c>
      <c r="B1213">
        <v>80.39</v>
      </c>
      <c r="C1213" s="1">
        <f>DATE(YEAR(VNQ[[#This Row],[Date]]),DAY(VNQ[[#This Row],[Date]]),MONTH(VNQ[[#This Row],[Date]]))</f>
        <v>42380</v>
      </c>
    </row>
    <row r="1214" spans="1:3" x14ac:dyDescent="0.2">
      <c r="A1214" s="1">
        <v>42644</v>
      </c>
      <c r="B1214">
        <v>81.760000000000005</v>
      </c>
      <c r="C1214" s="1">
        <f>DATE(YEAR(VNQ[[#This Row],[Date]]),DAY(VNQ[[#This Row],[Date]]),MONTH(VNQ[[#This Row],[Date]]))</f>
        <v>42379</v>
      </c>
    </row>
    <row r="1215" spans="1:3" x14ac:dyDescent="0.2">
      <c r="A1215" s="1">
        <v>42614</v>
      </c>
      <c r="B1215">
        <v>86.74</v>
      </c>
      <c r="C1215" s="1">
        <f>DATE(YEAR(VNQ[[#This Row],[Date]]),DAY(VNQ[[#This Row],[Date]]),MONTH(VNQ[[#This Row],[Date]]))</f>
        <v>42378</v>
      </c>
    </row>
    <row r="1216" spans="1:3" x14ac:dyDescent="0.2">
      <c r="A1216" s="1">
        <v>42583</v>
      </c>
      <c r="B1216">
        <v>88.97</v>
      </c>
      <c r="C1216" s="1">
        <f>DATE(YEAR(VNQ[[#This Row],[Date]]),DAY(VNQ[[#This Row],[Date]]),MONTH(VNQ[[#This Row],[Date]]))</f>
        <v>42377</v>
      </c>
    </row>
    <row r="1217" spans="1:3" x14ac:dyDescent="0.2">
      <c r="A1217" s="1">
        <v>42552</v>
      </c>
      <c r="B1217">
        <v>92.45</v>
      </c>
      <c r="C1217" s="1">
        <f>DATE(YEAR(VNQ[[#This Row],[Date]]),DAY(VNQ[[#This Row],[Date]]),MONTH(VNQ[[#This Row],[Date]]))</f>
        <v>42376</v>
      </c>
    </row>
    <row r="1218" spans="1:3" x14ac:dyDescent="0.2">
      <c r="A1218" s="1">
        <v>42522</v>
      </c>
      <c r="B1218">
        <v>88.67</v>
      </c>
      <c r="C1218" s="1">
        <f>DATE(YEAR(VNQ[[#This Row],[Date]]),DAY(VNQ[[#This Row],[Date]]),MONTH(VNQ[[#This Row],[Date]]))</f>
        <v>42375</v>
      </c>
    </row>
    <row r="1219" spans="1:3" x14ac:dyDescent="0.2">
      <c r="A1219" s="1">
        <v>42491</v>
      </c>
      <c r="B1219">
        <v>83.67</v>
      </c>
      <c r="C1219" s="1">
        <f>DATE(YEAR(VNQ[[#This Row],[Date]]),DAY(VNQ[[#This Row],[Date]]),MONTH(VNQ[[#This Row],[Date]]))</f>
        <v>42374</v>
      </c>
    </row>
    <row r="1220" spans="1:3" x14ac:dyDescent="0.2">
      <c r="A1220" s="1">
        <v>42461</v>
      </c>
      <c r="B1220">
        <v>81.83</v>
      </c>
      <c r="C1220" s="1">
        <f>DATE(YEAR(VNQ[[#This Row],[Date]]),DAY(VNQ[[#This Row],[Date]]),MONTH(VNQ[[#This Row],[Date]]))</f>
        <v>42373</v>
      </c>
    </row>
    <row r="1221" spans="1:3" x14ac:dyDescent="0.2">
      <c r="A1221" s="1">
        <v>42430</v>
      </c>
      <c r="B1221">
        <v>83.8</v>
      </c>
      <c r="C1221" s="1">
        <f>DATE(YEAR(VNQ[[#This Row],[Date]]),DAY(VNQ[[#This Row],[Date]]),MONTH(VNQ[[#This Row],[Date]]))</f>
        <v>42372</v>
      </c>
    </row>
    <row r="1222" spans="1:3" x14ac:dyDescent="0.2">
      <c r="A1222" s="1">
        <v>42401</v>
      </c>
      <c r="B1222">
        <v>76.709999999999994</v>
      </c>
      <c r="C1222" s="1">
        <f>DATE(YEAR(VNQ[[#This Row],[Date]]),DAY(VNQ[[#This Row],[Date]]),MONTH(VNQ[[#This Row],[Date]]))</f>
        <v>42371</v>
      </c>
    </row>
    <row r="1223" spans="1:3" x14ac:dyDescent="0.2">
      <c r="A1223" s="1">
        <v>42370</v>
      </c>
      <c r="B1223">
        <v>76.989999999999995</v>
      </c>
      <c r="C1223" s="1">
        <f>DATE(YEAR(VNQ[[#This Row],[Date]]),DAY(VNQ[[#This Row],[Date]]),MONTH(VNQ[[#This Row],[Date]]))</f>
        <v>42370</v>
      </c>
    </row>
    <row r="1224" spans="1:3" x14ac:dyDescent="0.2">
      <c r="A1224" s="1">
        <v>42339</v>
      </c>
      <c r="B1224">
        <v>79.73</v>
      </c>
      <c r="C1224" s="1">
        <f>DATE(YEAR(VNQ[[#This Row],[Date]]),DAY(VNQ[[#This Row],[Date]]),MONTH(VNQ[[#This Row],[Date]]))</f>
        <v>42016</v>
      </c>
    </row>
    <row r="1225" spans="1:3" x14ac:dyDescent="0.2">
      <c r="A1225" s="1">
        <v>42309</v>
      </c>
      <c r="B1225">
        <v>79.39</v>
      </c>
      <c r="C1225" s="1">
        <f>DATE(YEAR(VNQ[[#This Row],[Date]]),DAY(VNQ[[#This Row],[Date]]),MONTH(VNQ[[#This Row],[Date]]))</f>
        <v>42015</v>
      </c>
    </row>
    <row r="1226" spans="1:3" x14ac:dyDescent="0.2">
      <c r="A1226" s="1">
        <v>42278</v>
      </c>
      <c r="B1226">
        <v>79.89</v>
      </c>
      <c r="C1226" s="1">
        <f>DATE(YEAR(VNQ[[#This Row],[Date]]),DAY(VNQ[[#This Row],[Date]]),MONTH(VNQ[[#This Row],[Date]]))</f>
        <v>42014</v>
      </c>
    </row>
    <row r="1227" spans="1:3" x14ac:dyDescent="0.2">
      <c r="A1227" s="1">
        <v>42248</v>
      </c>
      <c r="B1227">
        <v>75.540000000000006</v>
      </c>
      <c r="C1227" s="1">
        <f>DATE(YEAR(VNQ[[#This Row],[Date]]),DAY(VNQ[[#This Row],[Date]]),MONTH(VNQ[[#This Row],[Date]]))</f>
        <v>42013</v>
      </c>
    </row>
    <row r="1228" spans="1:3" x14ac:dyDescent="0.2">
      <c r="A1228" s="1">
        <v>42217</v>
      </c>
      <c r="B1228">
        <v>74.03</v>
      </c>
      <c r="C1228" s="1">
        <f>DATE(YEAR(VNQ[[#This Row],[Date]]),DAY(VNQ[[#This Row],[Date]]),MONTH(VNQ[[#This Row],[Date]]))</f>
        <v>42012</v>
      </c>
    </row>
    <row r="1229" spans="1:3" x14ac:dyDescent="0.2">
      <c r="A1229" s="1">
        <v>42186</v>
      </c>
      <c r="B1229">
        <v>79</v>
      </c>
      <c r="C1229" s="1">
        <f>DATE(YEAR(VNQ[[#This Row],[Date]]),DAY(VNQ[[#This Row],[Date]]),MONTH(VNQ[[#This Row],[Date]]))</f>
        <v>42011</v>
      </c>
    </row>
    <row r="1230" spans="1:3" x14ac:dyDescent="0.2">
      <c r="A1230" s="1">
        <v>42156</v>
      </c>
      <c r="B1230">
        <v>74.69</v>
      </c>
      <c r="C1230" s="1">
        <f>DATE(YEAR(VNQ[[#This Row],[Date]]),DAY(VNQ[[#This Row],[Date]]),MONTH(VNQ[[#This Row],[Date]]))</f>
        <v>42010</v>
      </c>
    </row>
    <row r="1231" spans="1:3" x14ac:dyDescent="0.2">
      <c r="A1231" s="1">
        <v>42125</v>
      </c>
      <c r="B1231">
        <v>79.14</v>
      </c>
      <c r="C1231" s="1">
        <f>DATE(YEAR(VNQ[[#This Row],[Date]]),DAY(VNQ[[#This Row],[Date]]),MONTH(VNQ[[#This Row],[Date]]))</f>
        <v>42009</v>
      </c>
    </row>
    <row r="1232" spans="1:3" x14ac:dyDescent="0.2">
      <c r="A1232" s="1">
        <v>42095</v>
      </c>
      <c r="B1232">
        <v>79.38</v>
      </c>
      <c r="C1232" s="1">
        <f>DATE(YEAR(VNQ[[#This Row],[Date]]),DAY(VNQ[[#This Row],[Date]]),MONTH(VNQ[[#This Row],[Date]]))</f>
        <v>42008</v>
      </c>
    </row>
    <row r="1233" spans="1:3" x14ac:dyDescent="0.2">
      <c r="A1233" s="1">
        <v>42064</v>
      </c>
      <c r="B1233">
        <v>84.31</v>
      </c>
      <c r="C1233" s="1">
        <f>DATE(YEAR(VNQ[[#This Row],[Date]]),DAY(VNQ[[#This Row],[Date]]),MONTH(VNQ[[#This Row],[Date]]))</f>
        <v>42007</v>
      </c>
    </row>
    <row r="1234" spans="1:3" x14ac:dyDescent="0.2">
      <c r="A1234" s="1">
        <v>42036</v>
      </c>
      <c r="B1234">
        <v>83.37</v>
      </c>
      <c r="C1234" s="1">
        <f>DATE(YEAR(VNQ[[#This Row],[Date]]),DAY(VNQ[[#This Row],[Date]]),MONTH(VNQ[[#This Row],[Date]]))</f>
        <v>42006</v>
      </c>
    </row>
    <row r="1235" spans="1:3" x14ac:dyDescent="0.2">
      <c r="A1235" s="1">
        <v>42005</v>
      </c>
      <c r="B1235">
        <v>86.55</v>
      </c>
      <c r="C1235" s="1">
        <f>DATE(YEAR(VNQ[[#This Row],[Date]]),DAY(VNQ[[#This Row],[Date]]),MONTH(VNQ[[#This Row],[Date]]))</f>
        <v>42005</v>
      </c>
    </row>
    <row r="1239" spans="1:3" x14ac:dyDescent="0.2">
      <c r="A1239" s="104" t="s">
        <v>1174</v>
      </c>
      <c r="B1239" s="104"/>
    </row>
    <row r="1240" spans="1:3" x14ac:dyDescent="0.2">
      <c r="A1240" t="s">
        <v>0</v>
      </c>
      <c r="B1240" t="s">
        <v>1174</v>
      </c>
      <c r="C1240" t="s">
        <v>1305</v>
      </c>
    </row>
    <row r="1241" spans="1:3" x14ac:dyDescent="0.2">
      <c r="A1241" s="1">
        <v>46023</v>
      </c>
      <c r="B1241">
        <v>79.53</v>
      </c>
      <c r="C1241" s="1">
        <f>DATE(YEAR(VXUS[[#This Row],[Date]]),DAY(VXUS[[#This Row],[Date]]),MONTH(VXUS[[#This Row],[Date]]))</f>
        <v>46023</v>
      </c>
    </row>
    <row r="1242" spans="1:3" x14ac:dyDescent="0.2">
      <c r="A1242" s="1">
        <v>45992</v>
      </c>
      <c r="B1242">
        <v>75.44</v>
      </c>
      <c r="C1242" s="1">
        <f>DATE(YEAR(VXUS[[#This Row],[Date]]),DAY(VXUS[[#This Row],[Date]]),MONTH(VXUS[[#This Row],[Date]]))</f>
        <v>45669</v>
      </c>
    </row>
    <row r="1243" spans="1:3" x14ac:dyDescent="0.2">
      <c r="A1243" s="1">
        <v>45962</v>
      </c>
      <c r="B1243">
        <v>74.94</v>
      </c>
      <c r="C1243" s="1">
        <f>DATE(YEAR(VXUS[[#This Row],[Date]]),DAY(VXUS[[#This Row],[Date]]),MONTH(VXUS[[#This Row],[Date]]))</f>
        <v>45668</v>
      </c>
    </row>
    <row r="1244" spans="1:3" x14ac:dyDescent="0.2">
      <c r="A1244" s="1">
        <v>45931</v>
      </c>
      <c r="B1244">
        <v>74.63</v>
      </c>
      <c r="C1244" s="1">
        <f>DATE(YEAR(VXUS[[#This Row],[Date]]),DAY(VXUS[[#This Row],[Date]]),MONTH(VXUS[[#This Row],[Date]]))</f>
        <v>45667</v>
      </c>
    </row>
    <row r="1245" spans="1:3" x14ac:dyDescent="0.2">
      <c r="A1245" s="1">
        <v>45901</v>
      </c>
      <c r="B1245">
        <v>73.459999999999994</v>
      </c>
      <c r="C1245" s="1">
        <f>DATE(YEAR(VXUS[[#This Row],[Date]]),DAY(VXUS[[#This Row],[Date]]),MONTH(VXUS[[#This Row],[Date]]))</f>
        <v>45666</v>
      </c>
    </row>
    <row r="1246" spans="1:3" x14ac:dyDescent="0.2">
      <c r="A1246" s="1">
        <v>45870</v>
      </c>
      <c r="B1246">
        <v>71.37</v>
      </c>
      <c r="C1246" s="1">
        <f>DATE(YEAR(VXUS[[#This Row],[Date]]),DAY(VXUS[[#This Row],[Date]]),MONTH(VXUS[[#This Row],[Date]]))</f>
        <v>45665</v>
      </c>
    </row>
    <row r="1247" spans="1:3" x14ac:dyDescent="0.2">
      <c r="A1247" s="1">
        <v>45839</v>
      </c>
      <c r="B1247">
        <v>68.47</v>
      </c>
      <c r="C1247" s="1">
        <f>DATE(YEAR(VXUS[[#This Row],[Date]]),DAY(VXUS[[#This Row],[Date]]),MONTH(VXUS[[#This Row],[Date]]))</f>
        <v>45664</v>
      </c>
    </row>
    <row r="1248" spans="1:3" x14ac:dyDescent="0.2">
      <c r="A1248" s="1">
        <v>45809</v>
      </c>
      <c r="B1248">
        <v>69.09</v>
      </c>
      <c r="C1248" s="1">
        <f>DATE(YEAR(VXUS[[#This Row],[Date]]),DAY(VXUS[[#This Row],[Date]]),MONTH(VXUS[[#This Row],[Date]]))</f>
        <v>45663</v>
      </c>
    </row>
    <row r="1249" spans="1:3" x14ac:dyDescent="0.2">
      <c r="A1249" s="1">
        <v>45778</v>
      </c>
      <c r="B1249">
        <v>66.94</v>
      </c>
      <c r="C1249" s="1">
        <f>DATE(YEAR(VXUS[[#This Row],[Date]]),DAY(VXUS[[#This Row],[Date]]),MONTH(VXUS[[#This Row],[Date]]))</f>
        <v>45662</v>
      </c>
    </row>
    <row r="1250" spans="1:3" x14ac:dyDescent="0.2">
      <c r="A1250" s="1">
        <v>45748</v>
      </c>
      <c r="B1250">
        <v>63.86</v>
      </c>
      <c r="C1250" s="1">
        <f>DATE(YEAR(VXUS[[#This Row],[Date]]),DAY(VXUS[[#This Row],[Date]]),MONTH(VXUS[[#This Row],[Date]]))</f>
        <v>45661</v>
      </c>
    </row>
    <row r="1251" spans="1:3" x14ac:dyDescent="0.2">
      <c r="A1251" s="1">
        <v>45717</v>
      </c>
      <c r="B1251">
        <v>62.1</v>
      </c>
      <c r="C1251" s="1">
        <f>DATE(YEAR(VXUS[[#This Row],[Date]]),DAY(VXUS[[#This Row],[Date]]),MONTH(VXUS[[#This Row],[Date]]))</f>
        <v>45660</v>
      </c>
    </row>
    <row r="1252" spans="1:3" x14ac:dyDescent="0.2">
      <c r="A1252" s="1">
        <v>45689</v>
      </c>
      <c r="B1252">
        <v>62.05</v>
      </c>
      <c r="C1252" s="1">
        <f>DATE(YEAR(VXUS[[#This Row],[Date]]),DAY(VXUS[[#This Row],[Date]]),MONTH(VXUS[[#This Row],[Date]]))</f>
        <v>45659</v>
      </c>
    </row>
    <row r="1253" spans="1:3" x14ac:dyDescent="0.2">
      <c r="A1253" s="1">
        <v>45658</v>
      </c>
      <c r="B1253">
        <v>60.92</v>
      </c>
      <c r="C1253" s="1">
        <f>DATE(YEAR(VXUS[[#This Row],[Date]]),DAY(VXUS[[#This Row],[Date]]),MONTH(VXUS[[#This Row],[Date]]))</f>
        <v>45658</v>
      </c>
    </row>
    <row r="1254" spans="1:3" x14ac:dyDescent="0.2">
      <c r="A1254" s="1">
        <v>45627</v>
      </c>
      <c r="B1254">
        <v>58.93</v>
      </c>
      <c r="C1254" s="1">
        <f>DATE(YEAR(VXUS[[#This Row],[Date]]),DAY(VXUS[[#This Row],[Date]]),MONTH(VXUS[[#This Row],[Date]]))</f>
        <v>45303</v>
      </c>
    </row>
    <row r="1255" spans="1:3" x14ac:dyDescent="0.2">
      <c r="A1255" s="1">
        <v>45597</v>
      </c>
      <c r="B1255">
        <v>61.71</v>
      </c>
      <c r="C1255" s="1">
        <f>DATE(YEAR(VXUS[[#This Row],[Date]]),DAY(VXUS[[#This Row],[Date]]),MONTH(VXUS[[#This Row],[Date]]))</f>
        <v>45302</v>
      </c>
    </row>
    <row r="1256" spans="1:3" x14ac:dyDescent="0.2">
      <c r="A1256" s="1">
        <v>45566</v>
      </c>
      <c r="B1256">
        <v>61.85</v>
      </c>
      <c r="C1256" s="1">
        <f>DATE(YEAR(VXUS[[#This Row],[Date]]),DAY(VXUS[[#This Row],[Date]]),MONTH(VXUS[[#This Row],[Date]]))</f>
        <v>45301</v>
      </c>
    </row>
    <row r="1257" spans="1:3" x14ac:dyDescent="0.2">
      <c r="A1257" s="1">
        <v>45536</v>
      </c>
      <c r="B1257">
        <v>64.739999999999995</v>
      </c>
      <c r="C1257" s="1">
        <f>DATE(YEAR(VXUS[[#This Row],[Date]]),DAY(VXUS[[#This Row],[Date]]),MONTH(VXUS[[#This Row],[Date]]))</f>
        <v>45300</v>
      </c>
    </row>
    <row r="1258" spans="1:3" x14ac:dyDescent="0.2">
      <c r="A1258" s="1">
        <v>45505</v>
      </c>
      <c r="B1258">
        <v>63.37</v>
      </c>
      <c r="C1258" s="1">
        <f>DATE(YEAR(VXUS[[#This Row],[Date]]),DAY(VXUS[[#This Row],[Date]]),MONTH(VXUS[[#This Row],[Date]]))</f>
        <v>45299</v>
      </c>
    </row>
    <row r="1259" spans="1:3" x14ac:dyDescent="0.2">
      <c r="A1259" s="1">
        <v>45474</v>
      </c>
      <c r="B1259">
        <v>61.88</v>
      </c>
      <c r="C1259" s="1">
        <f>DATE(YEAR(VXUS[[#This Row],[Date]]),DAY(VXUS[[#This Row],[Date]]),MONTH(VXUS[[#This Row],[Date]]))</f>
        <v>45298</v>
      </c>
    </row>
    <row r="1260" spans="1:3" x14ac:dyDescent="0.2">
      <c r="A1260" s="1">
        <v>45444</v>
      </c>
      <c r="B1260">
        <v>60.3</v>
      </c>
      <c r="C1260" s="1">
        <f>DATE(YEAR(VXUS[[#This Row],[Date]]),DAY(VXUS[[#This Row],[Date]]),MONTH(VXUS[[#This Row],[Date]]))</f>
        <v>45297</v>
      </c>
    </row>
    <row r="1261" spans="1:3" x14ac:dyDescent="0.2">
      <c r="A1261" s="1">
        <v>45413</v>
      </c>
      <c r="B1261">
        <v>61.27</v>
      </c>
      <c r="C1261" s="1">
        <f>DATE(YEAR(VXUS[[#This Row],[Date]]),DAY(VXUS[[#This Row],[Date]]),MONTH(VXUS[[#This Row],[Date]]))</f>
        <v>45296</v>
      </c>
    </row>
    <row r="1262" spans="1:3" x14ac:dyDescent="0.2">
      <c r="A1262" s="1">
        <v>45383</v>
      </c>
      <c r="B1262">
        <v>58.9</v>
      </c>
      <c r="C1262" s="1">
        <f>DATE(YEAR(VXUS[[#This Row],[Date]]),DAY(VXUS[[#This Row],[Date]]),MONTH(VXUS[[#This Row],[Date]]))</f>
        <v>45295</v>
      </c>
    </row>
    <row r="1263" spans="1:3" x14ac:dyDescent="0.2">
      <c r="A1263" s="1">
        <v>45352</v>
      </c>
      <c r="B1263">
        <v>60.3</v>
      </c>
      <c r="C1263" s="1">
        <f>DATE(YEAR(VXUS[[#This Row],[Date]]),DAY(VXUS[[#This Row],[Date]]),MONTH(VXUS[[#This Row],[Date]]))</f>
        <v>45294</v>
      </c>
    </row>
    <row r="1264" spans="1:3" x14ac:dyDescent="0.2">
      <c r="A1264" s="1">
        <v>45323</v>
      </c>
      <c r="B1264">
        <v>58.63</v>
      </c>
      <c r="C1264" s="1">
        <f>DATE(YEAR(VXUS[[#This Row],[Date]]),DAY(VXUS[[#This Row],[Date]]),MONTH(VXUS[[#This Row],[Date]]))</f>
        <v>45293</v>
      </c>
    </row>
    <row r="1265" spans="1:3" x14ac:dyDescent="0.2">
      <c r="A1265" s="1">
        <v>45292</v>
      </c>
      <c r="B1265">
        <v>56.97</v>
      </c>
      <c r="C1265" s="1">
        <f>DATE(YEAR(VXUS[[#This Row],[Date]]),DAY(VXUS[[#This Row],[Date]]),MONTH(VXUS[[#This Row],[Date]]))</f>
        <v>45292</v>
      </c>
    </row>
    <row r="1266" spans="1:3" x14ac:dyDescent="0.2">
      <c r="A1266" s="1">
        <v>45261</v>
      </c>
      <c r="B1266">
        <v>57.96</v>
      </c>
      <c r="C1266" s="1">
        <f>DATE(YEAR(VXUS[[#This Row],[Date]]),DAY(VXUS[[#This Row],[Date]]),MONTH(VXUS[[#This Row],[Date]]))</f>
        <v>44938</v>
      </c>
    </row>
    <row r="1267" spans="1:3" x14ac:dyDescent="0.2">
      <c r="A1267" s="1">
        <v>45231</v>
      </c>
      <c r="B1267">
        <v>55.98</v>
      </c>
      <c r="C1267" s="1">
        <f>DATE(YEAR(VXUS[[#This Row],[Date]]),DAY(VXUS[[#This Row],[Date]]),MONTH(VXUS[[#This Row],[Date]]))</f>
        <v>44937</v>
      </c>
    </row>
    <row r="1268" spans="1:3" x14ac:dyDescent="0.2">
      <c r="A1268" s="1">
        <v>45200</v>
      </c>
      <c r="B1268">
        <v>51.72</v>
      </c>
      <c r="C1268" s="1">
        <f>DATE(YEAR(VXUS[[#This Row],[Date]]),DAY(VXUS[[#This Row],[Date]]),MONTH(VXUS[[#This Row],[Date]]))</f>
        <v>44936</v>
      </c>
    </row>
    <row r="1269" spans="1:3" x14ac:dyDescent="0.2">
      <c r="A1269" s="1">
        <v>45170</v>
      </c>
      <c r="B1269">
        <v>53.52</v>
      </c>
      <c r="C1269" s="1">
        <f>DATE(YEAR(VXUS[[#This Row],[Date]]),DAY(VXUS[[#This Row],[Date]]),MONTH(VXUS[[#This Row],[Date]]))</f>
        <v>44935</v>
      </c>
    </row>
    <row r="1270" spans="1:3" x14ac:dyDescent="0.2">
      <c r="A1270" s="1">
        <v>45139</v>
      </c>
      <c r="B1270">
        <v>55.7</v>
      </c>
      <c r="C1270" s="1">
        <f>DATE(YEAR(VXUS[[#This Row],[Date]]),DAY(VXUS[[#This Row],[Date]]),MONTH(VXUS[[#This Row],[Date]]))</f>
        <v>44934</v>
      </c>
    </row>
    <row r="1271" spans="1:3" x14ac:dyDescent="0.2">
      <c r="A1271" s="1">
        <v>45108</v>
      </c>
      <c r="B1271">
        <v>58.26</v>
      </c>
      <c r="C1271" s="1">
        <f>DATE(YEAR(VXUS[[#This Row],[Date]]),DAY(VXUS[[#This Row],[Date]]),MONTH(VXUS[[#This Row],[Date]]))</f>
        <v>44933</v>
      </c>
    </row>
    <row r="1272" spans="1:3" x14ac:dyDescent="0.2">
      <c r="A1272" s="1">
        <v>45078</v>
      </c>
      <c r="B1272">
        <v>56.08</v>
      </c>
      <c r="C1272" s="1">
        <f>DATE(YEAR(VXUS[[#This Row],[Date]]),DAY(VXUS[[#This Row],[Date]]),MONTH(VXUS[[#This Row],[Date]]))</f>
        <v>44932</v>
      </c>
    </row>
    <row r="1273" spans="1:3" x14ac:dyDescent="0.2">
      <c r="A1273" s="1">
        <v>45047</v>
      </c>
      <c r="B1273">
        <v>54.28</v>
      </c>
      <c r="C1273" s="1">
        <f>DATE(YEAR(VXUS[[#This Row],[Date]]),DAY(VXUS[[#This Row],[Date]]),MONTH(VXUS[[#This Row],[Date]]))</f>
        <v>44931</v>
      </c>
    </row>
    <row r="1274" spans="1:3" x14ac:dyDescent="0.2">
      <c r="A1274" s="1">
        <v>45017</v>
      </c>
      <c r="B1274">
        <v>56.25</v>
      </c>
      <c r="C1274" s="1">
        <f>DATE(YEAR(VXUS[[#This Row],[Date]]),DAY(VXUS[[#This Row],[Date]]),MONTH(VXUS[[#This Row],[Date]]))</f>
        <v>44930</v>
      </c>
    </row>
    <row r="1275" spans="1:3" x14ac:dyDescent="0.2">
      <c r="A1275" s="1">
        <v>44986</v>
      </c>
      <c r="B1275">
        <v>55.21</v>
      </c>
      <c r="C1275" s="1">
        <f>DATE(YEAR(VXUS[[#This Row],[Date]]),DAY(VXUS[[#This Row],[Date]]),MONTH(VXUS[[#This Row],[Date]]))</f>
        <v>44929</v>
      </c>
    </row>
    <row r="1276" spans="1:3" x14ac:dyDescent="0.2">
      <c r="A1276" s="1">
        <v>44958</v>
      </c>
      <c r="B1276">
        <v>53.81</v>
      </c>
      <c r="C1276" s="1">
        <f>DATE(YEAR(VXUS[[#This Row],[Date]]),DAY(VXUS[[#This Row],[Date]]),MONTH(VXUS[[#This Row],[Date]]))</f>
        <v>44928</v>
      </c>
    </row>
    <row r="1277" spans="1:3" x14ac:dyDescent="0.2">
      <c r="A1277" s="1">
        <v>44927</v>
      </c>
      <c r="B1277">
        <v>56.21</v>
      </c>
      <c r="C1277" s="1">
        <f>DATE(YEAR(VXUS[[#This Row],[Date]]),DAY(VXUS[[#This Row],[Date]]),MONTH(VXUS[[#This Row],[Date]]))</f>
        <v>44927</v>
      </c>
    </row>
    <row r="1278" spans="1:3" x14ac:dyDescent="0.2">
      <c r="A1278" s="1">
        <v>44896</v>
      </c>
      <c r="B1278">
        <v>51.72</v>
      </c>
      <c r="C1278" s="1">
        <f>DATE(YEAR(VXUS[[#This Row],[Date]]),DAY(VXUS[[#This Row],[Date]]),MONTH(VXUS[[#This Row],[Date]]))</f>
        <v>44573</v>
      </c>
    </row>
    <row r="1279" spans="1:3" x14ac:dyDescent="0.2">
      <c r="A1279" s="1">
        <v>44866</v>
      </c>
      <c r="B1279">
        <v>53.5</v>
      </c>
      <c r="C1279" s="1">
        <f>DATE(YEAR(VXUS[[#This Row],[Date]]),DAY(VXUS[[#This Row],[Date]]),MONTH(VXUS[[#This Row],[Date]]))</f>
        <v>44572</v>
      </c>
    </row>
    <row r="1280" spans="1:3" x14ac:dyDescent="0.2">
      <c r="A1280" s="1">
        <v>44835</v>
      </c>
      <c r="B1280">
        <v>47.33</v>
      </c>
      <c r="C1280" s="1">
        <f>DATE(YEAR(VXUS[[#This Row],[Date]]),DAY(VXUS[[#This Row],[Date]]),MONTH(VXUS[[#This Row],[Date]]))</f>
        <v>44571</v>
      </c>
    </row>
    <row r="1281" spans="1:3" x14ac:dyDescent="0.2">
      <c r="A1281" s="1">
        <v>44805</v>
      </c>
      <c r="B1281">
        <v>45.77</v>
      </c>
      <c r="C1281" s="1">
        <f>DATE(YEAR(VXUS[[#This Row],[Date]]),DAY(VXUS[[#This Row],[Date]]),MONTH(VXUS[[#This Row],[Date]]))</f>
        <v>44570</v>
      </c>
    </row>
    <row r="1282" spans="1:3" x14ac:dyDescent="0.2">
      <c r="A1282" s="1">
        <v>44774</v>
      </c>
      <c r="B1282">
        <v>51.09</v>
      </c>
      <c r="C1282" s="1">
        <f>DATE(YEAR(VXUS[[#This Row],[Date]]),DAY(VXUS[[#This Row],[Date]]),MONTH(VXUS[[#This Row],[Date]]))</f>
        <v>44569</v>
      </c>
    </row>
    <row r="1283" spans="1:3" x14ac:dyDescent="0.2">
      <c r="A1283" s="1">
        <v>44743</v>
      </c>
      <c r="B1283">
        <v>53.49</v>
      </c>
      <c r="C1283" s="1">
        <f>DATE(YEAR(VXUS[[#This Row],[Date]]),DAY(VXUS[[#This Row],[Date]]),MONTH(VXUS[[#This Row],[Date]]))</f>
        <v>44568</v>
      </c>
    </row>
    <row r="1284" spans="1:3" x14ac:dyDescent="0.2">
      <c r="A1284" s="1">
        <v>44713</v>
      </c>
      <c r="B1284">
        <v>51.61</v>
      </c>
      <c r="C1284" s="1">
        <f>DATE(YEAR(VXUS[[#This Row],[Date]]),DAY(VXUS[[#This Row],[Date]]),MONTH(VXUS[[#This Row],[Date]]))</f>
        <v>44567</v>
      </c>
    </row>
    <row r="1285" spans="1:3" x14ac:dyDescent="0.2">
      <c r="A1285" s="1">
        <v>44682</v>
      </c>
      <c r="B1285">
        <v>56.71</v>
      </c>
      <c r="C1285" s="1">
        <f>DATE(YEAR(VXUS[[#This Row],[Date]]),DAY(VXUS[[#This Row],[Date]]),MONTH(VXUS[[#This Row],[Date]]))</f>
        <v>44566</v>
      </c>
    </row>
    <row r="1286" spans="1:3" x14ac:dyDescent="0.2">
      <c r="A1286" s="1">
        <v>44652</v>
      </c>
      <c r="B1286">
        <v>55.86</v>
      </c>
      <c r="C1286" s="1">
        <f>DATE(YEAR(VXUS[[#This Row],[Date]]),DAY(VXUS[[#This Row],[Date]]),MONTH(VXUS[[#This Row],[Date]]))</f>
        <v>44565</v>
      </c>
    </row>
    <row r="1287" spans="1:3" x14ac:dyDescent="0.2">
      <c r="A1287" s="1">
        <v>44621</v>
      </c>
      <c r="B1287">
        <v>59.74</v>
      </c>
      <c r="C1287" s="1">
        <f>DATE(YEAR(VXUS[[#This Row],[Date]]),DAY(VXUS[[#This Row],[Date]]),MONTH(VXUS[[#This Row],[Date]]))</f>
        <v>44564</v>
      </c>
    </row>
    <row r="1288" spans="1:3" x14ac:dyDescent="0.2">
      <c r="A1288" s="1">
        <v>44593</v>
      </c>
      <c r="B1288">
        <v>60.01</v>
      </c>
      <c r="C1288" s="1">
        <f>DATE(YEAR(VXUS[[#This Row],[Date]]),DAY(VXUS[[#This Row],[Date]]),MONTH(VXUS[[#This Row],[Date]]))</f>
        <v>44563</v>
      </c>
    </row>
    <row r="1289" spans="1:3" x14ac:dyDescent="0.2">
      <c r="A1289" s="1">
        <v>44562</v>
      </c>
      <c r="B1289">
        <v>61.77</v>
      </c>
      <c r="C1289" s="1">
        <f>DATE(YEAR(VXUS[[#This Row],[Date]]),DAY(VXUS[[#This Row],[Date]]),MONTH(VXUS[[#This Row],[Date]]))</f>
        <v>44562</v>
      </c>
    </row>
    <row r="1290" spans="1:3" x14ac:dyDescent="0.2">
      <c r="A1290" s="1">
        <v>44531</v>
      </c>
      <c r="B1290">
        <v>63.57</v>
      </c>
      <c r="C1290" s="1">
        <f>DATE(YEAR(VXUS[[#This Row],[Date]]),DAY(VXUS[[#This Row],[Date]]),MONTH(VXUS[[#This Row],[Date]]))</f>
        <v>44208</v>
      </c>
    </row>
    <row r="1291" spans="1:3" x14ac:dyDescent="0.2">
      <c r="A1291" s="1">
        <v>44501</v>
      </c>
      <c r="B1291">
        <v>62.31</v>
      </c>
      <c r="C1291" s="1">
        <f>DATE(YEAR(VXUS[[#This Row],[Date]]),DAY(VXUS[[#This Row],[Date]]),MONTH(VXUS[[#This Row],[Date]]))</f>
        <v>44207</v>
      </c>
    </row>
    <row r="1292" spans="1:3" x14ac:dyDescent="0.2">
      <c r="A1292" s="1">
        <v>44470</v>
      </c>
      <c r="B1292">
        <v>65.08</v>
      </c>
      <c r="C1292" s="1">
        <f>DATE(YEAR(VXUS[[#This Row],[Date]]),DAY(VXUS[[#This Row],[Date]]),MONTH(VXUS[[#This Row],[Date]]))</f>
        <v>44206</v>
      </c>
    </row>
    <row r="1293" spans="1:3" x14ac:dyDescent="0.2">
      <c r="A1293" s="1">
        <v>44440</v>
      </c>
      <c r="B1293">
        <v>63.26</v>
      </c>
      <c r="C1293" s="1">
        <f>DATE(YEAR(VXUS[[#This Row],[Date]]),DAY(VXUS[[#This Row],[Date]]),MONTH(VXUS[[#This Row],[Date]]))</f>
        <v>44205</v>
      </c>
    </row>
    <row r="1294" spans="1:3" x14ac:dyDescent="0.2">
      <c r="A1294" s="1">
        <v>44409</v>
      </c>
      <c r="B1294">
        <v>65.89</v>
      </c>
      <c r="C1294" s="1">
        <f>DATE(YEAR(VXUS[[#This Row],[Date]]),DAY(VXUS[[#This Row],[Date]]),MONTH(VXUS[[#This Row],[Date]]))</f>
        <v>44204</v>
      </c>
    </row>
    <row r="1295" spans="1:3" x14ac:dyDescent="0.2">
      <c r="A1295" s="1">
        <v>44378</v>
      </c>
      <c r="B1295">
        <v>64.94</v>
      </c>
      <c r="C1295" s="1">
        <f>DATE(YEAR(VXUS[[#This Row],[Date]]),DAY(VXUS[[#This Row],[Date]]),MONTH(VXUS[[#This Row],[Date]]))</f>
        <v>44203</v>
      </c>
    </row>
    <row r="1296" spans="1:3" x14ac:dyDescent="0.2">
      <c r="A1296" s="1">
        <v>44348</v>
      </c>
      <c r="B1296">
        <v>65.680000000000007</v>
      </c>
      <c r="C1296" s="1">
        <f>DATE(YEAR(VXUS[[#This Row],[Date]]),DAY(VXUS[[#This Row],[Date]]),MONTH(VXUS[[#This Row],[Date]]))</f>
        <v>44202</v>
      </c>
    </row>
    <row r="1297" spans="1:3" x14ac:dyDescent="0.2">
      <c r="A1297" s="1">
        <v>44317</v>
      </c>
      <c r="B1297">
        <v>66.42</v>
      </c>
      <c r="C1297" s="1">
        <f>DATE(YEAR(VXUS[[#This Row],[Date]]),DAY(VXUS[[#This Row],[Date]]),MONTH(VXUS[[#This Row],[Date]]))</f>
        <v>44201</v>
      </c>
    </row>
    <row r="1298" spans="1:3" x14ac:dyDescent="0.2">
      <c r="A1298" s="1">
        <v>44287</v>
      </c>
      <c r="B1298">
        <v>64.44</v>
      </c>
      <c r="C1298" s="1">
        <f>DATE(YEAR(VXUS[[#This Row],[Date]]),DAY(VXUS[[#This Row],[Date]]),MONTH(VXUS[[#This Row],[Date]]))</f>
        <v>44200</v>
      </c>
    </row>
    <row r="1299" spans="1:3" x14ac:dyDescent="0.2">
      <c r="A1299" s="1">
        <v>44256</v>
      </c>
      <c r="B1299">
        <v>62.7</v>
      </c>
      <c r="C1299" s="1">
        <f>DATE(YEAR(VXUS[[#This Row],[Date]]),DAY(VXUS[[#This Row],[Date]]),MONTH(VXUS[[#This Row],[Date]]))</f>
        <v>44199</v>
      </c>
    </row>
    <row r="1300" spans="1:3" x14ac:dyDescent="0.2">
      <c r="A1300" s="1">
        <v>44228</v>
      </c>
      <c r="B1300">
        <v>61.7</v>
      </c>
      <c r="C1300" s="1">
        <f>DATE(YEAR(VXUS[[#This Row],[Date]]),DAY(VXUS[[#This Row],[Date]]),MONTH(VXUS[[#This Row],[Date]]))</f>
        <v>44198</v>
      </c>
    </row>
    <row r="1301" spans="1:3" x14ac:dyDescent="0.2">
      <c r="A1301" s="1">
        <v>44197</v>
      </c>
      <c r="B1301">
        <v>60.31</v>
      </c>
      <c r="C1301" s="1">
        <f>DATE(YEAR(VXUS[[#This Row],[Date]]),DAY(VXUS[[#This Row],[Date]]),MONTH(VXUS[[#This Row],[Date]]))</f>
        <v>44197</v>
      </c>
    </row>
    <row r="1302" spans="1:3" x14ac:dyDescent="0.2">
      <c r="A1302" s="1">
        <v>44166</v>
      </c>
      <c r="B1302">
        <v>60.16</v>
      </c>
      <c r="C1302" s="1">
        <f>DATE(YEAR(VXUS[[#This Row],[Date]]),DAY(VXUS[[#This Row],[Date]]),MONTH(VXUS[[#This Row],[Date]]))</f>
        <v>43842</v>
      </c>
    </row>
    <row r="1303" spans="1:3" x14ac:dyDescent="0.2">
      <c r="A1303" s="1">
        <v>44136</v>
      </c>
      <c r="B1303">
        <v>57.4</v>
      </c>
      <c r="C1303" s="1">
        <f>DATE(YEAR(VXUS[[#This Row],[Date]]),DAY(VXUS[[#This Row],[Date]]),MONTH(VXUS[[#This Row],[Date]]))</f>
        <v>43841</v>
      </c>
    </row>
    <row r="1304" spans="1:3" x14ac:dyDescent="0.2">
      <c r="A1304" s="1">
        <v>44105</v>
      </c>
      <c r="B1304">
        <v>50.97</v>
      </c>
      <c r="C1304" s="1">
        <f>DATE(YEAR(VXUS[[#This Row],[Date]]),DAY(VXUS[[#This Row],[Date]]),MONTH(VXUS[[#This Row],[Date]]))</f>
        <v>43840</v>
      </c>
    </row>
    <row r="1305" spans="1:3" x14ac:dyDescent="0.2">
      <c r="A1305" s="1">
        <v>44075</v>
      </c>
      <c r="B1305">
        <v>52.17</v>
      </c>
      <c r="C1305" s="1">
        <f>DATE(YEAR(VXUS[[#This Row],[Date]]),DAY(VXUS[[#This Row],[Date]]),MONTH(VXUS[[#This Row],[Date]]))</f>
        <v>43839</v>
      </c>
    </row>
    <row r="1306" spans="1:3" x14ac:dyDescent="0.2">
      <c r="A1306" s="1">
        <v>44044</v>
      </c>
      <c r="B1306">
        <v>53.48</v>
      </c>
      <c r="C1306" s="1">
        <f>DATE(YEAR(VXUS[[#This Row],[Date]]),DAY(VXUS[[#This Row],[Date]]),MONTH(VXUS[[#This Row],[Date]]))</f>
        <v>43838</v>
      </c>
    </row>
    <row r="1307" spans="1:3" x14ac:dyDescent="0.2">
      <c r="A1307" s="1">
        <v>44013</v>
      </c>
      <c r="B1307">
        <v>51.21</v>
      </c>
      <c r="C1307" s="1">
        <f>DATE(YEAR(VXUS[[#This Row],[Date]]),DAY(VXUS[[#This Row],[Date]]),MONTH(VXUS[[#This Row],[Date]]))</f>
        <v>43837</v>
      </c>
    </row>
    <row r="1308" spans="1:3" x14ac:dyDescent="0.2">
      <c r="A1308" s="1">
        <v>43983</v>
      </c>
      <c r="B1308">
        <v>49.17</v>
      </c>
      <c r="C1308" s="1">
        <f>DATE(YEAR(VXUS[[#This Row],[Date]]),DAY(VXUS[[#This Row],[Date]]),MONTH(VXUS[[#This Row],[Date]]))</f>
        <v>43836</v>
      </c>
    </row>
    <row r="1309" spans="1:3" x14ac:dyDescent="0.2">
      <c r="A1309" s="1">
        <v>43952</v>
      </c>
      <c r="B1309">
        <v>47.41</v>
      </c>
      <c r="C1309" s="1">
        <f>DATE(YEAR(VXUS[[#This Row],[Date]]),DAY(VXUS[[#This Row],[Date]]),MONTH(VXUS[[#This Row],[Date]]))</f>
        <v>43835</v>
      </c>
    </row>
    <row r="1310" spans="1:3" x14ac:dyDescent="0.2">
      <c r="A1310" s="1">
        <v>43922</v>
      </c>
      <c r="B1310">
        <v>45.15</v>
      </c>
      <c r="C1310" s="1">
        <f>DATE(YEAR(VXUS[[#This Row],[Date]]),DAY(VXUS[[#This Row],[Date]]),MONTH(VXUS[[#This Row],[Date]]))</f>
        <v>43834</v>
      </c>
    </row>
    <row r="1311" spans="1:3" x14ac:dyDescent="0.2">
      <c r="A1311" s="1">
        <v>43891</v>
      </c>
      <c r="B1311">
        <v>41.96</v>
      </c>
      <c r="C1311" s="1">
        <f>DATE(YEAR(VXUS[[#This Row],[Date]]),DAY(VXUS[[#This Row],[Date]]),MONTH(VXUS[[#This Row],[Date]]))</f>
        <v>43833</v>
      </c>
    </row>
    <row r="1312" spans="1:3" x14ac:dyDescent="0.2">
      <c r="A1312" s="1">
        <v>43862</v>
      </c>
      <c r="B1312">
        <v>50.25</v>
      </c>
      <c r="C1312" s="1">
        <f>DATE(YEAR(VXUS[[#This Row],[Date]]),DAY(VXUS[[#This Row],[Date]]),MONTH(VXUS[[#This Row],[Date]]))</f>
        <v>43832</v>
      </c>
    </row>
    <row r="1313" spans="1:3" x14ac:dyDescent="0.2">
      <c r="A1313" s="1">
        <v>43831</v>
      </c>
      <c r="B1313">
        <v>53.8</v>
      </c>
      <c r="C1313" s="1">
        <f>DATE(YEAR(VXUS[[#This Row],[Date]]),DAY(VXUS[[#This Row],[Date]]),MONTH(VXUS[[#This Row],[Date]]))</f>
        <v>43831</v>
      </c>
    </row>
    <row r="1314" spans="1:3" x14ac:dyDescent="0.2">
      <c r="A1314" s="1">
        <v>43800</v>
      </c>
      <c r="B1314">
        <v>55.69</v>
      </c>
      <c r="C1314" s="1">
        <f>DATE(YEAR(VXUS[[#This Row],[Date]]),DAY(VXUS[[#This Row],[Date]]),MONTH(VXUS[[#This Row],[Date]]))</f>
        <v>43477</v>
      </c>
    </row>
    <row r="1315" spans="1:3" x14ac:dyDescent="0.2">
      <c r="A1315" s="1">
        <v>43770</v>
      </c>
      <c r="B1315">
        <v>53.96</v>
      </c>
      <c r="C1315" s="1">
        <f>DATE(YEAR(VXUS[[#This Row],[Date]]),DAY(VXUS[[#This Row],[Date]]),MONTH(VXUS[[#This Row],[Date]]))</f>
        <v>43476</v>
      </c>
    </row>
    <row r="1316" spans="1:3" x14ac:dyDescent="0.2">
      <c r="A1316" s="1">
        <v>43739</v>
      </c>
      <c r="B1316">
        <v>53.43</v>
      </c>
      <c r="C1316" s="1">
        <f>DATE(YEAR(VXUS[[#This Row],[Date]]),DAY(VXUS[[#This Row],[Date]]),MONTH(VXUS[[#This Row],[Date]]))</f>
        <v>43475</v>
      </c>
    </row>
    <row r="1317" spans="1:3" x14ac:dyDescent="0.2">
      <c r="A1317" s="1">
        <v>43709</v>
      </c>
      <c r="B1317">
        <v>51.66</v>
      </c>
      <c r="C1317" s="1">
        <f>DATE(YEAR(VXUS[[#This Row],[Date]]),DAY(VXUS[[#This Row],[Date]]),MONTH(VXUS[[#This Row],[Date]]))</f>
        <v>43474</v>
      </c>
    </row>
    <row r="1318" spans="1:3" x14ac:dyDescent="0.2">
      <c r="A1318" s="1">
        <v>43678</v>
      </c>
      <c r="B1318">
        <v>50.58</v>
      </c>
      <c r="C1318" s="1">
        <f>DATE(YEAR(VXUS[[#This Row],[Date]]),DAY(VXUS[[#This Row],[Date]]),MONTH(VXUS[[#This Row],[Date]]))</f>
        <v>43473</v>
      </c>
    </row>
    <row r="1319" spans="1:3" x14ac:dyDescent="0.2">
      <c r="A1319" s="1">
        <v>43647</v>
      </c>
      <c r="B1319">
        <v>51.7</v>
      </c>
      <c r="C1319" s="1">
        <f>DATE(YEAR(VXUS[[#This Row],[Date]]),DAY(VXUS[[#This Row],[Date]]),MONTH(VXUS[[#This Row],[Date]]))</f>
        <v>43472</v>
      </c>
    </row>
    <row r="1320" spans="1:3" x14ac:dyDescent="0.2">
      <c r="A1320" s="1">
        <v>43617</v>
      </c>
      <c r="B1320">
        <v>52.75</v>
      </c>
      <c r="C1320" s="1">
        <f>DATE(YEAR(VXUS[[#This Row],[Date]]),DAY(VXUS[[#This Row],[Date]]),MONTH(VXUS[[#This Row],[Date]]))</f>
        <v>43471</v>
      </c>
    </row>
    <row r="1321" spans="1:3" x14ac:dyDescent="0.2">
      <c r="A1321" s="1">
        <v>43586</v>
      </c>
      <c r="B1321">
        <v>50.45</v>
      </c>
      <c r="C1321" s="1">
        <f>DATE(YEAR(VXUS[[#This Row],[Date]]),DAY(VXUS[[#This Row],[Date]]),MONTH(VXUS[[#This Row],[Date]]))</f>
        <v>43470</v>
      </c>
    </row>
    <row r="1322" spans="1:3" x14ac:dyDescent="0.2">
      <c r="A1322" s="1">
        <v>43556</v>
      </c>
      <c r="B1322">
        <v>53.34</v>
      </c>
      <c r="C1322" s="1">
        <f>DATE(YEAR(VXUS[[#This Row],[Date]]),DAY(VXUS[[#This Row],[Date]]),MONTH(VXUS[[#This Row],[Date]]))</f>
        <v>43469</v>
      </c>
    </row>
    <row r="1323" spans="1:3" x14ac:dyDescent="0.2">
      <c r="A1323" s="1">
        <v>43525</v>
      </c>
      <c r="B1323">
        <v>51.9</v>
      </c>
      <c r="C1323" s="1">
        <f>DATE(YEAR(VXUS[[#This Row],[Date]]),DAY(VXUS[[#This Row],[Date]]),MONTH(VXUS[[#This Row],[Date]]))</f>
        <v>43468</v>
      </c>
    </row>
    <row r="1324" spans="1:3" x14ac:dyDescent="0.2">
      <c r="A1324" s="1">
        <v>43497</v>
      </c>
      <c r="B1324">
        <v>51.67</v>
      </c>
      <c r="C1324" s="1">
        <f>DATE(YEAR(VXUS[[#This Row],[Date]]),DAY(VXUS[[#This Row],[Date]]),MONTH(VXUS[[#This Row],[Date]]))</f>
        <v>43467</v>
      </c>
    </row>
    <row r="1325" spans="1:3" x14ac:dyDescent="0.2">
      <c r="A1325" s="1">
        <v>43466</v>
      </c>
      <c r="B1325">
        <v>50.84</v>
      </c>
      <c r="C1325" s="1">
        <f>DATE(YEAR(VXUS[[#This Row],[Date]]),DAY(VXUS[[#This Row],[Date]]),MONTH(VXUS[[#This Row],[Date]]))</f>
        <v>43466</v>
      </c>
    </row>
    <row r="1326" spans="1:3" x14ac:dyDescent="0.2">
      <c r="A1326" s="1">
        <v>43435</v>
      </c>
      <c r="B1326">
        <v>47.22</v>
      </c>
      <c r="C1326" s="1">
        <f>DATE(YEAR(VXUS[[#This Row],[Date]]),DAY(VXUS[[#This Row],[Date]]),MONTH(VXUS[[#This Row],[Date]]))</f>
        <v>43112</v>
      </c>
    </row>
    <row r="1327" spans="1:3" x14ac:dyDescent="0.2">
      <c r="A1327" s="1">
        <v>43405</v>
      </c>
      <c r="B1327">
        <v>50.21</v>
      </c>
      <c r="C1327" s="1">
        <f>DATE(YEAR(VXUS[[#This Row],[Date]]),DAY(VXUS[[#This Row],[Date]]),MONTH(VXUS[[#This Row],[Date]]))</f>
        <v>43111</v>
      </c>
    </row>
    <row r="1328" spans="1:3" x14ac:dyDescent="0.2">
      <c r="A1328" s="1">
        <v>43374</v>
      </c>
      <c r="B1328">
        <v>49.38</v>
      </c>
      <c r="C1328" s="1">
        <f>DATE(YEAR(VXUS[[#This Row],[Date]]),DAY(VXUS[[#This Row],[Date]]),MONTH(VXUS[[#This Row],[Date]]))</f>
        <v>43110</v>
      </c>
    </row>
    <row r="1329" spans="1:3" x14ac:dyDescent="0.2">
      <c r="A1329" s="1">
        <v>43344</v>
      </c>
      <c r="B1329">
        <v>54</v>
      </c>
      <c r="C1329" s="1">
        <f>DATE(YEAR(VXUS[[#This Row],[Date]]),DAY(VXUS[[#This Row],[Date]]),MONTH(VXUS[[#This Row],[Date]]))</f>
        <v>43109</v>
      </c>
    </row>
    <row r="1330" spans="1:3" x14ac:dyDescent="0.2">
      <c r="A1330" s="1">
        <v>43313</v>
      </c>
      <c r="B1330">
        <v>54.15</v>
      </c>
      <c r="C1330" s="1">
        <f>DATE(YEAR(VXUS[[#This Row],[Date]]),DAY(VXUS[[#This Row],[Date]]),MONTH(VXUS[[#This Row],[Date]]))</f>
        <v>43108</v>
      </c>
    </row>
    <row r="1331" spans="1:3" x14ac:dyDescent="0.2">
      <c r="A1331" s="1">
        <v>43282</v>
      </c>
      <c r="B1331">
        <v>55.48</v>
      </c>
      <c r="C1331" s="1">
        <f>DATE(YEAR(VXUS[[#This Row],[Date]]),DAY(VXUS[[#This Row],[Date]]),MONTH(VXUS[[#This Row],[Date]]))</f>
        <v>43107</v>
      </c>
    </row>
    <row r="1332" spans="1:3" x14ac:dyDescent="0.2">
      <c r="A1332" s="1">
        <v>43252</v>
      </c>
      <c r="B1332">
        <v>54.1</v>
      </c>
      <c r="C1332" s="1">
        <f>DATE(YEAR(VXUS[[#This Row],[Date]]),DAY(VXUS[[#This Row],[Date]]),MONTH(VXUS[[#This Row],[Date]]))</f>
        <v>43106</v>
      </c>
    </row>
    <row r="1333" spans="1:3" x14ac:dyDescent="0.2">
      <c r="A1333" s="1">
        <v>43221</v>
      </c>
      <c r="B1333">
        <v>55.88</v>
      </c>
      <c r="C1333" s="1">
        <f>DATE(YEAR(VXUS[[#This Row],[Date]]),DAY(VXUS[[#This Row],[Date]]),MONTH(VXUS[[#This Row],[Date]]))</f>
        <v>43105</v>
      </c>
    </row>
    <row r="1334" spans="1:3" x14ac:dyDescent="0.2">
      <c r="A1334" s="1">
        <v>43191</v>
      </c>
      <c r="B1334">
        <v>56.81</v>
      </c>
      <c r="C1334" s="1">
        <f>DATE(YEAR(VXUS[[#This Row],[Date]]),DAY(VXUS[[#This Row],[Date]]),MONTH(VXUS[[#This Row],[Date]]))</f>
        <v>43104</v>
      </c>
    </row>
    <row r="1335" spans="1:3" x14ac:dyDescent="0.2">
      <c r="A1335" s="1">
        <v>43160</v>
      </c>
      <c r="B1335">
        <v>56.55</v>
      </c>
      <c r="C1335" s="1">
        <f>DATE(YEAR(VXUS[[#This Row],[Date]]),DAY(VXUS[[#This Row],[Date]]),MONTH(VXUS[[#This Row],[Date]]))</f>
        <v>43103</v>
      </c>
    </row>
    <row r="1336" spans="1:3" x14ac:dyDescent="0.2">
      <c r="A1336" s="1">
        <v>43132</v>
      </c>
      <c r="B1336">
        <v>56.91</v>
      </c>
      <c r="C1336" s="1">
        <f>DATE(YEAR(VXUS[[#This Row],[Date]]),DAY(VXUS[[#This Row],[Date]]),MONTH(VXUS[[#This Row],[Date]]))</f>
        <v>43102</v>
      </c>
    </row>
    <row r="1337" spans="1:3" x14ac:dyDescent="0.2">
      <c r="A1337" s="1">
        <v>43101</v>
      </c>
      <c r="B1337">
        <v>60.06</v>
      </c>
      <c r="C1337" s="1">
        <f>DATE(YEAR(VXUS[[#This Row],[Date]]),DAY(VXUS[[#This Row],[Date]]),MONTH(VXUS[[#This Row],[Date]]))</f>
        <v>43101</v>
      </c>
    </row>
    <row r="1338" spans="1:3" x14ac:dyDescent="0.2">
      <c r="A1338" s="1">
        <v>43070</v>
      </c>
      <c r="B1338">
        <v>56.81</v>
      </c>
      <c r="C1338" s="1">
        <f>DATE(YEAR(VXUS[[#This Row],[Date]]),DAY(VXUS[[#This Row],[Date]]),MONTH(VXUS[[#This Row],[Date]]))</f>
        <v>42747</v>
      </c>
    </row>
    <row r="1339" spans="1:3" x14ac:dyDescent="0.2">
      <c r="A1339" s="1">
        <v>43040</v>
      </c>
      <c r="B1339">
        <v>56.19</v>
      </c>
      <c r="C1339" s="1">
        <f>DATE(YEAR(VXUS[[#This Row],[Date]]),DAY(VXUS[[#This Row],[Date]]),MONTH(VXUS[[#This Row],[Date]]))</f>
        <v>42746</v>
      </c>
    </row>
    <row r="1340" spans="1:3" x14ac:dyDescent="0.2">
      <c r="A1340" s="1">
        <v>43009</v>
      </c>
      <c r="B1340">
        <v>55.84</v>
      </c>
      <c r="C1340" s="1">
        <f>DATE(YEAR(VXUS[[#This Row],[Date]]),DAY(VXUS[[#This Row],[Date]]),MONTH(VXUS[[#This Row],[Date]]))</f>
        <v>42745</v>
      </c>
    </row>
    <row r="1341" spans="1:3" x14ac:dyDescent="0.2">
      <c r="A1341" s="1">
        <v>42979</v>
      </c>
      <c r="B1341">
        <v>54.73</v>
      </c>
      <c r="C1341" s="1">
        <f>DATE(YEAR(VXUS[[#This Row],[Date]]),DAY(VXUS[[#This Row],[Date]]),MONTH(VXUS[[#This Row],[Date]]))</f>
        <v>42744</v>
      </c>
    </row>
    <row r="1342" spans="1:3" x14ac:dyDescent="0.2">
      <c r="A1342" s="1">
        <v>42948</v>
      </c>
      <c r="B1342">
        <v>54.01</v>
      </c>
      <c r="C1342" s="1">
        <f>DATE(YEAR(VXUS[[#This Row],[Date]]),DAY(VXUS[[#This Row],[Date]]),MONTH(VXUS[[#This Row],[Date]]))</f>
        <v>42743</v>
      </c>
    </row>
    <row r="1343" spans="1:3" x14ac:dyDescent="0.2">
      <c r="A1343" s="1">
        <v>42917</v>
      </c>
      <c r="B1343">
        <v>53.72</v>
      </c>
      <c r="C1343" s="1">
        <f>DATE(YEAR(VXUS[[#This Row],[Date]]),DAY(VXUS[[#This Row],[Date]]),MONTH(VXUS[[#This Row],[Date]]))</f>
        <v>42742</v>
      </c>
    </row>
    <row r="1344" spans="1:3" x14ac:dyDescent="0.2">
      <c r="A1344" s="1">
        <v>42887</v>
      </c>
      <c r="B1344">
        <v>51.97</v>
      </c>
      <c r="C1344" s="1">
        <f>DATE(YEAR(VXUS[[#This Row],[Date]]),DAY(VXUS[[#This Row],[Date]]),MONTH(VXUS[[#This Row],[Date]]))</f>
        <v>42741</v>
      </c>
    </row>
    <row r="1345" spans="1:3" x14ac:dyDescent="0.2">
      <c r="A1345" s="1">
        <v>42856</v>
      </c>
      <c r="B1345">
        <v>52.2</v>
      </c>
      <c r="C1345" s="1">
        <f>DATE(YEAR(VXUS[[#This Row],[Date]]),DAY(VXUS[[#This Row],[Date]]),MONTH(VXUS[[#This Row],[Date]]))</f>
        <v>42740</v>
      </c>
    </row>
    <row r="1346" spans="1:3" x14ac:dyDescent="0.2">
      <c r="A1346" s="1">
        <v>42826</v>
      </c>
      <c r="B1346">
        <v>50.7</v>
      </c>
      <c r="C1346" s="1">
        <f>DATE(YEAR(VXUS[[#This Row],[Date]]),DAY(VXUS[[#This Row],[Date]]),MONTH(VXUS[[#This Row],[Date]]))</f>
        <v>42739</v>
      </c>
    </row>
    <row r="1347" spans="1:3" x14ac:dyDescent="0.2">
      <c r="A1347" s="1">
        <v>42795</v>
      </c>
      <c r="B1347">
        <v>49.68</v>
      </c>
      <c r="C1347" s="1">
        <f>DATE(YEAR(VXUS[[#This Row],[Date]]),DAY(VXUS[[#This Row],[Date]]),MONTH(VXUS[[#This Row],[Date]]))</f>
        <v>42738</v>
      </c>
    </row>
    <row r="1348" spans="1:3" x14ac:dyDescent="0.2">
      <c r="A1348" s="1">
        <v>42767</v>
      </c>
      <c r="B1348">
        <v>48.39</v>
      </c>
      <c r="C1348" s="1">
        <f>DATE(YEAR(VXUS[[#This Row],[Date]]),DAY(VXUS[[#This Row],[Date]]),MONTH(VXUS[[#This Row],[Date]]))</f>
        <v>42737</v>
      </c>
    </row>
    <row r="1349" spans="1:3" x14ac:dyDescent="0.2">
      <c r="A1349" s="1">
        <v>42736</v>
      </c>
      <c r="B1349">
        <v>47.75</v>
      </c>
      <c r="C1349" s="1">
        <f>DATE(YEAR(VXUS[[#This Row],[Date]]),DAY(VXUS[[#This Row],[Date]]),MONTH(VXUS[[#This Row],[Date]]))</f>
        <v>42736</v>
      </c>
    </row>
    <row r="1350" spans="1:3" x14ac:dyDescent="0.2">
      <c r="A1350" s="1">
        <v>42705</v>
      </c>
      <c r="B1350">
        <v>45.88</v>
      </c>
      <c r="C1350" s="1">
        <f>DATE(YEAR(VXUS[[#This Row],[Date]]),DAY(VXUS[[#This Row],[Date]]),MONTH(VXUS[[#This Row],[Date]]))</f>
        <v>42381</v>
      </c>
    </row>
    <row r="1351" spans="1:3" x14ac:dyDescent="0.2">
      <c r="A1351" s="1">
        <v>42675</v>
      </c>
      <c r="B1351">
        <v>45.38</v>
      </c>
      <c r="C1351" s="1">
        <f>DATE(YEAR(VXUS[[#This Row],[Date]]),DAY(VXUS[[#This Row],[Date]]),MONTH(VXUS[[#This Row],[Date]]))</f>
        <v>42380</v>
      </c>
    </row>
    <row r="1352" spans="1:3" x14ac:dyDescent="0.2">
      <c r="A1352" s="1">
        <v>42644</v>
      </c>
      <c r="B1352">
        <v>46.31</v>
      </c>
      <c r="C1352" s="1">
        <f>DATE(YEAR(VXUS[[#This Row],[Date]]),DAY(VXUS[[#This Row],[Date]]),MONTH(VXUS[[#This Row],[Date]]))</f>
        <v>42379</v>
      </c>
    </row>
    <row r="1353" spans="1:3" x14ac:dyDescent="0.2">
      <c r="A1353" s="1">
        <v>42614</v>
      </c>
      <c r="B1353">
        <v>47.21</v>
      </c>
      <c r="C1353" s="1">
        <f>DATE(YEAR(VXUS[[#This Row],[Date]]),DAY(VXUS[[#This Row],[Date]]),MONTH(VXUS[[#This Row],[Date]]))</f>
        <v>42378</v>
      </c>
    </row>
    <row r="1354" spans="1:3" x14ac:dyDescent="0.2">
      <c r="A1354" s="1">
        <v>42583</v>
      </c>
      <c r="B1354">
        <v>46.7</v>
      </c>
      <c r="C1354" s="1">
        <f>DATE(YEAR(VXUS[[#This Row],[Date]]),DAY(VXUS[[#This Row],[Date]]),MONTH(VXUS[[#This Row],[Date]]))</f>
        <v>42377</v>
      </c>
    </row>
    <row r="1355" spans="1:3" x14ac:dyDescent="0.2">
      <c r="A1355" s="1">
        <v>42552</v>
      </c>
      <c r="B1355">
        <v>46.49</v>
      </c>
      <c r="C1355" s="1">
        <f>DATE(YEAR(VXUS[[#This Row],[Date]]),DAY(VXUS[[#This Row],[Date]]),MONTH(VXUS[[#This Row],[Date]]))</f>
        <v>42376</v>
      </c>
    </row>
    <row r="1356" spans="1:3" x14ac:dyDescent="0.2">
      <c r="A1356" s="1">
        <v>42522</v>
      </c>
      <c r="B1356">
        <v>44.48</v>
      </c>
      <c r="C1356" s="1">
        <f>DATE(YEAR(VXUS[[#This Row],[Date]]),DAY(VXUS[[#This Row],[Date]]),MONTH(VXUS[[#This Row],[Date]]))</f>
        <v>42375</v>
      </c>
    </row>
    <row r="1357" spans="1:3" x14ac:dyDescent="0.2">
      <c r="A1357" s="1">
        <v>42491</v>
      </c>
      <c r="B1357">
        <v>45.44</v>
      </c>
      <c r="C1357" s="1">
        <f>DATE(YEAR(VXUS[[#This Row],[Date]]),DAY(VXUS[[#This Row],[Date]]),MONTH(VXUS[[#This Row],[Date]]))</f>
        <v>42374</v>
      </c>
    </row>
    <row r="1358" spans="1:3" x14ac:dyDescent="0.2">
      <c r="A1358" s="1">
        <v>42461</v>
      </c>
      <c r="B1358">
        <v>45.89</v>
      </c>
      <c r="C1358" s="1">
        <f>DATE(YEAR(VXUS[[#This Row],[Date]]),DAY(VXUS[[#This Row],[Date]]),MONTH(VXUS[[#This Row],[Date]]))</f>
        <v>42373</v>
      </c>
    </row>
    <row r="1359" spans="1:3" x14ac:dyDescent="0.2">
      <c r="A1359" s="1">
        <v>42430</v>
      </c>
      <c r="B1359">
        <v>44.92</v>
      </c>
      <c r="C1359" s="1">
        <f>DATE(YEAR(VXUS[[#This Row],[Date]]),DAY(VXUS[[#This Row],[Date]]),MONTH(VXUS[[#This Row],[Date]]))</f>
        <v>42372</v>
      </c>
    </row>
    <row r="1360" spans="1:3" x14ac:dyDescent="0.2">
      <c r="A1360" s="1">
        <v>42401</v>
      </c>
      <c r="B1360">
        <v>41.6</v>
      </c>
      <c r="C1360" s="1">
        <f>DATE(YEAR(VXUS[[#This Row],[Date]]),DAY(VXUS[[#This Row],[Date]]),MONTH(VXUS[[#This Row],[Date]]))</f>
        <v>42371</v>
      </c>
    </row>
    <row r="1361" spans="1:3" x14ac:dyDescent="0.2">
      <c r="A1361" s="1">
        <v>42370</v>
      </c>
      <c r="B1361">
        <v>42.65</v>
      </c>
      <c r="C1361" s="1">
        <f>DATE(YEAR(VXUS[[#This Row],[Date]]),DAY(VXUS[[#This Row],[Date]]),MONTH(VXUS[[#This Row],[Date]]))</f>
        <v>42370</v>
      </c>
    </row>
    <row r="1362" spans="1:3" x14ac:dyDescent="0.2">
      <c r="A1362" s="1">
        <v>42339</v>
      </c>
      <c r="B1362">
        <v>45.11</v>
      </c>
      <c r="C1362" s="1">
        <f>DATE(YEAR(VXUS[[#This Row],[Date]]),DAY(VXUS[[#This Row],[Date]]),MONTH(VXUS[[#This Row],[Date]]))</f>
        <v>42016</v>
      </c>
    </row>
    <row r="1363" spans="1:3" x14ac:dyDescent="0.2">
      <c r="A1363" s="1">
        <v>42309</v>
      </c>
      <c r="B1363">
        <v>46.47</v>
      </c>
      <c r="C1363" s="1">
        <f>DATE(YEAR(VXUS[[#This Row],[Date]]),DAY(VXUS[[#This Row],[Date]]),MONTH(VXUS[[#This Row],[Date]]))</f>
        <v>42015</v>
      </c>
    </row>
    <row r="1364" spans="1:3" x14ac:dyDescent="0.2">
      <c r="A1364" s="1">
        <v>42278</v>
      </c>
      <c r="B1364">
        <v>47.09</v>
      </c>
      <c r="C1364" s="1">
        <f>DATE(YEAR(VXUS[[#This Row],[Date]]),DAY(VXUS[[#This Row],[Date]]),MONTH(VXUS[[#This Row],[Date]]))</f>
        <v>42014</v>
      </c>
    </row>
    <row r="1365" spans="1:3" x14ac:dyDescent="0.2">
      <c r="A1365" s="1">
        <v>42248</v>
      </c>
      <c r="B1365">
        <v>44.32</v>
      </c>
      <c r="C1365" s="1">
        <f>DATE(YEAR(VXUS[[#This Row],[Date]]),DAY(VXUS[[#This Row],[Date]]),MONTH(VXUS[[#This Row],[Date]]))</f>
        <v>42013</v>
      </c>
    </row>
    <row r="1366" spans="1:3" x14ac:dyDescent="0.2">
      <c r="A1366" s="1">
        <v>42217</v>
      </c>
      <c r="B1366">
        <v>46.33</v>
      </c>
      <c r="C1366" s="1">
        <f>DATE(YEAR(VXUS[[#This Row],[Date]]),DAY(VXUS[[#This Row],[Date]]),MONTH(VXUS[[#This Row],[Date]]))</f>
        <v>42012</v>
      </c>
    </row>
    <row r="1367" spans="1:3" x14ac:dyDescent="0.2">
      <c r="A1367" s="1">
        <v>42186</v>
      </c>
      <c r="B1367">
        <v>50.05</v>
      </c>
      <c r="C1367" s="1">
        <f>DATE(YEAR(VXUS[[#This Row],[Date]]),DAY(VXUS[[#This Row],[Date]]),MONTH(VXUS[[#This Row],[Date]]))</f>
        <v>42011</v>
      </c>
    </row>
    <row r="1368" spans="1:3" x14ac:dyDescent="0.2">
      <c r="A1368" s="1">
        <v>42156</v>
      </c>
      <c r="B1368">
        <v>50.33</v>
      </c>
      <c r="C1368" s="1">
        <f>DATE(YEAR(VXUS[[#This Row],[Date]]),DAY(VXUS[[#This Row],[Date]]),MONTH(VXUS[[#This Row],[Date]]))</f>
        <v>42010</v>
      </c>
    </row>
    <row r="1369" spans="1:3" x14ac:dyDescent="0.2">
      <c r="A1369" s="1">
        <v>42125</v>
      </c>
      <c r="B1369">
        <v>52.29</v>
      </c>
      <c r="C1369" s="1">
        <f>DATE(YEAR(VXUS[[#This Row],[Date]]),DAY(VXUS[[#This Row],[Date]]),MONTH(VXUS[[#This Row],[Date]]))</f>
        <v>42009</v>
      </c>
    </row>
    <row r="1370" spans="1:3" x14ac:dyDescent="0.2">
      <c r="A1370" s="1">
        <v>42095</v>
      </c>
      <c r="B1370">
        <v>52.77</v>
      </c>
      <c r="C1370" s="1">
        <f>DATE(YEAR(VXUS[[#This Row],[Date]]),DAY(VXUS[[#This Row],[Date]]),MONTH(VXUS[[#This Row],[Date]]))</f>
        <v>42008</v>
      </c>
    </row>
    <row r="1371" spans="1:3" x14ac:dyDescent="0.2">
      <c r="A1371" s="1">
        <v>42064</v>
      </c>
      <c r="B1371">
        <v>50.35</v>
      </c>
      <c r="C1371" s="1">
        <f>DATE(YEAR(VXUS[[#This Row],[Date]]),DAY(VXUS[[#This Row],[Date]]),MONTH(VXUS[[#This Row],[Date]]))</f>
        <v>42007</v>
      </c>
    </row>
    <row r="1372" spans="1:3" x14ac:dyDescent="0.2">
      <c r="A1372" s="1">
        <v>42036</v>
      </c>
      <c r="B1372">
        <v>51.27</v>
      </c>
      <c r="C1372" s="1">
        <f>DATE(YEAR(VXUS[[#This Row],[Date]]),DAY(VXUS[[#This Row],[Date]]),MONTH(VXUS[[#This Row],[Date]]))</f>
        <v>42006</v>
      </c>
    </row>
    <row r="1373" spans="1:3" x14ac:dyDescent="0.2">
      <c r="A1373" s="1">
        <v>42005</v>
      </c>
      <c r="B1373">
        <v>48.47</v>
      </c>
      <c r="C1373" s="1">
        <f>DATE(YEAR(VXUS[[#This Row],[Date]]),DAY(VXUS[[#This Row],[Date]]),MONTH(VXUS[[#This Row],[Date]]))</f>
        <v>42005</v>
      </c>
    </row>
  </sheetData>
  <mergeCells count="10">
    <mergeCell ref="A1:B1"/>
    <mergeCell ref="A138:B138"/>
    <mergeCell ref="A275:B275"/>
    <mergeCell ref="A412:B412"/>
    <mergeCell ref="A550:B550"/>
    <mergeCell ref="A687:B687"/>
    <mergeCell ref="A825:B825"/>
    <mergeCell ref="A963:B963"/>
    <mergeCell ref="A1101:B1101"/>
    <mergeCell ref="A1239:B1239"/>
  </mergeCells>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7772F-D60F-483A-80BD-77F5444F68B7}">
  <dimension ref="B3:C12"/>
  <sheetViews>
    <sheetView workbookViewId="0">
      <selection activeCell="N13" sqref="N13"/>
    </sheetView>
  </sheetViews>
  <sheetFormatPr defaultRowHeight="14.25" x14ac:dyDescent="0.2"/>
  <cols>
    <col min="2" max="2" width="22" bestFit="1" customWidth="1"/>
    <col min="3" max="3" width="15.25" bestFit="1" customWidth="1"/>
  </cols>
  <sheetData>
    <row r="3" spans="2:3" ht="15.75" x14ac:dyDescent="0.25">
      <c r="B3" s="72" t="s">
        <v>1345</v>
      </c>
      <c r="C3" s="72" t="s">
        <v>1329</v>
      </c>
    </row>
    <row r="4" spans="2:3" ht="15" x14ac:dyDescent="0.2">
      <c r="B4" s="10" t="s">
        <v>1357</v>
      </c>
      <c r="C4" s="10">
        <v>0.04</v>
      </c>
    </row>
    <row r="5" spans="2:3" ht="15" x14ac:dyDescent="0.2">
      <c r="B5" s="5" t="s">
        <v>1358</v>
      </c>
      <c r="C5" s="10">
        <f>(1+C4)^(1/12)-1</f>
        <v>3.2737397821989145E-3</v>
      </c>
    </row>
    <row r="6" spans="2:3" ht="15" x14ac:dyDescent="0.2">
      <c r="B6" s="10" t="s">
        <v>1346</v>
      </c>
      <c r="C6" s="10" t="s">
        <v>1347</v>
      </c>
    </row>
    <row r="7" spans="2:3" ht="15" x14ac:dyDescent="0.2">
      <c r="B7" s="10" t="s">
        <v>1348</v>
      </c>
      <c r="C7" s="10" t="s">
        <v>1349</v>
      </c>
    </row>
    <row r="8" spans="2:3" ht="15" x14ac:dyDescent="0.2">
      <c r="B8" s="10" t="s">
        <v>1350</v>
      </c>
      <c r="C8" s="10" t="s">
        <v>273</v>
      </c>
    </row>
    <row r="9" spans="2:3" ht="15" x14ac:dyDescent="0.2">
      <c r="B9" s="10" t="s">
        <v>1351</v>
      </c>
      <c r="C9" s="71">
        <v>42005</v>
      </c>
    </row>
    <row r="10" spans="2:3" ht="15" x14ac:dyDescent="0.2">
      <c r="B10" s="10" t="s">
        <v>1352</v>
      </c>
      <c r="C10" s="71">
        <v>46023</v>
      </c>
    </row>
    <row r="11" spans="2:3" ht="15" x14ac:dyDescent="0.2">
      <c r="B11" s="10" t="s">
        <v>1353</v>
      </c>
      <c r="C11" s="10" t="s">
        <v>1354</v>
      </c>
    </row>
    <row r="12" spans="2:3" ht="15" x14ac:dyDescent="0.2">
      <c r="B12" s="10" t="s">
        <v>1355</v>
      </c>
      <c r="C12" s="10" t="s">
        <v>1356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1B218-1F39-4083-B7A0-B11F1518709C}">
  <dimension ref="A1:K135"/>
  <sheetViews>
    <sheetView workbookViewId="0">
      <selection activeCell="G21" sqref="G21"/>
    </sheetView>
  </sheetViews>
  <sheetFormatPr defaultRowHeight="14.25" x14ac:dyDescent="0.2"/>
  <cols>
    <col min="1" max="1" width="9.875" bestFit="1" customWidth="1"/>
    <col min="7" max="7" width="9.75" customWidth="1"/>
  </cols>
  <sheetData>
    <row r="1" spans="1:11" x14ac:dyDescent="0.2">
      <c r="A1" t="s">
        <v>0</v>
      </c>
      <c r="B1" t="s">
        <v>139</v>
      </c>
      <c r="C1" t="s">
        <v>630</v>
      </c>
      <c r="D1" t="s">
        <v>273</v>
      </c>
      <c r="E1" t="s">
        <v>369</v>
      </c>
      <c r="F1" t="s">
        <v>503</v>
      </c>
      <c r="G1" t="s">
        <v>652</v>
      </c>
      <c r="H1" t="s">
        <v>783</v>
      </c>
      <c r="I1" t="s">
        <v>914</v>
      </c>
      <c r="J1" t="s">
        <v>1042</v>
      </c>
      <c r="K1" t="s">
        <v>1174</v>
      </c>
    </row>
    <row r="2" spans="1:11" x14ac:dyDescent="0.2">
      <c r="A2" s="1">
        <v>42005</v>
      </c>
      <c r="B2">
        <f>INDEX(Table2[Price],MATCH(TimeLine!A2,Table2[Date],0))</f>
        <v>123.45</v>
      </c>
      <c r="C2">
        <f>INDEX(Table3[Price],MATCH(TimeLine!A2,Table3[Date],0))</f>
        <v>87.42</v>
      </c>
      <c r="D2">
        <f>INDEX(Table4[Price],MATCH(TimeLine!A2,Table4[Date],0))</f>
        <v>199.45</v>
      </c>
      <c r="E2">
        <f>INDEX(Table5[Price],MATCH(TimeLine!A2,Table5[Date],0))</f>
        <v>54.38</v>
      </c>
      <c r="F2">
        <f>INDEX(Table6[Price],MATCH(TimeLine!A2,Table6[Date],0))</f>
        <v>0.48</v>
      </c>
      <c r="G2">
        <f>INDEX(PG[PG],MATCH(Table_RawData[[#This Row],[Date]],PG[Date],0))</f>
        <v>84.29</v>
      </c>
      <c r="H2">
        <f>INDEX(TLT[TLT],MATCH(Table_RawData[[#This Row],[Date]],TLT[Date],0))</f>
        <v>138.28</v>
      </c>
      <c r="I2">
        <f>INDEX(VGT[VGT],MATCH(Table_RawData[[#This Row],[Date]],VGT[Date],0))</f>
        <v>100.81</v>
      </c>
      <c r="J2">
        <f>INDEX(VNQ[VNQ],MATCH(Table_RawData[[#This Row],[Date]],VNQ[Date],0))</f>
        <v>86.55</v>
      </c>
      <c r="K2">
        <f>INDEX(VXUS[VXUS],MATCH(Table_RawData[[#This Row],[Date]],VXUS[Date],0))</f>
        <v>48.47</v>
      </c>
    </row>
    <row r="3" spans="1:11" x14ac:dyDescent="0.2">
      <c r="A3" s="1">
        <f>EDATE(A2,1)</f>
        <v>42036</v>
      </c>
      <c r="B3">
        <f>INDEX(Table2[Price],MATCH(TimeLine!A3,Table2[Date],0))</f>
        <v>116.16</v>
      </c>
      <c r="C3">
        <f>INDEX(Table3[Price],MATCH(TimeLine!A3,Table3[Date],0))</f>
        <v>88.54</v>
      </c>
      <c r="D3">
        <f>INDEX(Table4[Price],MATCH(TimeLine!A3,Table4[Date],0))</f>
        <v>210.66</v>
      </c>
      <c r="E3">
        <f>INDEX(Table5[Price],MATCH(TimeLine!A3,Table5[Date],0))</f>
        <v>61.28</v>
      </c>
      <c r="F3">
        <f>INDEX(Table6[Price],MATCH(TimeLine!A3,Table6[Date],0))</f>
        <v>0.55000000000000004</v>
      </c>
      <c r="G3">
        <f>INDEX(PG[PG],MATCH(Table_RawData[[#This Row],[Date]],PG[Date],0))</f>
        <v>85.13</v>
      </c>
      <c r="H3">
        <f>INDEX(TLT[TLT],MATCH(Table_RawData[[#This Row],[Date]],TLT[Date],0))</f>
        <v>129.53</v>
      </c>
      <c r="I3">
        <f>INDEX(VGT[VGT],MATCH(Table_RawData[[#This Row],[Date]],VGT[Date],0))</f>
        <v>109.21</v>
      </c>
      <c r="J3">
        <f>INDEX(VNQ[VNQ],MATCH(Table_RawData[[#This Row],[Date]],VNQ[Date],0))</f>
        <v>83.37</v>
      </c>
      <c r="K3">
        <f>INDEX(VXUS[VXUS],MATCH(Table_RawData[[#This Row],[Date]],VXUS[Date],0))</f>
        <v>51.27</v>
      </c>
    </row>
    <row r="4" spans="1:11" x14ac:dyDescent="0.2">
      <c r="A4" s="1">
        <f t="shared" ref="A4:A67" si="0">EDATE(A3,1)</f>
        <v>42064</v>
      </c>
      <c r="B4">
        <f>INDEX(Table2[Price],MATCH(TimeLine!A4,Table2[Date],0))</f>
        <v>113.66</v>
      </c>
      <c r="C4">
        <f>INDEX(Table3[Price],MATCH(TimeLine!A4,Table3[Date],0))</f>
        <v>85</v>
      </c>
      <c r="D4">
        <f>INDEX(Table4[Price],MATCH(TimeLine!A4,Table4[Date],0))</f>
        <v>206.43</v>
      </c>
      <c r="E4">
        <f>INDEX(Table5[Price],MATCH(TimeLine!A4,Table5[Date],0))</f>
        <v>60.58</v>
      </c>
      <c r="F4">
        <f>INDEX(Table6[Price],MATCH(TimeLine!A4,Table6[Date],0))</f>
        <v>0.52</v>
      </c>
      <c r="G4">
        <f>INDEX(PG[PG],MATCH(Table_RawData[[#This Row],[Date]],PG[Date],0))</f>
        <v>81.94</v>
      </c>
      <c r="H4">
        <f>INDEX(TLT[TLT],MATCH(Table_RawData[[#This Row],[Date]],TLT[Date],0))</f>
        <v>130.69</v>
      </c>
      <c r="I4">
        <f>INDEX(VGT[VGT],MATCH(Table_RawData[[#This Row],[Date]],VGT[Date],0))</f>
        <v>106.52</v>
      </c>
      <c r="J4">
        <f>INDEX(VNQ[VNQ],MATCH(Table_RawData[[#This Row],[Date]],VNQ[Date],0))</f>
        <v>84.31</v>
      </c>
      <c r="K4">
        <f>INDEX(VXUS[VXUS],MATCH(Table_RawData[[#This Row],[Date]],VXUS[Date],0))</f>
        <v>50.35</v>
      </c>
    </row>
    <row r="5" spans="1:11" x14ac:dyDescent="0.2">
      <c r="A5" s="1">
        <f t="shared" si="0"/>
        <v>42095</v>
      </c>
      <c r="B5">
        <f>INDEX(Table2[Price],MATCH(TimeLine!A5,Table2[Date],0))</f>
        <v>113.47</v>
      </c>
      <c r="C5">
        <f>INDEX(Table3[Price],MATCH(TimeLine!A5,Table3[Date],0))</f>
        <v>87.37</v>
      </c>
      <c r="D5">
        <f>INDEX(Table4[Price],MATCH(TimeLine!A5,Table4[Date],0))</f>
        <v>208.46</v>
      </c>
      <c r="E5">
        <f>INDEX(Table5[Price],MATCH(TimeLine!A5,Table5[Date],0))</f>
        <v>63.26</v>
      </c>
      <c r="F5">
        <f>INDEX(Table6[Price],MATCH(TimeLine!A5,Table6[Date],0))</f>
        <v>0.55000000000000004</v>
      </c>
      <c r="G5">
        <f>INDEX(PG[PG],MATCH(Table_RawData[[#This Row],[Date]],PG[Date],0))</f>
        <v>79.510000000000005</v>
      </c>
      <c r="H5">
        <f>INDEX(TLT[TLT],MATCH(Table_RawData[[#This Row],[Date]],TLT[Date],0))</f>
        <v>125.95</v>
      </c>
      <c r="I5">
        <f>INDEX(VGT[VGT],MATCH(Table_RawData[[#This Row],[Date]],VGT[Date],0))</f>
        <v>107.89</v>
      </c>
      <c r="J5">
        <f>INDEX(VNQ[VNQ],MATCH(Table_RawData[[#This Row],[Date]],VNQ[Date],0))</f>
        <v>79.38</v>
      </c>
      <c r="K5">
        <f>INDEX(VXUS[VXUS],MATCH(Table_RawData[[#This Row],[Date]],VXUS[Date],0))</f>
        <v>52.77</v>
      </c>
    </row>
    <row r="6" spans="1:11" x14ac:dyDescent="0.2">
      <c r="A6" s="1">
        <f t="shared" si="0"/>
        <v>42125</v>
      </c>
      <c r="B6">
        <f>INDEX(Table2[Price],MATCH(TimeLine!A6,Table2[Date],0))</f>
        <v>114.1</v>
      </c>
      <c r="C6">
        <f>INDEX(Table3[Price],MATCH(TimeLine!A6,Table3[Date],0))</f>
        <v>85.2</v>
      </c>
      <c r="D6">
        <f>INDEX(Table4[Price],MATCH(TimeLine!A6,Table4[Date],0))</f>
        <v>211.14</v>
      </c>
      <c r="E6">
        <f>INDEX(Table5[Price],MATCH(TimeLine!A6,Table5[Date],0))</f>
        <v>65.78</v>
      </c>
      <c r="F6">
        <f>INDEX(Table6[Price],MATCH(TimeLine!A6,Table6[Date],0))</f>
        <v>0.55000000000000004</v>
      </c>
      <c r="G6">
        <f>INDEX(PG[PG],MATCH(Table_RawData[[#This Row],[Date]],PG[Date],0))</f>
        <v>78.39</v>
      </c>
      <c r="H6">
        <f>INDEX(TLT[TLT],MATCH(Table_RawData[[#This Row],[Date]],TLT[Date],0))</f>
        <v>122.71</v>
      </c>
      <c r="I6">
        <f>INDEX(VGT[VGT],MATCH(Table_RawData[[#This Row],[Date]],VGT[Date],0))</f>
        <v>110.58</v>
      </c>
      <c r="J6">
        <f>INDEX(VNQ[VNQ],MATCH(Table_RawData[[#This Row],[Date]],VNQ[Date],0))</f>
        <v>79.14</v>
      </c>
      <c r="K6">
        <f>INDEX(VXUS[VXUS],MATCH(Table_RawData[[#This Row],[Date]],VXUS[Date],0))</f>
        <v>52.29</v>
      </c>
    </row>
    <row r="7" spans="1:11" x14ac:dyDescent="0.2">
      <c r="A7" s="1">
        <f t="shared" si="0"/>
        <v>42156</v>
      </c>
      <c r="B7">
        <f>INDEX(Table2[Price],MATCH(TimeLine!A7,Table2[Date],0))</f>
        <v>112.37</v>
      </c>
      <c r="C7">
        <f>INDEX(Table3[Price],MATCH(TimeLine!A7,Table3[Date],0))</f>
        <v>83.2</v>
      </c>
      <c r="D7">
        <f>INDEX(Table4[Price],MATCH(TimeLine!A7,Table4[Date],0))</f>
        <v>205.85</v>
      </c>
      <c r="E7">
        <f>INDEX(Table5[Price],MATCH(TimeLine!A7,Table5[Date],0))</f>
        <v>67.760000000000005</v>
      </c>
      <c r="F7">
        <f>INDEX(Table6[Price],MATCH(TimeLine!A7,Table6[Date],0))</f>
        <v>0.5</v>
      </c>
      <c r="G7">
        <f>INDEX(PG[PG],MATCH(Table_RawData[[#This Row],[Date]],PG[Date],0))</f>
        <v>78.239999999999995</v>
      </c>
      <c r="H7">
        <f>INDEX(TLT[TLT],MATCH(Table_RawData[[#This Row],[Date]],TLT[Date],0))</f>
        <v>117.46</v>
      </c>
      <c r="I7">
        <f>INDEX(VGT[VGT],MATCH(Table_RawData[[#This Row],[Date]],VGT[Date],0))</f>
        <v>106.23</v>
      </c>
      <c r="J7">
        <f>INDEX(VNQ[VNQ],MATCH(Table_RawData[[#This Row],[Date]],VNQ[Date],0))</f>
        <v>74.69</v>
      </c>
      <c r="K7">
        <f>INDEX(VXUS[VXUS],MATCH(Table_RawData[[#This Row],[Date]],VXUS[Date],0))</f>
        <v>50.33</v>
      </c>
    </row>
    <row r="8" spans="1:11" x14ac:dyDescent="0.2">
      <c r="A8" s="1">
        <f t="shared" si="0"/>
        <v>42186</v>
      </c>
      <c r="B8">
        <f>INDEX(Table2[Price],MATCH(TimeLine!A8,Table2[Date],0))</f>
        <v>104.93</v>
      </c>
      <c r="C8">
        <f>INDEX(Table3[Price],MATCH(TimeLine!A8,Table3[Date],0))</f>
        <v>79.209999999999994</v>
      </c>
      <c r="D8">
        <f>INDEX(Table4[Price],MATCH(TimeLine!A8,Table4[Date],0))</f>
        <v>210.5</v>
      </c>
      <c r="E8">
        <f>INDEX(Table5[Price],MATCH(TimeLine!A8,Table5[Date],0))</f>
        <v>68.53</v>
      </c>
      <c r="F8">
        <f>INDEX(Table6[Price],MATCH(TimeLine!A8,Table6[Date],0))</f>
        <v>0.5</v>
      </c>
      <c r="G8">
        <f>INDEX(PG[PG],MATCH(Table_RawData[[#This Row],[Date]],PG[Date],0))</f>
        <v>76.7</v>
      </c>
      <c r="H8">
        <f>INDEX(TLT[TLT],MATCH(Table_RawData[[#This Row],[Date]],TLT[Date],0))</f>
        <v>122.53</v>
      </c>
      <c r="I8">
        <f>INDEX(VGT[VGT],MATCH(Table_RawData[[#This Row],[Date]],VGT[Date],0))</f>
        <v>108.64</v>
      </c>
      <c r="J8">
        <f>INDEX(VNQ[VNQ],MATCH(Table_RawData[[#This Row],[Date]],VNQ[Date],0))</f>
        <v>79</v>
      </c>
      <c r="K8">
        <f>INDEX(VXUS[VXUS],MATCH(Table_RawData[[#This Row],[Date]],VXUS[Date],0))</f>
        <v>50.05</v>
      </c>
    </row>
    <row r="9" spans="1:11" x14ac:dyDescent="0.2">
      <c r="A9" s="1">
        <f t="shared" si="0"/>
        <v>42217</v>
      </c>
      <c r="B9">
        <f>INDEX(Table2[Price],MATCH(TimeLine!A9,Table2[Date],0))</f>
        <v>108.82</v>
      </c>
      <c r="C9">
        <f>INDEX(Table3[Price],MATCH(TimeLine!A9,Table3[Date],0))</f>
        <v>75.239999999999995</v>
      </c>
      <c r="D9">
        <f>INDEX(Table4[Price],MATCH(TimeLine!A9,Table4[Date],0))</f>
        <v>197.67</v>
      </c>
      <c r="E9">
        <f>INDEX(Table5[Price],MATCH(TimeLine!A9,Table5[Date],0))</f>
        <v>64.099999999999994</v>
      </c>
      <c r="F9">
        <f>INDEX(Table6[Price],MATCH(TimeLine!A9,Table6[Date],0))</f>
        <v>0.56000000000000005</v>
      </c>
      <c r="G9">
        <f>INDEX(PG[PG],MATCH(Table_RawData[[#This Row],[Date]],PG[Date],0))</f>
        <v>70.67</v>
      </c>
      <c r="H9">
        <f>INDEX(TLT[TLT],MATCH(Table_RawData[[#This Row],[Date]],TLT[Date],0))</f>
        <v>121.42</v>
      </c>
      <c r="I9">
        <f>INDEX(VGT[VGT],MATCH(Table_RawData[[#This Row],[Date]],VGT[Date],0))</f>
        <v>102.34</v>
      </c>
      <c r="J9">
        <f>INDEX(VNQ[VNQ],MATCH(Table_RawData[[#This Row],[Date]],VNQ[Date],0))</f>
        <v>74.03</v>
      </c>
      <c r="K9">
        <f>INDEX(VXUS[VXUS],MATCH(Table_RawData[[#This Row],[Date]],VXUS[Date],0))</f>
        <v>46.33</v>
      </c>
    </row>
    <row r="10" spans="1:11" x14ac:dyDescent="0.2">
      <c r="A10" s="1">
        <f t="shared" si="0"/>
        <v>42248</v>
      </c>
      <c r="B10">
        <f>INDEX(Table2[Price],MATCH(TimeLine!A10,Table2[Date],0))</f>
        <v>106.86</v>
      </c>
      <c r="C10">
        <f>INDEX(Table3[Price],MATCH(TimeLine!A10,Table3[Date],0))</f>
        <v>74.349999999999994</v>
      </c>
      <c r="D10">
        <f>INDEX(Table4[Price],MATCH(TimeLine!A10,Table4[Date],0))</f>
        <v>191.63</v>
      </c>
      <c r="E10">
        <f>INDEX(Table5[Price],MATCH(TimeLine!A10,Table5[Date],0))</f>
        <v>60.97</v>
      </c>
      <c r="F10">
        <f>INDEX(Table6[Price],MATCH(TimeLine!A10,Table6[Date],0))</f>
        <v>0.62</v>
      </c>
      <c r="G10">
        <f>INDEX(PG[PG],MATCH(Table_RawData[[#This Row],[Date]],PG[Date],0))</f>
        <v>71.94</v>
      </c>
      <c r="H10">
        <f>INDEX(TLT[TLT],MATCH(Table_RawData[[#This Row],[Date]],TLT[Date],0))</f>
        <v>123.54</v>
      </c>
      <c r="I10">
        <f>INDEX(VGT[VGT],MATCH(Table_RawData[[#This Row],[Date]],VGT[Date],0))</f>
        <v>100</v>
      </c>
      <c r="J10">
        <f>INDEX(VNQ[VNQ],MATCH(Table_RawData[[#This Row],[Date]],VNQ[Date],0))</f>
        <v>75.540000000000006</v>
      </c>
      <c r="K10">
        <f>INDEX(VXUS[VXUS],MATCH(Table_RawData[[#This Row],[Date]],VXUS[Date],0))</f>
        <v>44.32</v>
      </c>
    </row>
    <row r="11" spans="1:11" x14ac:dyDescent="0.2">
      <c r="A11" s="1">
        <f t="shared" si="0"/>
        <v>42278</v>
      </c>
      <c r="B11">
        <f>INDEX(Table2[Price],MATCH(TimeLine!A11,Table2[Date],0))</f>
        <v>109.3</v>
      </c>
      <c r="C11">
        <f>INDEX(Table3[Price],MATCH(TimeLine!A11,Table3[Date],0))</f>
        <v>82.74</v>
      </c>
      <c r="D11">
        <f>INDEX(Table4[Price],MATCH(TimeLine!A11,Table4[Date],0))</f>
        <v>207.93</v>
      </c>
      <c r="E11">
        <f>INDEX(Table5[Price],MATCH(TimeLine!A11,Table5[Date],0))</f>
        <v>64.25</v>
      </c>
      <c r="F11">
        <f>INDEX(Table6[Price],MATCH(TimeLine!A11,Table6[Date],0))</f>
        <v>0.71</v>
      </c>
      <c r="G11">
        <f>INDEX(PG[PG],MATCH(Table_RawData[[#This Row],[Date]],PG[Date],0))</f>
        <v>76.38</v>
      </c>
      <c r="H11">
        <f>INDEX(TLT[TLT],MATCH(Table_RawData[[#This Row],[Date]],TLT[Date],0))</f>
        <v>122.78</v>
      </c>
      <c r="I11">
        <f>INDEX(VGT[VGT],MATCH(Table_RawData[[#This Row],[Date]],VGT[Date],0))</f>
        <v>110.46</v>
      </c>
      <c r="J11">
        <f>INDEX(VNQ[VNQ],MATCH(Table_RawData[[#This Row],[Date]],VNQ[Date],0))</f>
        <v>79.89</v>
      </c>
      <c r="K11">
        <f>INDEX(VXUS[VXUS],MATCH(Table_RawData[[#This Row],[Date]],VXUS[Date],0))</f>
        <v>47.09</v>
      </c>
    </row>
    <row r="12" spans="1:11" x14ac:dyDescent="0.2">
      <c r="A12" s="1">
        <f t="shared" si="0"/>
        <v>42309</v>
      </c>
      <c r="B12">
        <f>INDEX(Table2[Price],MATCH(TimeLine!A12,Table2[Date],0))</f>
        <v>101.92</v>
      </c>
      <c r="C12">
        <f>INDEX(Table3[Price],MATCH(TimeLine!A12,Table3[Date],0))</f>
        <v>81.66</v>
      </c>
      <c r="D12">
        <f>INDEX(Table4[Price],MATCH(TimeLine!A12,Table4[Date],0))</f>
        <v>208.69</v>
      </c>
      <c r="E12">
        <f>INDEX(Table5[Price],MATCH(TimeLine!A12,Table5[Date],0))</f>
        <v>66.680000000000007</v>
      </c>
      <c r="F12">
        <f>INDEX(Table6[Price],MATCH(TimeLine!A12,Table6[Date],0))</f>
        <v>0.79</v>
      </c>
      <c r="G12">
        <f>INDEX(PG[PG],MATCH(Table_RawData[[#This Row],[Date]],PG[Date],0))</f>
        <v>74.84</v>
      </c>
      <c r="H12">
        <f>INDEX(TLT[TLT],MATCH(Table_RawData[[#This Row],[Date]],TLT[Date],0))</f>
        <v>121.45</v>
      </c>
      <c r="I12">
        <f>INDEX(VGT[VGT],MATCH(Table_RawData[[#This Row],[Date]],VGT[Date],0))</f>
        <v>111.77</v>
      </c>
      <c r="J12">
        <f>INDEX(VNQ[VNQ],MATCH(Table_RawData[[#This Row],[Date]],VNQ[Date],0))</f>
        <v>79.39</v>
      </c>
      <c r="K12">
        <f>INDEX(VXUS[VXUS],MATCH(Table_RawData[[#This Row],[Date]],VXUS[Date],0))</f>
        <v>46.47</v>
      </c>
    </row>
    <row r="13" spans="1:11" x14ac:dyDescent="0.2">
      <c r="A13" s="1">
        <f t="shared" si="0"/>
        <v>42339</v>
      </c>
      <c r="B13">
        <f>INDEX(Table2[Price],MATCH(TimeLine!A13,Table2[Date],0))</f>
        <v>101.46</v>
      </c>
      <c r="C13">
        <f>INDEX(Table3[Price],MATCH(TimeLine!A13,Table3[Date],0))</f>
        <v>77.95</v>
      </c>
      <c r="D13">
        <f>INDEX(Table4[Price],MATCH(TimeLine!A13,Table4[Date],0))</f>
        <v>203.87</v>
      </c>
      <c r="E13">
        <f>INDEX(Table5[Price],MATCH(TimeLine!A13,Table5[Date],0))</f>
        <v>66.03</v>
      </c>
      <c r="F13">
        <f>INDEX(Table6[Price],MATCH(TimeLine!A13,Table6[Date],0))</f>
        <v>0.82</v>
      </c>
      <c r="G13">
        <f>INDEX(PG[PG],MATCH(Table_RawData[[#This Row],[Date]],PG[Date],0))</f>
        <v>79.41</v>
      </c>
      <c r="H13">
        <f>INDEX(TLT[TLT],MATCH(Table_RawData[[#This Row],[Date]],TLT[Date],0))</f>
        <v>120.58</v>
      </c>
      <c r="I13">
        <f>INDEX(VGT[VGT],MATCH(Table_RawData[[#This Row],[Date]],VGT[Date],0))</f>
        <v>108.29</v>
      </c>
      <c r="J13">
        <f>INDEX(VNQ[VNQ],MATCH(Table_RawData[[#This Row],[Date]],VNQ[Date],0))</f>
        <v>79.73</v>
      </c>
      <c r="K13">
        <f>INDEX(VXUS[VXUS],MATCH(Table_RawData[[#This Row],[Date]],VXUS[Date],0))</f>
        <v>45.11</v>
      </c>
    </row>
    <row r="14" spans="1:11" x14ac:dyDescent="0.2">
      <c r="A14" s="1">
        <f t="shared" si="0"/>
        <v>42370</v>
      </c>
      <c r="B14">
        <f>INDEX(Table2[Price],MATCH(TimeLine!A14,Table2[Date],0))</f>
        <v>106.95</v>
      </c>
      <c r="C14">
        <f>INDEX(Table3[Price],MATCH(TimeLine!A14,Table3[Date],0))</f>
        <v>77.849999999999994</v>
      </c>
      <c r="D14">
        <f>INDEX(Table4[Price],MATCH(TimeLine!A14,Table4[Date],0))</f>
        <v>193.72</v>
      </c>
      <c r="E14">
        <f>INDEX(Table5[Price],MATCH(TimeLine!A14,Table5[Date],0))</f>
        <v>59.5</v>
      </c>
      <c r="F14">
        <f>INDEX(Table6[Price],MATCH(TimeLine!A14,Table6[Date],0))</f>
        <v>0.73</v>
      </c>
      <c r="G14">
        <f>INDEX(PG[PG],MATCH(Table_RawData[[#This Row],[Date]],PG[Date],0))</f>
        <v>81.69</v>
      </c>
      <c r="H14">
        <f>INDEX(TLT[TLT],MATCH(Table_RawData[[#This Row],[Date]],TLT[Date],0))</f>
        <v>127.3</v>
      </c>
      <c r="I14">
        <f>INDEX(VGT[VGT],MATCH(Table_RawData[[#This Row],[Date]],VGT[Date],0))</f>
        <v>101.93</v>
      </c>
      <c r="J14">
        <f>INDEX(VNQ[VNQ],MATCH(Table_RawData[[#This Row],[Date]],VNQ[Date],0))</f>
        <v>76.989999999999995</v>
      </c>
      <c r="K14">
        <f>INDEX(VXUS[VXUS],MATCH(Table_RawData[[#This Row],[Date]],VXUS[Date],0))</f>
        <v>42.65</v>
      </c>
    </row>
    <row r="15" spans="1:11" x14ac:dyDescent="0.2">
      <c r="A15" s="1">
        <f t="shared" si="0"/>
        <v>42401</v>
      </c>
      <c r="B15">
        <f>INDEX(Table2[Price],MATCH(TimeLine!A15,Table2[Date],0))</f>
        <v>118.64</v>
      </c>
      <c r="C15">
        <f>INDEX(Table3[Price],MATCH(TimeLine!A15,Table3[Date],0))</f>
        <v>80.150000000000006</v>
      </c>
      <c r="D15">
        <f>INDEX(Table4[Price],MATCH(TimeLine!A15,Table4[Date],0))</f>
        <v>193.56</v>
      </c>
      <c r="E15">
        <f>INDEX(Table5[Price],MATCH(TimeLine!A15,Table5[Date],0))</f>
        <v>56.3</v>
      </c>
      <c r="F15">
        <f>INDEX(Table6[Price],MATCH(TimeLine!A15,Table6[Date],0))</f>
        <v>0.78</v>
      </c>
      <c r="G15">
        <f>INDEX(PG[PG],MATCH(Table_RawData[[#This Row],[Date]],PG[Date],0))</f>
        <v>80.290000000000006</v>
      </c>
      <c r="H15">
        <f>INDEX(TLT[TLT],MATCH(Table_RawData[[#This Row],[Date]],TLT[Date],0))</f>
        <v>130.97999999999999</v>
      </c>
      <c r="I15">
        <f>INDEX(VGT[VGT],MATCH(Table_RawData[[#This Row],[Date]],VGT[Date],0))</f>
        <v>100.94</v>
      </c>
      <c r="J15">
        <f>INDEX(VNQ[VNQ],MATCH(Table_RawData[[#This Row],[Date]],VNQ[Date],0))</f>
        <v>76.709999999999994</v>
      </c>
      <c r="K15">
        <f>INDEX(VXUS[VXUS],MATCH(Table_RawData[[#This Row],[Date]],VXUS[Date],0))</f>
        <v>41.6</v>
      </c>
    </row>
    <row r="16" spans="1:11" x14ac:dyDescent="0.2">
      <c r="A16" s="1">
        <f t="shared" si="0"/>
        <v>42430</v>
      </c>
      <c r="B16">
        <f>INDEX(Table2[Price],MATCH(TimeLine!A16,Table2[Date],0))</f>
        <v>117.64</v>
      </c>
      <c r="C16">
        <f>INDEX(Table3[Price],MATCH(TimeLine!A16,Table3[Date],0))</f>
        <v>83.59</v>
      </c>
      <c r="D16">
        <f>INDEX(Table4[Price],MATCH(TimeLine!A16,Table4[Date],0))</f>
        <v>205.52</v>
      </c>
      <c r="E16">
        <f>INDEX(Table5[Price],MATCH(TimeLine!A16,Table5[Date],0))</f>
        <v>59.22</v>
      </c>
      <c r="F16">
        <f>INDEX(Table6[Price],MATCH(TimeLine!A16,Table6[Date],0))</f>
        <v>0.89</v>
      </c>
      <c r="G16">
        <f>INDEX(PG[PG],MATCH(Table_RawData[[#This Row],[Date]],PG[Date],0))</f>
        <v>82.31</v>
      </c>
      <c r="H16">
        <f>INDEX(TLT[TLT],MATCH(Table_RawData[[#This Row],[Date]],TLT[Date],0))</f>
        <v>130.61000000000001</v>
      </c>
      <c r="I16">
        <f>INDEX(VGT[VGT],MATCH(Table_RawData[[#This Row],[Date]],VGT[Date],0))</f>
        <v>109.53</v>
      </c>
      <c r="J16">
        <f>INDEX(VNQ[VNQ],MATCH(Table_RawData[[#This Row],[Date]],VNQ[Date],0))</f>
        <v>83.8</v>
      </c>
      <c r="K16">
        <f>INDEX(VXUS[VXUS],MATCH(Table_RawData[[#This Row],[Date]],VXUS[Date],0))</f>
        <v>44.92</v>
      </c>
    </row>
    <row r="17" spans="1:11" x14ac:dyDescent="0.2">
      <c r="A17" s="1">
        <f t="shared" si="0"/>
        <v>42461</v>
      </c>
      <c r="B17">
        <f>INDEX(Table2[Price],MATCH(TimeLine!A17,Table2[Date],0))</f>
        <v>123.65</v>
      </c>
      <c r="C17">
        <f>INDEX(Table3[Price],MATCH(TimeLine!A17,Table3[Date],0))</f>
        <v>88.4</v>
      </c>
      <c r="D17">
        <f>INDEX(Table4[Price],MATCH(TimeLine!A17,Table4[Date],0))</f>
        <v>206.33</v>
      </c>
      <c r="E17">
        <f>INDEX(Table5[Price],MATCH(TimeLine!A17,Table5[Date],0))</f>
        <v>63.2</v>
      </c>
      <c r="F17">
        <f>INDEX(Table6[Price],MATCH(TimeLine!A17,Table6[Date],0))</f>
        <v>0.89</v>
      </c>
      <c r="G17">
        <f>INDEX(PG[PG],MATCH(Table_RawData[[#This Row],[Date]],PG[Date],0))</f>
        <v>80.12</v>
      </c>
      <c r="H17">
        <f>INDEX(TLT[TLT],MATCH(Table_RawData[[#This Row],[Date]],TLT[Date],0))</f>
        <v>129.38</v>
      </c>
      <c r="I17">
        <f>INDEX(VGT[VGT],MATCH(Table_RawData[[#This Row],[Date]],VGT[Date],0))</f>
        <v>104.41</v>
      </c>
      <c r="J17">
        <f>INDEX(VNQ[VNQ],MATCH(Table_RawData[[#This Row],[Date]],VNQ[Date],0))</f>
        <v>81.83</v>
      </c>
      <c r="K17">
        <f>INDEX(VXUS[VXUS],MATCH(Table_RawData[[#This Row],[Date]],VXUS[Date],0))</f>
        <v>45.89</v>
      </c>
    </row>
    <row r="18" spans="1:11" x14ac:dyDescent="0.2">
      <c r="A18" s="1">
        <f t="shared" si="0"/>
        <v>42491</v>
      </c>
      <c r="B18">
        <f>INDEX(Table2[Price],MATCH(TimeLine!A18,Table2[Date],0))</f>
        <v>116.06</v>
      </c>
      <c r="C18">
        <f>INDEX(Table3[Price],MATCH(TimeLine!A18,Table3[Date],0))</f>
        <v>89.02</v>
      </c>
      <c r="D18">
        <f>INDEX(Table4[Price],MATCH(TimeLine!A18,Table4[Date],0))</f>
        <v>209.84</v>
      </c>
      <c r="E18">
        <f>INDEX(Table5[Price],MATCH(TimeLine!A18,Table5[Date],0))</f>
        <v>65.27</v>
      </c>
      <c r="F18">
        <f>INDEX(Table6[Price],MATCH(TimeLine!A18,Table6[Date],0))</f>
        <v>1.17</v>
      </c>
      <c r="G18">
        <f>INDEX(PG[PG],MATCH(Table_RawData[[#This Row],[Date]],PG[Date],0))</f>
        <v>81.040000000000006</v>
      </c>
      <c r="H18">
        <f>INDEX(TLT[TLT],MATCH(Table_RawData[[#This Row],[Date]],TLT[Date],0))</f>
        <v>130.16</v>
      </c>
      <c r="I18">
        <f>INDEX(VGT[VGT],MATCH(Table_RawData[[#This Row],[Date]],VGT[Date],0))</f>
        <v>109.99</v>
      </c>
      <c r="J18">
        <f>INDEX(VNQ[VNQ],MATCH(Table_RawData[[#This Row],[Date]],VNQ[Date],0))</f>
        <v>83.67</v>
      </c>
      <c r="K18">
        <f>INDEX(VXUS[VXUS],MATCH(Table_RawData[[#This Row],[Date]],VXUS[Date],0))</f>
        <v>45.44</v>
      </c>
    </row>
    <row r="19" spans="1:11" x14ac:dyDescent="0.2">
      <c r="A19" s="1">
        <f t="shared" si="0"/>
        <v>42522</v>
      </c>
      <c r="B19">
        <f>INDEX(Table2[Price],MATCH(TimeLine!A19,Table2[Date],0))</f>
        <v>126.47</v>
      </c>
      <c r="C19">
        <f>INDEX(Table3[Price],MATCH(TimeLine!A19,Table3[Date],0))</f>
        <v>93.74</v>
      </c>
      <c r="D19">
        <f>INDEX(Table4[Price],MATCH(TimeLine!A19,Table4[Date],0))</f>
        <v>209.47</v>
      </c>
      <c r="E19">
        <f>INDEX(Table5[Price],MATCH(TimeLine!A19,Table5[Date],0))</f>
        <v>62.14</v>
      </c>
      <c r="F19">
        <f>INDEX(Table6[Price],MATCH(TimeLine!A19,Table6[Date],0))</f>
        <v>1.18</v>
      </c>
      <c r="G19">
        <f>INDEX(PG[PG],MATCH(Table_RawData[[#This Row],[Date]],PG[Date],0))</f>
        <v>84.67</v>
      </c>
      <c r="H19">
        <f>INDEX(TLT[TLT],MATCH(Table_RawData[[#This Row],[Date]],TLT[Date],0))</f>
        <v>138.9</v>
      </c>
      <c r="I19">
        <f>INDEX(VGT[VGT],MATCH(Table_RawData[[#This Row],[Date]],VGT[Date],0))</f>
        <v>107.09</v>
      </c>
      <c r="J19">
        <f>INDEX(VNQ[VNQ],MATCH(Table_RawData[[#This Row],[Date]],VNQ[Date],0))</f>
        <v>88.67</v>
      </c>
      <c r="K19">
        <f>INDEX(VXUS[VXUS],MATCH(Table_RawData[[#This Row],[Date]],VXUS[Date],0))</f>
        <v>44.48</v>
      </c>
    </row>
    <row r="20" spans="1:11" x14ac:dyDescent="0.2">
      <c r="A20" s="1">
        <f t="shared" si="0"/>
        <v>42552</v>
      </c>
      <c r="B20">
        <f>INDEX(Table2[Price],MATCH(TimeLine!A20,Table2[Date],0))</f>
        <v>128.97999999999999</v>
      </c>
      <c r="C20">
        <f>INDEX(Table3[Price],MATCH(TimeLine!A20,Table3[Date],0))</f>
        <v>88.95</v>
      </c>
      <c r="D20">
        <f>INDEX(Table4[Price],MATCH(TimeLine!A20,Table4[Date],0))</f>
        <v>217.12</v>
      </c>
      <c r="E20">
        <f>INDEX(Table5[Price],MATCH(TimeLine!A20,Table5[Date],0))</f>
        <v>63.97</v>
      </c>
      <c r="F20">
        <f>INDEX(Table6[Price],MATCH(TimeLine!A20,Table6[Date],0))</f>
        <v>1.43</v>
      </c>
      <c r="G20">
        <f>INDEX(PG[PG],MATCH(Table_RawData[[#This Row],[Date]],PG[Date],0))</f>
        <v>85.59</v>
      </c>
      <c r="H20">
        <f>INDEX(TLT[TLT],MATCH(Table_RawData[[#This Row],[Date]],TLT[Date],0))</f>
        <v>141.56</v>
      </c>
      <c r="I20">
        <f>INDEX(VGT[VGT],MATCH(Table_RawData[[#This Row],[Date]],VGT[Date],0))</f>
        <v>115.2</v>
      </c>
      <c r="J20">
        <f>INDEX(VNQ[VNQ],MATCH(Table_RawData[[#This Row],[Date]],VNQ[Date],0))</f>
        <v>92.45</v>
      </c>
      <c r="K20">
        <f>INDEX(VXUS[VXUS],MATCH(Table_RawData[[#This Row],[Date]],VXUS[Date],0))</f>
        <v>46.49</v>
      </c>
    </row>
    <row r="21" spans="1:11" x14ac:dyDescent="0.2">
      <c r="A21" s="1">
        <f t="shared" si="0"/>
        <v>42583</v>
      </c>
      <c r="B21">
        <f>INDEX(Table2[Price],MATCH(TimeLine!A21,Table2[Date],0))</f>
        <v>124.78</v>
      </c>
      <c r="C21">
        <f>INDEX(Table3[Price],MATCH(TimeLine!A21,Table3[Date],0))</f>
        <v>87.14</v>
      </c>
      <c r="D21">
        <f>INDEX(Table4[Price],MATCH(TimeLine!A21,Table4[Date],0))</f>
        <v>217.38</v>
      </c>
      <c r="E21">
        <f>INDEX(Table5[Price],MATCH(TimeLine!A21,Table5[Date],0))</f>
        <v>67.5</v>
      </c>
      <c r="F21">
        <f>INDEX(Table6[Price],MATCH(TimeLine!A21,Table6[Date],0))</f>
        <v>1.53</v>
      </c>
      <c r="G21">
        <f>INDEX(PG[PG],MATCH(Table_RawData[[#This Row],[Date]],PG[Date],0))</f>
        <v>87.31</v>
      </c>
      <c r="H21">
        <f>INDEX(TLT[TLT],MATCH(Table_RawData[[#This Row],[Date]],TLT[Date],0))</f>
        <v>139.87</v>
      </c>
      <c r="I21">
        <f>INDEX(VGT[VGT],MATCH(Table_RawData[[#This Row],[Date]],VGT[Date],0))</f>
        <v>117.89</v>
      </c>
      <c r="J21">
        <f>INDEX(VNQ[VNQ],MATCH(Table_RawData[[#This Row],[Date]],VNQ[Date],0))</f>
        <v>88.97</v>
      </c>
      <c r="K21">
        <f>INDEX(VXUS[VXUS],MATCH(Table_RawData[[#This Row],[Date]],VXUS[Date],0))</f>
        <v>46.7</v>
      </c>
    </row>
    <row r="22" spans="1:11" x14ac:dyDescent="0.2">
      <c r="A22" s="1">
        <f t="shared" si="0"/>
        <v>42614</v>
      </c>
      <c r="B22">
        <f>INDEX(Table2[Price],MATCH(TimeLine!A22,Table2[Date],0))</f>
        <v>125.64</v>
      </c>
      <c r="C22">
        <f>INDEX(Table3[Price],MATCH(TimeLine!A22,Table3[Date],0))</f>
        <v>87.28</v>
      </c>
      <c r="D22">
        <f>INDEX(Table4[Price],MATCH(TimeLine!A22,Table4[Date],0))</f>
        <v>216.3</v>
      </c>
      <c r="E22">
        <f>INDEX(Table5[Price],MATCH(TimeLine!A22,Table5[Date],0))</f>
        <v>66.59</v>
      </c>
      <c r="F22">
        <f>INDEX(Table6[Price],MATCH(TimeLine!A22,Table6[Date],0))</f>
        <v>1.71</v>
      </c>
      <c r="G22">
        <f>INDEX(PG[PG],MATCH(Table_RawData[[#This Row],[Date]],PG[Date],0))</f>
        <v>89.75</v>
      </c>
      <c r="H22">
        <f>INDEX(TLT[TLT],MATCH(Table_RawData[[#This Row],[Date]],TLT[Date],0))</f>
        <v>137.51</v>
      </c>
      <c r="I22">
        <f>INDEX(VGT[VGT],MATCH(Table_RawData[[#This Row],[Date]],VGT[Date],0))</f>
        <v>120.37</v>
      </c>
      <c r="J22">
        <f>INDEX(VNQ[VNQ],MATCH(Table_RawData[[#This Row],[Date]],VNQ[Date],0))</f>
        <v>86.74</v>
      </c>
      <c r="K22">
        <f>INDEX(VXUS[VXUS],MATCH(Table_RawData[[#This Row],[Date]],VXUS[Date],0))</f>
        <v>47.21</v>
      </c>
    </row>
    <row r="23" spans="1:11" x14ac:dyDescent="0.2">
      <c r="A23" s="1">
        <f t="shared" si="0"/>
        <v>42644</v>
      </c>
      <c r="B23">
        <f>INDEX(Table2[Price],MATCH(TimeLine!A23,Table2[Date],0))</f>
        <v>121.94</v>
      </c>
      <c r="C23">
        <f>INDEX(Table3[Price],MATCH(TimeLine!A23,Table3[Date],0))</f>
        <v>83.32</v>
      </c>
      <c r="D23">
        <f>INDEX(Table4[Price],MATCH(TimeLine!A23,Table4[Date],0))</f>
        <v>212.55</v>
      </c>
      <c r="E23">
        <f>INDEX(Table5[Price],MATCH(TimeLine!A23,Table5[Date],0))</f>
        <v>69.260000000000005</v>
      </c>
      <c r="F23">
        <f>INDEX(Table6[Price],MATCH(TimeLine!A23,Table6[Date],0))</f>
        <v>1.78</v>
      </c>
      <c r="G23">
        <f>INDEX(PG[PG],MATCH(Table_RawData[[#This Row],[Date]],PG[Date],0))</f>
        <v>86.8</v>
      </c>
      <c r="H23">
        <f>INDEX(TLT[TLT],MATCH(Table_RawData[[#This Row],[Date]],TLT[Date],0))</f>
        <v>131.25</v>
      </c>
      <c r="I23">
        <f>INDEX(VGT[VGT],MATCH(Table_RawData[[#This Row],[Date]],VGT[Date],0))</f>
        <v>119.72</v>
      </c>
      <c r="J23">
        <f>INDEX(VNQ[VNQ],MATCH(Table_RawData[[#This Row],[Date]],VNQ[Date],0))</f>
        <v>81.760000000000005</v>
      </c>
      <c r="K23">
        <f>INDEX(VXUS[VXUS],MATCH(Table_RawData[[#This Row],[Date]],VXUS[Date],0))</f>
        <v>46.31</v>
      </c>
    </row>
    <row r="24" spans="1:11" x14ac:dyDescent="0.2">
      <c r="A24" s="1">
        <f t="shared" si="0"/>
        <v>42675</v>
      </c>
      <c r="B24">
        <f>INDEX(Table2[Price],MATCH(TimeLine!A24,Table2[Date],0))</f>
        <v>111.75</v>
      </c>
      <c r="C24">
        <f>INDEX(Table3[Price],MATCH(TimeLine!A24,Table3[Date],0))</f>
        <v>87.3</v>
      </c>
      <c r="D24">
        <f>INDEX(Table4[Price],MATCH(TimeLine!A24,Table4[Date],0))</f>
        <v>220.38</v>
      </c>
      <c r="E24">
        <f>INDEX(Table5[Price],MATCH(TimeLine!A24,Table5[Date],0))</f>
        <v>80.17</v>
      </c>
      <c r="F24">
        <f>INDEX(Table6[Price],MATCH(TimeLine!A24,Table6[Date],0))</f>
        <v>2.31</v>
      </c>
      <c r="G24">
        <f>INDEX(PG[PG],MATCH(Table_RawData[[#This Row],[Date]],PG[Date],0))</f>
        <v>82.46</v>
      </c>
      <c r="H24">
        <f>INDEX(TLT[TLT],MATCH(Table_RawData[[#This Row],[Date]],TLT[Date],0))</f>
        <v>120.24</v>
      </c>
      <c r="I24">
        <f>INDEX(VGT[VGT],MATCH(Table_RawData[[#This Row],[Date]],VGT[Date],0))</f>
        <v>120.35</v>
      </c>
      <c r="J24">
        <f>INDEX(VNQ[VNQ],MATCH(Table_RawData[[#This Row],[Date]],VNQ[Date],0))</f>
        <v>80.39</v>
      </c>
      <c r="K24">
        <f>INDEX(VXUS[VXUS],MATCH(Table_RawData[[#This Row],[Date]],VXUS[Date],0))</f>
        <v>45.38</v>
      </c>
    </row>
    <row r="25" spans="1:11" x14ac:dyDescent="0.2">
      <c r="A25" s="1">
        <f t="shared" si="0"/>
        <v>42705</v>
      </c>
      <c r="B25">
        <f>INDEX(Table2[Price],MATCH(TimeLine!A25,Table2[Date],0))</f>
        <v>109.61</v>
      </c>
      <c r="C25">
        <f>INDEX(Table3[Price],MATCH(TimeLine!A25,Table3[Date],0))</f>
        <v>90.26</v>
      </c>
      <c r="D25">
        <f>INDEX(Table4[Price],MATCH(TimeLine!A25,Table4[Date],0))</f>
        <v>223.53</v>
      </c>
      <c r="E25">
        <f>INDEX(Table5[Price],MATCH(TimeLine!A25,Table5[Date],0))</f>
        <v>86.29</v>
      </c>
      <c r="F25">
        <f>INDEX(Table6[Price],MATCH(TimeLine!A25,Table6[Date],0))</f>
        <v>2.67</v>
      </c>
      <c r="G25">
        <f>INDEX(PG[PG],MATCH(Table_RawData[[#This Row],[Date]],PG[Date],0))</f>
        <v>84.08</v>
      </c>
      <c r="H25">
        <f>INDEX(TLT[TLT],MATCH(Table_RawData[[#This Row],[Date]],TLT[Date],0))</f>
        <v>119.13</v>
      </c>
      <c r="I25">
        <f>INDEX(VGT[VGT],MATCH(Table_RawData[[#This Row],[Date]],VGT[Date],0))</f>
        <v>121.5</v>
      </c>
      <c r="J25">
        <f>INDEX(VNQ[VNQ],MATCH(Table_RawData[[#This Row],[Date]],VNQ[Date],0))</f>
        <v>82.53</v>
      </c>
      <c r="K25">
        <f>INDEX(VXUS[VXUS],MATCH(Table_RawData[[#This Row],[Date]],VXUS[Date],0))</f>
        <v>45.88</v>
      </c>
    </row>
    <row r="26" spans="1:11" x14ac:dyDescent="0.2">
      <c r="A26" s="1">
        <f t="shared" si="0"/>
        <v>42736</v>
      </c>
      <c r="B26">
        <f>INDEX(Table2[Price],MATCH(TimeLine!A26,Table2[Date],0))</f>
        <v>115.55</v>
      </c>
      <c r="C26">
        <f>INDEX(Table3[Price],MATCH(TimeLine!A26,Table3[Date],0))</f>
        <v>83.89</v>
      </c>
      <c r="D26">
        <f>INDEX(Table4[Price],MATCH(TimeLine!A26,Table4[Date],0))</f>
        <v>227.53</v>
      </c>
      <c r="E26">
        <f>INDEX(Table5[Price],MATCH(TimeLine!A26,Table5[Date],0))</f>
        <v>84.63</v>
      </c>
      <c r="F26">
        <f>INDEX(Table6[Price],MATCH(TimeLine!A26,Table6[Date],0))</f>
        <v>2.73</v>
      </c>
      <c r="G26">
        <f>INDEX(PG[PG],MATCH(Table_RawData[[#This Row],[Date]],PG[Date],0))</f>
        <v>87.6</v>
      </c>
      <c r="H26">
        <f>INDEX(TLT[TLT],MATCH(Table_RawData[[#This Row],[Date]],TLT[Date],0))</f>
        <v>120.1</v>
      </c>
      <c r="I26">
        <f>INDEX(VGT[VGT],MATCH(Table_RawData[[#This Row],[Date]],VGT[Date],0))</f>
        <v>126.74</v>
      </c>
      <c r="J26">
        <f>INDEX(VNQ[VNQ],MATCH(Table_RawData[[#This Row],[Date]],VNQ[Date],0))</f>
        <v>82.37</v>
      </c>
      <c r="K26">
        <f>INDEX(VXUS[VXUS],MATCH(Table_RawData[[#This Row],[Date]],VXUS[Date],0))</f>
        <v>47.75</v>
      </c>
    </row>
    <row r="27" spans="1:11" x14ac:dyDescent="0.2">
      <c r="A27" s="1">
        <f t="shared" si="0"/>
        <v>42767</v>
      </c>
      <c r="B27">
        <f>INDEX(Table2[Price],MATCH(TimeLine!A27,Table2[Date],0))</f>
        <v>119.23</v>
      </c>
      <c r="C27">
        <f>INDEX(Table3[Price],MATCH(TimeLine!A27,Table3[Date],0))</f>
        <v>81.319999999999993</v>
      </c>
      <c r="D27">
        <f>INDEX(Table4[Price],MATCH(TimeLine!A27,Table4[Date],0))</f>
        <v>236.47</v>
      </c>
      <c r="E27">
        <f>INDEX(Table5[Price],MATCH(TimeLine!A27,Table5[Date],0))</f>
        <v>90.62</v>
      </c>
      <c r="F27">
        <f>INDEX(Table6[Price],MATCH(TimeLine!A27,Table6[Date],0))</f>
        <v>2.54</v>
      </c>
      <c r="G27">
        <f>INDEX(PG[PG],MATCH(Table_RawData[[#This Row],[Date]],PG[Date],0))</f>
        <v>91.07</v>
      </c>
      <c r="H27">
        <f>INDEX(TLT[TLT],MATCH(Table_RawData[[#This Row],[Date]],TLT[Date],0))</f>
        <v>121.74</v>
      </c>
      <c r="I27">
        <f>INDEX(VGT[VGT],MATCH(Table_RawData[[#This Row],[Date]],VGT[Date],0))</f>
        <v>133</v>
      </c>
      <c r="J27">
        <f>INDEX(VNQ[VNQ],MATCH(Table_RawData[[#This Row],[Date]],VNQ[Date],0))</f>
        <v>85.26</v>
      </c>
      <c r="K27">
        <f>INDEX(VXUS[VXUS],MATCH(Table_RawData[[#This Row],[Date]],VXUS[Date],0))</f>
        <v>48.39</v>
      </c>
    </row>
    <row r="28" spans="1:11" x14ac:dyDescent="0.2">
      <c r="A28" s="1">
        <f t="shared" si="0"/>
        <v>42795</v>
      </c>
      <c r="B28">
        <f>INDEX(Table2[Price],MATCH(TimeLine!A28,Table2[Date],0))</f>
        <v>118.72</v>
      </c>
      <c r="C28">
        <f>INDEX(Table3[Price],MATCH(TimeLine!A28,Table3[Date],0))</f>
        <v>82.01</v>
      </c>
      <c r="D28">
        <f>INDEX(Table4[Price],MATCH(TimeLine!A28,Table4[Date],0))</f>
        <v>235.74</v>
      </c>
      <c r="E28">
        <f>INDEX(Table5[Price],MATCH(TimeLine!A28,Table5[Date],0))</f>
        <v>87.84</v>
      </c>
      <c r="F28">
        <f>INDEX(Table6[Price],MATCH(TimeLine!A28,Table6[Date],0))</f>
        <v>2.72</v>
      </c>
      <c r="G28">
        <f>INDEX(PG[PG],MATCH(Table_RawData[[#This Row],[Date]],PG[Date],0))</f>
        <v>89.85</v>
      </c>
      <c r="H28">
        <f>INDEX(TLT[TLT],MATCH(Table_RawData[[#This Row],[Date]],TLT[Date],0))</f>
        <v>120.71</v>
      </c>
      <c r="I28">
        <f>INDEX(VGT[VGT],MATCH(Table_RawData[[#This Row],[Date]],VGT[Date],0))</f>
        <v>135.63</v>
      </c>
      <c r="J28">
        <f>INDEX(VNQ[VNQ],MATCH(Table_RawData[[#This Row],[Date]],VNQ[Date],0))</f>
        <v>82.59</v>
      </c>
      <c r="K28">
        <f>INDEX(VXUS[VXUS],MATCH(Table_RawData[[#This Row],[Date]],VXUS[Date],0))</f>
        <v>49.68</v>
      </c>
    </row>
    <row r="29" spans="1:11" x14ac:dyDescent="0.2">
      <c r="A29" s="1">
        <f t="shared" si="0"/>
        <v>42826</v>
      </c>
      <c r="B29">
        <f>INDEX(Table2[Price],MATCH(TimeLine!A29,Table2[Date],0))</f>
        <v>120.77</v>
      </c>
      <c r="C29">
        <f>INDEX(Table3[Price],MATCH(TimeLine!A29,Table3[Date],0))</f>
        <v>81.650000000000006</v>
      </c>
      <c r="D29">
        <f>INDEX(Table4[Price],MATCH(TimeLine!A29,Table4[Date],0))</f>
        <v>238.08</v>
      </c>
      <c r="E29">
        <f>INDEX(Table5[Price],MATCH(TimeLine!A29,Table5[Date],0))</f>
        <v>87</v>
      </c>
      <c r="F29">
        <f>INDEX(Table6[Price],MATCH(TimeLine!A29,Table6[Date],0))</f>
        <v>2.61</v>
      </c>
      <c r="G29">
        <f>INDEX(PG[PG],MATCH(Table_RawData[[#This Row],[Date]],PG[Date],0))</f>
        <v>87.33</v>
      </c>
      <c r="H29">
        <f>INDEX(TLT[TLT],MATCH(Table_RawData[[#This Row],[Date]],TLT[Date],0))</f>
        <v>122.35</v>
      </c>
      <c r="I29">
        <f>INDEX(VGT[VGT],MATCH(Table_RawData[[#This Row],[Date]],VGT[Date],0))</f>
        <v>138.80000000000001</v>
      </c>
      <c r="J29">
        <f>INDEX(VNQ[VNQ],MATCH(Table_RawData[[#This Row],[Date]],VNQ[Date],0))</f>
        <v>82.79</v>
      </c>
      <c r="K29">
        <f>INDEX(VXUS[VXUS],MATCH(Table_RawData[[#This Row],[Date]],VXUS[Date],0))</f>
        <v>50.7</v>
      </c>
    </row>
    <row r="30" spans="1:11" x14ac:dyDescent="0.2">
      <c r="A30" s="1">
        <f t="shared" si="0"/>
        <v>42856</v>
      </c>
      <c r="B30">
        <f>INDEX(Table2[Price],MATCH(TimeLine!A30,Table2[Date],0))</f>
        <v>120.62</v>
      </c>
      <c r="C30">
        <f>INDEX(Table3[Price],MATCH(TimeLine!A30,Table3[Date],0))</f>
        <v>80.5</v>
      </c>
      <c r="D30">
        <f>INDEX(Table4[Price],MATCH(TimeLine!A30,Table4[Date],0))</f>
        <v>241.44</v>
      </c>
      <c r="E30">
        <f>INDEX(Table5[Price],MATCH(TimeLine!A30,Table5[Date],0))</f>
        <v>82.15</v>
      </c>
      <c r="F30">
        <f>INDEX(Table6[Price],MATCH(TimeLine!A30,Table6[Date],0))</f>
        <v>3.61</v>
      </c>
      <c r="G30">
        <f>INDEX(PG[PG],MATCH(Table_RawData[[#This Row],[Date]],PG[Date],0))</f>
        <v>88.09</v>
      </c>
      <c r="H30">
        <f>INDEX(TLT[TLT],MATCH(Table_RawData[[#This Row],[Date]],TLT[Date],0))</f>
        <v>124.4</v>
      </c>
      <c r="I30">
        <f>INDEX(VGT[VGT],MATCH(Table_RawData[[#This Row],[Date]],VGT[Date],0))</f>
        <v>144.91999999999999</v>
      </c>
      <c r="J30">
        <f>INDEX(VNQ[VNQ],MATCH(Table_RawData[[#This Row],[Date]],VNQ[Date],0))</f>
        <v>82.19</v>
      </c>
      <c r="K30">
        <f>INDEX(VXUS[VXUS],MATCH(Table_RawData[[#This Row],[Date]],VXUS[Date],0))</f>
        <v>52.2</v>
      </c>
    </row>
    <row r="31" spans="1:11" x14ac:dyDescent="0.2">
      <c r="A31" s="1">
        <f t="shared" si="0"/>
        <v>42887</v>
      </c>
      <c r="B31">
        <f>INDEX(Table2[Price],MATCH(TimeLine!A31,Table2[Date],0))</f>
        <v>118.02</v>
      </c>
      <c r="C31">
        <f>INDEX(Table3[Price],MATCH(TimeLine!A31,Table3[Date],0))</f>
        <v>80.73</v>
      </c>
      <c r="D31">
        <f>INDEX(Table4[Price],MATCH(TimeLine!A31,Table4[Date],0))</f>
        <v>241.8</v>
      </c>
      <c r="E31">
        <f>INDEX(Table5[Price],MATCH(TimeLine!A31,Table5[Date],0))</f>
        <v>91.4</v>
      </c>
      <c r="F31">
        <f>INDEX(Table6[Price],MATCH(TimeLine!A31,Table6[Date],0))</f>
        <v>3.61</v>
      </c>
      <c r="G31">
        <f>INDEX(PG[PG],MATCH(Table_RawData[[#This Row],[Date]],PG[Date],0))</f>
        <v>87.15</v>
      </c>
      <c r="H31">
        <f>INDEX(TLT[TLT],MATCH(Table_RawData[[#This Row],[Date]],TLT[Date],0))</f>
        <v>125.12</v>
      </c>
      <c r="I31">
        <f>INDEX(VGT[VGT],MATCH(Table_RawData[[#This Row],[Date]],VGT[Date],0))</f>
        <v>140.84</v>
      </c>
      <c r="J31">
        <f>INDEX(VNQ[VNQ],MATCH(Table_RawData[[#This Row],[Date]],VNQ[Date],0))</f>
        <v>83.23</v>
      </c>
      <c r="K31">
        <f>INDEX(VXUS[VXUS],MATCH(Table_RawData[[#This Row],[Date]],VXUS[Date],0))</f>
        <v>51.97</v>
      </c>
    </row>
    <row r="32" spans="1:11" x14ac:dyDescent="0.2">
      <c r="A32" s="1">
        <f t="shared" si="0"/>
        <v>42917</v>
      </c>
      <c r="B32">
        <f>INDEX(Table2[Price],MATCH(TimeLine!A32,Table2[Date],0))</f>
        <v>120.75</v>
      </c>
      <c r="C32">
        <f>INDEX(Table3[Price],MATCH(TimeLine!A32,Table3[Date],0))</f>
        <v>80.040000000000006</v>
      </c>
      <c r="D32">
        <f>INDEX(Table4[Price],MATCH(TimeLine!A32,Table4[Date],0))</f>
        <v>246.77</v>
      </c>
      <c r="E32">
        <f>INDEX(Table5[Price],MATCH(TimeLine!A32,Table5[Date],0))</f>
        <v>91.8</v>
      </c>
      <c r="F32">
        <f>INDEX(Table6[Price],MATCH(TimeLine!A32,Table6[Date],0))</f>
        <v>4.0599999999999996</v>
      </c>
      <c r="G32">
        <f>INDEX(PG[PG],MATCH(Table_RawData[[#This Row],[Date]],PG[Date],0))</f>
        <v>90.82</v>
      </c>
      <c r="H32">
        <f>INDEX(TLT[TLT],MATCH(Table_RawData[[#This Row],[Date]],TLT[Date],0))</f>
        <v>124.04</v>
      </c>
      <c r="I32">
        <f>INDEX(VGT[VGT],MATCH(Table_RawData[[#This Row],[Date]],VGT[Date],0))</f>
        <v>146.66</v>
      </c>
      <c r="J32">
        <f>INDEX(VNQ[VNQ],MATCH(Table_RawData[[#This Row],[Date]],VNQ[Date],0))</f>
        <v>84.26</v>
      </c>
      <c r="K32">
        <f>INDEX(VXUS[VXUS],MATCH(Table_RawData[[#This Row],[Date]],VXUS[Date],0))</f>
        <v>53.72</v>
      </c>
    </row>
    <row r="33" spans="1:11" x14ac:dyDescent="0.2">
      <c r="A33" s="1">
        <f t="shared" si="0"/>
        <v>42948</v>
      </c>
      <c r="B33">
        <f>INDEX(Table2[Price],MATCH(TimeLine!A33,Table2[Date],0))</f>
        <v>125.82</v>
      </c>
      <c r="C33">
        <f>INDEX(Table3[Price],MATCH(TimeLine!A33,Table3[Date],0))</f>
        <v>76.33</v>
      </c>
      <c r="D33">
        <f>INDEX(Table4[Price],MATCH(TimeLine!A33,Table4[Date],0))</f>
        <v>247.49</v>
      </c>
      <c r="E33">
        <f>INDEX(Table5[Price],MATCH(TimeLine!A33,Table5[Date],0))</f>
        <v>90.89</v>
      </c>
      <c r="F33">
        <f>INDEX(Table6[Price],MATCH(TimeLine!A33,Table6[Date],0))</f>
        <v>4.24</v>
      </c>
      <c r="G33">
        <f>INDEX(PG[PG],MATCH(Table_RawData[[#This Row],[Date]],PG[Date],0))</f>
        <v>92.27</v>
      </c>
      <c r="H33">
        <f>INDEX(TLT[TLT],MATCH(Table_RawData[[#This Row],[Date]],TLT[Date],0))</f>
        <v>127.99</v>
      </c>
      <c r="I33">
        <f>INDEX(VGT[VGT],MATCH(Table_RawData[[#This Row],[Date]],VGT[Date],0))</f>
        <v>151.22</v>
      </c>
      <c r="J33">
        <f>INDEX(VNQ[VNQ],MATCH(Table_RawData[[#This Row],[Date]],VNQ[Date],0))</f>
        <v>84.04</v>
      </c>
      <c r="K33">
        <f>INDEX(VXUS[VXUS],MATCH(Table_RawData[[#This Row],[Date]],VXUS[Date],0))</f>
        <v>54.01</v>
      </c>
    </row>
    <row r="34" spans="1:11" x14ac:dyDescent="0.2">
      <c r="A34" s="1">
        <f t="shared" si="0"/>
        <v>42979</v>
      </c>
      <c r="B34">
        <f>INDEX(Table2[Price],MATCH(TimeLine!A34,Table2[Date],0))</f>
        <v>121.58</v>
      </c>
      <c r="C34">
        <f>INDEX(Table3[Price],MATCH(TimeLine!A34,Table3[Date],0))</f>
        <v>81.98</v>
      </c>
      <c r="D34">
        <f>INDEX(Table4[Price],MATCH(TimeLine!A34,Table4[Date],0))</f>
        <v>251.23</v>
      </c>
      <c r="E34">
        <f>INDEX(Table5[Price],MATCH(TimeLine!A34,Table5[Date],0))</f>
        <v>95.51</v>
      </c>
      <c r="F34">
        <f>INDEX(Table6[Price],MATCH(TimeLine!A34,Table6[Date],0))</f>
        <v>4.47</v>
      </c>
      <c r="G34">
        <f>INDEX(PG[PG],MATCH(Table_RawData[[#This Row],[Date]],PG[Date],0))</f>
        <v>90.98</v>
      </c>
      <c r="H34">
        <f>INDEX(TLT[TLT],MATCH(Table_RawData[[#This Row],[Date]],TLT[Date],0))</f>
        <v>124.76</v>
      </c>
      <c r="I34">
        <f>INDEX(VGT[VGT],MATCH(Table_RawData[[#This Row],[Date]],VGT[Date],0))</f>
        <v>151.99</v>
      </c>
      <c r="J34">
        <f>INDEX(VNQ[VNQ],MATCH(Table_RawData[[#This Row],[Date]],VNQ[Date],0))</f>
        <v>83.09</v>
      </c>
      <c r="K34">
        <f>INDEX(VXUS[VXUS],MATCH(Table_RawData[[#This Row],[Date]],VXUS[Date],0))</f>
        <v>54.73</v>
      </c>
    </row>
    <row r="35" spans="1:11" x14ac:dyDescent="0.2">
      <c r="A35" s="1">
        <f t="shared" si="0"/>
        <v>43009</v>
      </c>
      <c r="B35">
        <f>INDEX(Table2[Price],MATCH(TimeLine!A35,Table2[Date],0))</f>
        <v>120.67</v>
      </c>
      <c r="C35">
        <f>INDEX(Table3[Price],MATCH(TimeLine!A35,Table3[Date],0))</f>
        <v>83.35</v>
      </c>
      <c r="D35">
        <f>INDEX(Table4[Price],MATCH(TimeLine!A35,Table4[Date],0))</f>
        <v>257.14999999999998</v>
      </c>
      <c r="E35">
        <f>INDEX(Table5[Price],MATCH(TimeLine!A35,Table5[Date],0))</f>
        <v>100.61</v>
      </c>
      <c r="F35">
        <f>INDEX(Table6[Price],MATCH(TimeLine!A35,Table6[Date],0))</f>
        <v>5.17</v>
      </c>
      <c r="G35">
        <f>INDEX(PG[PG],MATCH(Table_RawData[[#This Row],[Date]],PG[Date],0))</f>
        <v>86.34</v>
      </c>
      <c r="H35">
        <f>INDEX(TLT[TLT],MATCH(Table_RawData[[#This Row],[Date]],TLT[Date],0))</f>
        <v>124.46</v>
      </c>
      <c r="I35">
        <f>INDEX(VGT[VGT],MATCH(Table_RawData[[#This Row],[Date]],VGT[Date],0))</f>
        <v>163.22999999999999</v>
      </c>
      <c r="J35">
        <f>INDEX(VNQ[VNQ],MATCH(Table_RawData[[#This Row],[Date]],VNQ[Date],0))</f>
        <v>82.2</v>
      </c>
      <c r="K35">
        <f>INDEX(VXUS[VXUS],MATCH(Table_RawData[[#This Row],[Date]],VXUS[Date],0))</f>
        <v>55.84</v>
      </c>
    </row>
    <row r="36" spans="1:11" x14ac:dyDescent="0.2">
      <c r="A36" s="1">
        <f t="shared" si="0"/>
        <v>43040</v>
      </c>
      <c r="B36">
        <f>INDEX(Table2[Price],MATCH(TimeLine!A36,Table2[Date],0))</f>
        <v>121.1</v>
      </c>
      <c r="C36">
        <f>INDEX(Table3[Price],MATCH(TimeLine!A36,Table3[Date],0))</f>
        <v>83.29</v>
      </c>
      <c r="D36">
        <f>INDEX(Table4[Price],MATCH(TimeLine!A36,Table4[Date],0))</f>
        <v>265.01</v>
      </c>
      <c r="E36">
        <f>INDEX(Table5[Price],MATCH(TimeLine!A36,Table5[Date],0))</f>
        <v>104.52</v>
      </c>
      <c r="F36">
        <f>INDEX(Table6[Price],MATCH(TimeLine!A36,Table6[Date],0))</f>
        <v>5.0199999999999996</v>
      </c>
      <c r="G36">
        <f>INDEX(PG[PG],MATCH(Table_RawData[[#This Row],[Date]],PG[Date],0))</f>
        <v>89.99</v>
      </c>
      <c r="H36">
        <f>INDEX(TLT[TLT],MATCH(Table_RawData[[#This Row],[Date]],TLT[Date],0))</f>
        <v>125.12</v>
      </c>
      <c r="I36">
        <f>INDEX(VGT[VGT],MATCH(Table_RawData[[#This Row],[Date]],VGT[Date],0))</f>
        <v>165.01</v>
      </c>
      <c r="J36">
        <f>INDEX(VNQ[VNQ],MATCH(Table_RawData[[#This Row],[Date]],VNQ[Date],0))</f>
        <v>84.39</v>
      </c>
      <c r="K36">
        <f>INDEX(VXUS[VXUS],MATCH(Table_RawData[[#This Row],[Date]],VXUS[Date],0))</f>
        <v>56.19</v>
      </c>
    </row>
    <row r="37" spans="1:11" x14ac:dyDescent="0.2">
      <c r="A37" s="1">
        <f t="shared" si="0"/>
        <v>43070</v>
      </c>
      <c r="B37">
        <f>INDEX(Table2[Price],MATCH(TimeLine!A37,Table2[Date],0))</f>
        <v>123.65</v>
      </c>
      <c r="C37">
        <f>INDEX(Table3[Price],MATCH(TimeLine!A37,Table3[Date],0))</f>
        <v>83.64</v>
      </c>
      <c r="D37">
        <f>INDEX(Table4[Price],MATCH(TimeLine!A37,Table4[Date],0))</f>
        <v>266.86</v>
      </c>
      <c r="E37">
        <f>INDEX(Table5[Price],MATCH(TimeLine!A37,Table5[Date],0))</f>
        <v>106.94</v>
      </c>
      <c r="F37">
        <f>INDEX(Table6[Price],MATCH(TimeLine!A37,Table6[Date],0))</f>
        <v>4.84</v>
      </c>
      <c r="G37">
        <f>INDEX(PG[PG],MATCH(Table_RawData[[#This Row],[Date]],PG[Date],0))</f>
        <v>91.88</v>
      </c>
      <c r="H37">
        <f>INDEX(TLT[TLT],MATCH(Table_RawData[[#This Row],[Date]],TLT[Date],0))</f>
        <v>126.86</v>
      </c>
      <c r="I37">
        <f>INDEX(VGT[VGT],MATCH(Table_RawData[[#This Row],[Date]],VGT[Date],0))</f>
        <v>164.73</v>
      </c>
      <c r="J37">
        <f>INDEX(VNQ[VNQ],MATCH(Table_RawData[[#This Row],[Date]],VNQ[Date],0))</f>
        <v>82.98</v>
      </c>
      <c r="K37">
        <f>INDEX(VXUS[VXUS],MATCH(Table_RawData[[#This Row],[Date]],VXUS[Date],0))</f>
        <v>56.81</v>
      </c>
    </row>
    <row r="38" spans="1:11" x14ac:dyDescent="0.2">
      <c r="A38" s="1">
        <f t="shared" si="0"/>
        <v>43101</v>
      </c>
      <c r="B38">
        <f>INDEX(Table2[Price],MATCH(TimeLine!A38,Table2[Date],0))</f>
        <v>127.65</v>
      </c>
      <c r="C38">
        <f>INDEX(Table3[Price],MATCH(TimeLine!A38,Table3[Date],0))</f>
        <v>87.3</v>
      </c>
      <c r="D38">
        <f>INDEX(Table4[Price],MATCH(TimeLine!A38,Table4[Date],0))</f>
        <v>281.89999999999998</v>
      </c>
      <c r="E38">
        <f>INDEX(Table5[Price],MATCH(TimeLine!A38,Table5[Date],0))</f>
        <v>115.67</v>
      </c>
      <c r="F38">
        <f>INDEX(Table6[Price],MATCH(TimeLine!A38,Table6[Date],0))</f>
        <v>6.14</v>
      </c>
      <c r="G38">
        <f>INDEX(PG[PG],MATCH(Table_RawData[[#This Row],[Date]],PG[Date],0))</f>
        <v>86.34</v>
      </c>
      <c r="H38">
        <f>INDEX(TLT[TLT],MATCH(Table_RawData[[#This Row],[Date]],TLT[Date],0))</f>
        <v>122.73</v>
      </c>
      <c r="I38">
        <f>INDEX(VGT[VGT],MATCH(Table_RawData[[#This Row],[Date]],VGT[Date],0))</f>
        <v>177.17</v>
      </c>
      <c r="J38">
        <f>INDEX(VNQ[VNQ],MATCH(Table_RawData[[#This Row],[Date]],VNQ[Date],0))</f>
        <v>79.45</v>
      </c>
      <c r="K38">
        <f>INDEX(VXUS[VXUS],MATCH(Table_RawData[[#This Row],[Date]],VXUS[Date],0))</f>
        <v>60.06</v>
      </c>
    </row>
    <row r="39" spans="1:11" x14ac:dyDescent="0.2">
      <c r="A39" s="1">
        <f t="shared" si="0"/>
        <v>43132</v>
      </c>
      <c r="B39">
        <f>INDEX(Table2[Price],MATCH(TimeLine!A39,Table2[Date],0))</f>
        <v>125</v>
      </c>
      <c r="C39">
        <f>INDEX(Table3[Price],MATCH(TimeLine!A39,Table3[Date],0))</f>
        <v>75.739999999999995</v>
      </c>
      <c r="D39">
        <f>INDEX(Table4[Price],MATCH(TimeLine!A39,Table4[Date],0))</f>
        <v>271.64999999999998</v>
      </c>
      <c r="E39">
        <f>INDEX(Table5[Price],MATCH(TimeLine!A39,Table5[Date],0))</f>
        <v>115.5</v>
      </c>
      <c r="F39">
        <f>INDEX(Table6[Price],MATCH(TimeLine!A39,Table6[Date],0))</f>
        <v>6.05</v>
      </c>
      <c r="G39">
        <f>INDEX(PG[PG],MATCH(Table_RawData[[#This Row],[Date]],PG[Date],0))</f>
        <v>78.52</v>
      </c>
      <c r="H39">
        <f>INDEX(TLT[TLT],MATCH(Table_RawData[[#This Row],[Date]],TLT[Date],0))</f>
        <v>118.75</v>
      </c>
      <c r="I39">
        <f>INDEX(VGT[VGT],MATCH(Table_RawData[[#This Row],[Date]],VGT[Date],0))</f>
        <v>177.34</v>
      </c>
      <c r="J39">
        <f>INDEX(VNQ[VNQ],MATCH(Table_RawData[[#This Row],[Date]],VNQ[Date],0))</f>
        <v>73.349999999999994</v>
      </c>
      <c r="K39">
        <f>INDEX(VXUS[VXUS],MATCH(Table_RawData[[#This Row],[Date]],VXUS[Date],0))</f>
        <v>56.91</v>
      </c>
    </row>
    <row r="40" spans="1:11" x14ac:dyDescent="0.2">
      <c r="A40" s="1">
        <f t="shared" si="0"/>
        <v>43160</v>
      </c>
      <c r="B40">
        <f>INDEX(Table2[Price],MATCH(TimeLine!A40,Table2[Date],0))</f>
        <v>125.79</v>
      </c>
      <c r="C40">
        <f>INDEX(Table3[Price],MATCH(TimeLine!A40,Table3[Date],0))</f>
        <v>74.61</v>
      </c>
      <c r="D40">
        <f>INDEX(Table4[Price],MATCH(TimeLine!A40,Table4[Date],0))</f>
        <v>263.14999999999998</v>
      </c>
      <c r="E40">
        <f>INDEX(Table5[Price],MATCH(TimeLine!A40,Table5[Date],0))</f>
        <v>109.97</v>
      </c>
      <c r="F40">
        <f>INDEX(Table6[Price],MATCH(TimeLine!A40,Table6[Date],0))</f>
        <v>5.79</v>
      </c>
      <c r="G40">
        <f>INDEX(PG[PG],MATCH(Table_RawData[[#This Row],[Date]],PG[Date],0))</f>
        <v>79.28</v>
      </c>
      <c r="H40">
        <f>INDEX(TLT[TLT],MATCH(Table_RawData[[#This Row],[Date]],TLT[Date],0))</f>
        <v>121.9</v>
      </c>
      <c r="I40">
        <f>INDEX(VGT[VGT],MATCH(Table_RawData[[#This Row],[Date]],VGT[Date],0))</f>
        <v>171</v>
      </c>
      <c r="J40">
        <f>INDEX(VNQ[VNQ],MATCH(Table_RawData[[#This Row],[Date]],VNQ[Date],0))</f>
        <v>75.47</v>
      </c>
      <c r="K40">
        <f>INDEX(VXUS[VXUS],MATCH(Table_RawData[[#This Row],[Date]],VXUS[Date],0))</f>
        <v>56.55</v>
      </c>
    </row>
    <row r="41" spans="1:11" x14ac:dyDescent="0.2">
      <c r="A41" s="1">
        <f t="shared" si="0"/>
        <v>43191</v>
      </c>
      <c r="B41">
        <f>INDEX(Table2[Price],MATCH(TimeLine!A41,Table2[Date],0))</f>
        <v>124.59</v>
      </c>
      <c r="C41">
        <f>INDEX(Table3[Price],MATCH(TimeLine!A41,Table3[Date],0))</f>
        <v>77.75</v>
      </c>
      <c r="D41">
        <f>INDEX(Table4[Price],MATCH(TimeLine!A41,Table4[Date],0))</f>
        <v>264.51</v>
      </c>
      <c r="E41">
        <f>INDEX(Table5[Price],MATCH(TimeLine!A41,Table5[Date],0))</f>
        <v>108.78</v>
      </c>
      <c r="F41">
        <f>INDEX(Table6[Price],MATCH(TimeLine!A41,Table6[Date],0))</f>
        <v>5.62</v>
      </c>
      <c r="G41">
        <f>INDEX(PG[PG],MATCH(Table_RawData[[#This Row],[Date]],PG[Date],0))</f>
        <v>72.34</v>
      </c>
      <c r="H41">
        <f>INDEX(TLT[TLT],MATCH(Table_RawData[[#This Row],[Date]],TLT[Date],0))</f>
        <v>119.1</v>
      </c>
      <c r="I41">
        <f>INDEX(VGT[VGT],MATCH(Table_RawData[[#This Row],[Date]],VGT[Date],0))</f>
        <v>170.96</v>
      </c>
      <c r="J41">
        <f>INDEX(VNQ[VNQ],MATCH(Table_RawData[[#This Row],[Date]],VNQ[Date],0))</f>
        <v>76.09</v>
      </c>
      <c r="K41">
        <f>INDEX(VXUS[VXUS],MATCH(Table_RawData[[#This Row],[Date]],VXUS[Date],0))</f>
        <v>56.81</v>
      </c>
    </row>
    <row r="42" spans="1:11" x14ac:dyDescent="0.2">
      <c r="A42" s="1">
        <f t="shared" si="0"/>
        <v>43221</v>
      </c>
      <c r="B42">
        <f>INDEX(Table2[Price],MATCH(TimeLine!A42,Table2[Date],0))</f>
        <v>123.1</v>
      </c>
      <c r="C42">
        <f>INDEX(Table3[Price],MATCH(TimeLine!A42,Table3[Date],0))</f>
        <v>81.239999999999995</v>
      </c>
      <c r="D42">
        <f>INDEX(Table4[Price],MATCH(TimeLine!A42,Table4[Date],0))</f>
        <v>270.94</v>
      </c>
      <c r="E42">
        <f>INDEX(Table5[Price],MATCH(TimeLine!A42,Table5[Date],0))</f>
        <v>107.01</v>
      </c>
      <c r="F42">
        <f>INDEX(Table6[Price],MATCH(TimeLine!A42,Table6[Date],0))</f>
        <v>6.3</v>
      </c>
      <c r="G42">
        <f>INDEX(PG[PG],MATCH(Table_RawData[[#This Row],[Date]],PG[Date],0))</f>
        <v>73.17</v>
      </c>
      <c r="H42">
        <f>INDEX(TLT[TLT],MATCH(Table_RawData[[#This Row],[Date]],TLT[Date],0))</f>
        <v>121.22</v>
      </c>
      <c r="I42">
        <f>INDEX(VGT[VGT],MATCH(Table_RawData[[#This Row],[Date]],VGT[Date],0))</f>
        <v>183.01</v>
      </c>
      <c r="J42">
        <f>INDEX(VNQ[VNQ],MATCH(Table_RawData[[#This Row],[Date]],VNQ[Date],0))</f>
        <v>78.89</v>
      </c>
      <c r="K42">
        <f>INDEX(VXUS[VXUS],MATCH(Table_RawData[[#This Row],[Date]],VXUS[Date],0))</f>
        <v>55.88</v>
      </c>
    </row>
    <row r="43" spans="1:11" x14ac:dyDescent="0.2">
      <c r="A43" s="1">
        <f t="shared" si="0"/>
        <v>43252</v>
      </c>
      <c r="B43">
        <f>INDEX(Table2[Price],MATCH(TimeLine!A43,Table2[Date],0))</f>
        <v>118.65</v>
      </c>
      <c r="C43">
        <f>INDEX(Table3[Price],MATCH(TimeLine!A43,Table3[Date],0))</f>
        <v>82.73</v>
      </c>
      <c r="D43">
        <f>INDEX(Table4[Price],MATCH(TimeLine!A43,Table4[Date],0))</f>
        <v>271.27999999999997</v>
      </c>
      <c r="E43">
        <f>INDEX(Table5[Price],MATCH(TimeLine!A43,Table5[Date],0))</f>
        <v>104.2</v>
      </c>
      <c r="F43">
        <f>INDEX(Table6[Price],MATCH(TimeLine!A43,Table6[Date],0))</f>
        <v>5.92</v>
      </c>
      <c r="G43">
        <f>INDEX(PG[PG],MATCH(Table_RawData[[#This Row],[Date]],PG[Date],0))</f>
        <v>78.06</v>
      </c>
      <c r="H43">
        <f>INDEX(TLT[TLT],MATCH(Table_RawData[[#This Row],[Date]],TLT[Date],0))</f>
        <v>121.72</v>
      </c>
      <c r="I43">
        <f>INDEX(VGT[VGT],MATCH(Table_RawData[[#This Row],[Date]],VGT[Date],0))</f>
        <v>181.4</v>
      </c>
      <c r="J43">
        <f>INDEX(VNQ[VNQ],MATCH(Table_RawData[[#This Row],[Date]],VNQ[Date],0))</f>
        <v>81.45</v>
      </c>
      <c r="K43">
        <f>INDEX(VXUS[VXUS],MATCH(Table_RawData[[#This Row],[Date]],VXUS[Date],0))</f>
        <v>54.1</v>
      </c>
    </row>
    <row r="44" spans="1:11" x14ac:dyDescent="0.2">
      <c r="A44" s="1">
        <f t="shared" si="0"/>
        <v>43282</v>
      </c>
      <c r="B44">
        <f>INDEX(Table2[Price],MATCH(TimeLine!A44,Table2[Date],0))</f>
        <v>115.99</v>
      </c>
      <c r="C44">
        <f>INDEX(Table3[Price],MATCH(TimeLine!A44,Table3[Date],0))</f>
        <v>81.510000000000005</v>
      </c>
      <c r="D44">
        <f>INDEX(Table4[Price],MATCH(TimeLine!A44,Table4[Date],0))</f>
        <v>281.33</v>
      </c>
      <c r="E44">
        <f>INDEX(Table5[Price],MATCH(TimeLine!A44,Table5[Date],0))</f>
        <v>114.95</v>
      </c>
      <c r="F44">
        <f>INDEX(Table6[Price],MATCH(TimeLine!A44,Table6[Date],0))</f>
        <v>6.12</v>
      </c>
      <c r="G44">
        <f>INDEX(PG[PG],MATCH(Table_RawData[[#This Row],[Date]],PG[Date],0))</f>
        <v>80.88</v>
      </c>
      <c r="H44">
        <f>INDEX(TLT[TLT],MATCH(Table_RawData[[#This Row],[Date]],TLT[Date],0))</f>
        <v>119.7</v>
      </c>
      <c r="I44">
        <f>INDEX(VGT[VGT],MATCH(Table_RawData[[#This Row],[Date]],VGT[Date],0))</f>
        <v>186.16</v>
      </c>
      <c r="J44">
        <f>INDEX(VNQ[VNQ],MATCH(Table_RawData[[#This Row],[Date]],VNQ[Date],0))</f>
        <v>81.94</v>
      </c>
      <c r="K44">
        <f>INDEX(VXUS[VXUS],MATCH(Table_RawData[[#This Row],[Date]],VXUS[Date],0))</f>
        <v>55.48</v>
      </c>
    </row>
    <row r="45" spans="1:11" x14ac:dyDescent="0.2">
      <c r="A45" s="1">
        <f t="shared" si="0"/>
        <v>43313</v>
      </c>
      <c r="B45">
        <f>INDEX(Table2[Price],MATCH(TimeLine!A45,Table2[Date],0))</f>
        <v>113.51</v>
      </c>
      <c r="C45">
        <f>INDEX(Table3[Price],MATCH(TimeLine!A45,Table3[Date],0))</f>
        <v>80.17</v>
      </c>
      <c r="D45">
        <f>INDEX(Table4[Price],MATCH(TimeLine!A45,Table4[Date],0))</f>
        <v>290.31</v>
      </c>
      <c r="E45">
        <f>INDEX(Table5[Price],MATCH(TimeLine!A45,Table5[Date],0))</f>
        <v>114.58</v>
      </c>
      <c r="F45">
        <f>INDEX(Table6[Price],MATCH(TimeLine!A45,Table6[Date],0))</f>
        <v>7.02</v>
      </c>
      <c r="G45">
        <f>INDEX(PG[PG],MATCH(Table_RawData[[#This Row],[Date]],PG[Date],0))</f>
        <v>82.95</v>
      </c>
      <c r="H45">
        <f>INDEX(TLT[TLT],MATCH(Table_RawData[[#This Row],[Date]],TLT[Date],0))</f>
        <v>121</v>
      </c>
      <c r="I45">
        <f>INDEX(VGT[VGT],MATCH(Table_RawData[[#This Row],[Date]],VGT[Date],0))</f>
        <v>202.8</v>
      </c>
      <c r="J45">
        <f>INDEX(VNQ[VNQ],MATCH(Table_RawData[[#This Row],[Date]],VNQ[Date],0))</f>
        <v>84.05</v>
      </c>
      <c r="K45">
        <f>INDEX(VXUS[VXUS],MATCH(Table_RawData[[#This Row],[Date]],VXUS[Date],0))</f>
        <v>54.15</v>
      </c>
    </row>
    <row r="46" spans="1:11" x14ac:dyDescent="0.2">
      <c r="A46" s="1">
        <f t="shared" si="0"/>
        <v>43344</v>
      </c>
      <c r="B46">
        <f>INDEX(Table2[Price],MATCH(TimeLine!A46,Table2[Date],0))</f>
        <v>112.76</v>
      </c>
      <c r="C46">
        <f>INDEX(Table3[Price],MATCH(TimeLine!A46,Table3[Date],0))</f>
        <v>85.02</v>
      </c>
      <c r="D46">
        <f>INDEX(Table4[Price],MATCH(TimeLine!A46,Table4[Date],0))</f>
        <v>290.72000000000003</v>
      </c>
      <c r="E46">
        <f>INDEX(Table5[Price],MATCH(TimeLine!A46,Table5[Date],0))</f>
        <v>112.84</v>
      </c>
      <c r="F46">
        <f>INDEX(Table6[Price],MATCH(TimeLine!A46,Table6[Date],0))</f>
        <v>7.03</v>
      </c>
      <c r="G46">
        <f>INDEX(PG[PG],MATCH(Table_RawData[[#This Row],[Date]],PG[Date],0))</f>
        <v>83.23</v>
      </c>
      <c r="H46">
        <f>INDEX(TLT[TLT],MATCH(Table_RawData[[#This Row],[Date]],TLT[Date],0))</f>
        <v>117.27</v>
      </c>
      <c r="I46">
        <f>INDEX(VGT[VGT],MATCH(Table_RawData[[#This Row],[Date]],VGT[Date],0))</f>
        <v>202.56</v>
      </c>
      <c r="J46">
        <f>INDEX(VNQ[VNQ],MATCH(Table_RawData[[#This Row],[Date]],VNQ[Date],0))</f>
        <v>80.680000000000007</v>
      </c>
      <c r="K46">
        <f>INDEX(VXUS[VXUS],MATCH(Table_RawData[[#This Row],[Date]],VXUS[Date],0))</f>
        <v>54</v>
      </c>
    </row>
    <row r="47" spans="1:11" x14ac:dyDescent="0.2">
      <c r="A47" s="1">
        <f t="shared" si="0"/>
        <v>43374</v>
      </c>
      <c r="B47">
        <f>INDEX(Table2[Price],MATCH(TimeLine!A47,Table2[Date],0))</f>
        <v>115.15</v>
      </c>
      <c r="C47">
        <f>INDEX(Table3[Price],MATCH(TimeLine!A47,Table3[Date],0))</f>
        <v>79.680000000000007</v>
      </c>
      <c r="D47">
        <f>INDEX(Table4[Price],MATCH(TimeLine!A47,Table4[Date],0))</f>
        <v>270.63</v>
      </c>
      <c r="E47">
        <f>INDEX(Table5[Price],MATCH(TimeLine!A47,Table5[Date],0))</f>
        <v>109.02</v>
      </c>
      <c r="F47">
        <f>INDEX(Table6[Price],MATCH(TimeLine!A47,Table6[Date],0))</f>
        <v>5.27</v>
      </c>
      <c r="G47">
        <f>INDEX(PG[PG],MATCH(Table_RawData[[#This Row],[Date]],PG[Date],0))</f>
        <v>88.68</v>
      </c>
      <c r="H47">
        <f>INDEX(TLT[TLT],MATCH(Table_RawData[[#This Row],[Date]],TLT[Date],0))</f>
        <v>113.58</v>
      </c>
      <c r="I47">
        <f>INDEX(VGT[VGT],MATCH(Table_RawData[[#This Row],[Date]],VGT[Date],0))</f>
        <v>185.39</v>
      </c>
      <c r="J47">
        <f>INDEX(VNQ[VNQ],MATCH(Table_RawData[[#This Row],[Date]],VNQ[Date],0))</f>
        <v>78.319999999999993</v>
      </c>
      <c r="K47">
        <f>INDEX(VXUS[VXUS],MATCH(Table_RawData[[#This Row],[Date]],VXUS[Date],0))</f>
        <v>49.38</v>
      </c>
    </row>
    <row r="48" spans="1:11" x14ac:dyDescent="0.2">
      <c r="A48" s="1">
        <f t="shared" si="0"/>
        <v>43405</v>
      </c>
      <c r="B48">
        <f>INDEX(Table2[Price],MATCH(TimeLine!A48,Table2[Date],0))</f>
        <v>115.54</v>
      </c>
      <c r="C48">
        <f>INDEX(Table3[Price],MATCH(TimeLine!A48,Table3[Date],0))</f>
        <v>79.5</v>
      </c>
      <c r="D48">
        <f>INDEX(Table4[Price],MATCH(TimeLine!A48,Table4[Date],0))</f>
        <v>275.64999999999998</v>
      </c>
      <c r="E48">
        <f>INDEX(Table5[Price],MATCH(TimeLine!A48,Table5[Date],0))</f>
        <v>111.19</v>
      </c>
      <c r="F48">
        <f>INDEX(Table6[Price],MATCH(TimeLine!A48,Table6[Date],0))</f>
        <v>4.09</v>
      </c>
      <c r="G48">
        <f>INDEX(PG[PG],MATCH(Table_RawData[[#This Row],[Date]],PG[Date],0))</f>
        <v>94.51</v>
      </c>
      <c r="H48">
        <f>INDEX(TLT[TLT],MATCH(Table_RawData[[#This Row],[Date]],TLT[Date],0))</f>
        <v>115.33</v>
      </c>
      <c r="I48">
        <f>INDEX(VGT[VGT],MATCH(Table_RawData[[#This Row],[Date]],VGT[Date],0))</f>
        <v>182.67</v>
      </c>
      <c r="J48">
        <f>INDEX(VNQ[VNQ],MATCH(Table_RawData[[#This Row],[Date]],VNQ[Date],0))</f>
        <v>81.98</v>
      </c>
      <c r="K48">
        <f>INDEX(VXUS[VXUS],MATCH(Table_RawData[[#This Row],[Date]],VXUS[Date],0))</f>
        <v>50.21</v>
      </c>
    </row>
    <row r="49" spans="1:11" x14ac:dyDescent="0.2">
      <c r="A49" s="1">
        <f t="shared" si="0"/>
        <v>43435</v>
      </c>
      <c r="B49">
        <f>INDEX(Table2[Price],MATCH(TimeLine!A49,Table2[Date],0))</f>
        <v>121.25</v>
      </c>
      <c r="C49">
        <f>INDEX(Table3[Price],MATCH(TimeLine!A49,Table3[Date],0))</f>
        <v>68.19</v>
      </c>
      <c r="D49">
        <f>INDEX(Table4[Price],MATCH(TimeLine!A49,Table4[Date],0))</f>
        <v>249.92</v>
      </c>
      <c r="E49">
        <f>INDEX(Table5[Price],MATCH(TimeLine!A49,Table5[Date],0))</f>
        <v>97.62</v>
      </c>
      <c r="F49">
        <f>INDEX(Table6[Price],MATCH(TimeLine!A49,Table6[Date],0))</f>
        <v>3.34</v>
      </c>
      <c r="G49">
        <f>INDEX(PG[PG],MATCH(Table_RawData[[#This Row],[Date]],PG[Date],0))</f>
        <v>91.92</v>
      </c>
      <c r="H49">
        <f>INDEX(TLT[TLT],MATCH(Table_RawData[[#This Row],[Date]],TLT[Date],0))</f>
        <v>121.51</v>
      </c>
      <c r="I49">
        <f>INDEX(VGT[VGT],MATCH(Table_RawData[[#This Row],[Date]],VGT[Date],0))</f>
        <v>166.83</v>
      </c>
      <c r="J49">
        <f>INDEX(VNQ[VNQ],MATCH(Table_RawData[[#This Row],[Date]],VNQ[Date],0))</f>
        <v>74.569999999999993</v>
      </c>
      <c r="K49">
        <f>INDEX(VXUS[VXUS],MATCH(Table_RawData[[#This Row],[Date]],VXUS[Date],0))</f>
        <v>47.22</v>
      </c>
    </row>
    <row r="50" spans="1:11" x14ac:dyDescent="0.2">
      <c r="A50" s="1">
        <f t="shared" si="0"/>
        <v>43466</v>
      </c>
      <c r="B50">
        <f>INDEX(Table2[Price],MATCH(TimeLine!A50,Table2[Date],0))</f>
        <v>124.75</v>
      </c>
      <c r="C50">
        <f>INDEX(Table3[Price],MATCH(TimeLine!A50,Table3[Date],0))</f>
        <v>73.28</v>
      </c>
      <c r="D50">
        <f>INDEX(Table4[Price],MATCH(TimeLine!A50,Table4[Date],0))</f>
        <v>269.93</v>
      </c>
      <c r="E50">
        <f>INDEX(Table5[Price],MATCH(TimeLine!A50,Table5[Date],0))</f>
        <v>103.5</v>
      </c>
      <c r="F50">
        <f>INDEX(Table6[Price],MATCH(TimeLine!A50,Table6[Date],0))</f>
        <v>3.59</v>
      </c>
      <c r="G50">
        <f>INDEX(PG[PG],MATCH(Table_RawData[[#This Row],[Date]],PG[Date],0))</f>
        <v>96.47</v>
      </c>
      <c r="H50">
        <f>INDEX(TLT[TLT],MATCH(Table_RawData[[#This Row],[Date]],TLT[Date],0))</f>
        <v>121.97</v>
      </c>
      <c r="I50">
        <f>INDEX(VGT[VGT],MATCH(Table_RawData[[#This Row],[Date]],VGT[Date],0))</f>
        <v>180.16</v>
      </c>
      <c r="J50">
        <f>INDEX(VNQ[VNQ],MATCH(Table_RawData[[#This Row],[Date]],VNQ[Date],0))</f>
        <v>83.41</v>
      </c>
      <c r="K50">
        <f>INDEX(VXUS[VXUS],MATCH(Table_RawData[[#This Row],[Date]],VXUS[Date],0))</f>
        <v>50.84</v>
      </c>
    </row>
    <row r="51" spans="1:11" x14ac:dyDescent="0.2">
      <c r="A51" s="1">
        <f t="shared" si="0"/>
        <v>43497</v>
      </c>
      <c r="B51">
        <f>INDEX(Table2[Price],MATCH(TimeLine!A51,Table2[Date],0))</f>
        <v>123.99</v>
      </c>
      <c r="C51">
        <f>INDEX(Table3[Price],MATCH(TimeLine!A51,Table3[Date],0))</f>
        <v>79.03</v>
      </c>
      <c r="D51">
        <f>INDEX(Table4[Price],MATCH(TimeLine!A51,Table4[Date],0))</f>
        <v>278.68</v>
      </c>
      <c r="E51">
        <f>INDEX(Table5[Price],MATCH(TimeLine!A51,Table5[Date],0))</f>
        <v>104.36</v>
      </c>
      <c r="F51">
        <f>INDEX(Table6[Price],MATCH(TimeLine!A51,Table6[Date],0))</f>
        <v>3.86</v>
      </c>
      <c r="G51">
        <f>INDEX(PG[PG],MATCH(Table_RawData[[#This Row],[Date]],PG[Date],0))</f>
        <v>98.55</v>
      </c>
      <c r="H51">
        <f>INDEX(TLT[TLT],MATCH(Table_RawData[[#This Row],[Date]],TLT[Date],0))</f>
        <v>120.02</v>
      </c>
      <c r="I51">
        <f>INDEX(VGT[VGT],MATCH(Table_RawData[[#This Row],[Date]],VGT[Date],0))</f>
        <v>193.36</v>
      </c>
      <c r="J51">
        <f>INDEX(VNQ[VNQ],MATCH(Table_RawData[[#This Row],[Date]],VNQ[Date],0))</f>
        <v>83.99</v>
      </c>
      <c r="K51">
        <f>INDEX(VXUS[VXUS],MATCH(Table_RawData[[#This Row],[Date]],VXUS[Date],0))</f>
        <v>51.67</v>
      </c>
    </row>
    <row r="52" spans="1:11" x14ac:dyDescent="0.2">
      <c r="A52" s="1">
        <f t="shared" si="0"/>
        <v>43525</v>
      </c>
      <c r="B52">
        <f>INDEX(Table2[Price],MATCH(TimeLine!A52,Table2[Date],0))</f>
        <v>122.01</v>
      </c>
      <c r="C52">
        <f>INDEX(Table3[Price],MATCH(TimeLine!A52,Table3[Date],0))</f>
        <v>80.8</v>
      </c>
      <c r="D52">
        <f>INDEX(Table4[Price],MATCH(TimeLine!A52,Table4[Date],0))</f>
        <v>282.48</v>
      </c>
      <c r="E52">
        <f>INDEX(Table5[Price],MATCH(TimeLine!A52,Table5[Date],0))</f>
        <v>101.23</v>
      </c>
      <c r="F52">
        <f>INDEX(Table6[Price],MATCH(TimeLine!A52,Table6[Date],0))</f>
        <v>4.49</v>
      </c>
      <c r="G52">
        <f>INDEX(PG[PG],MATCH(Table_RawData[[#This Row],[Date]],PG[Date],0))</f>
        <v>104.05</v>
      </c>
      <c r="H52">
        <f>INDEX(TLT[TLT],MATCH(Table_RawData[[#This Row],[Date]],TLT[Date],0))</f>
        <v>126.44</v>
      </c>
      <c r="I52">
        <f>INDEX(VGT[VGT],MATCH(Table_RawData[[#This Row],[Date]],VGT[Date],0))</f>
        <v>200.63</v>
      </c>
      <c r="J52">
        <f>INDEX(VNQ[VNQ],MATCH(Table_RawData[[#This Row],[Date]],VNQ[Date],0))</f>
        <v>86.91</v>
      </c>
      <c r="K52">
        <f>INDEX(VXUS[VXUS],MATCH(Table_RawData[[#This Row],[Date]],VXUS[Date],0))</f>
        <v>51.9</v>
      </c>
    </row>
    <row r="53" spans="1:11" x14ac:dyDescent="0.2">
      <c r="A53" s="1">
        <f t="shared" si="0"/>
        <v>43556</v>
      </c>
      <c r="B53">
        <f>INDEX(Table2[Price],MATCH(TimeLine!A53,Table2[Date],0))</f>
        <v>121.2</v>
      </c>
      <c r="C53">
        <f>INDEX(Table3[Price],MATCH(TimeLine!A53,Table3[Date],0))</f>
        <v>80.28</v>
      </c>
      <c r="D53">
        <f>INDEX(Table4[Price],MATCH(TimeLine!A53,Table4[Date],0))</f>
        <v>294.02</v>
      </c>
      <c r="E53">
        <f>INDEX(Table5[Price],MATCH(TimeLine!A53,Table5[Date],0))</f>
        <v>116.05</v>
      </c>
      <c r="F53">
        <f>INDEX(Table6[Price],MATCH(TimeLine!A53,Table6[Date],0))</f>
        <v>4.53</v>
      </c>
      <c r="G53">
        <f>INDEX(PG[PG],MATCH(Table_RawData[[#This Row],[Date]],PG[Date],0))</f>
        <v>106.48</v>
      </c>
      <c r="H53">
        <f>INDEX(TLT[TLT],MATCH(Table_RawData[[#This Row],[Date]],TLT[Date],0))</f>
        <v>123.65</v>
      </c>
      <c r="I53">
        <f>INDEX(VGT[VGT],MATCH(Table_RawData[[#This Row],[Date]],VGT[Date],0))</f>
        <v>213.41</v>
      </c>
      <c r="J53">
        <f>INDEX(VNQ[VNQ],MATCH(Table_RawData[[#This Row],[Date]],VNQ[Date],0))</f>
        <v>86.77</v>
      </c>
      <c r="K53">
        <f>INDEX(VXUS[VXUS],MATCH(Table_RawData[[#This Row],[Date]],VXUS[Date],0))</f>
        <v>53.34</v>
      </c>
    </row>
    <row r="54" spans="1:11" x14ac:dyDescent="0.2">
      <c r="A54" s="1">
        <f t="shared" si="0"/>
        <v>43586</v>
      </c>
      <c r="B54">
        <f>INDEX(Table2[Price],MATCH(TimeLine!A54,Table2[Date],0))</f>
        <v>123.33</v>
      </c>
      <c r="C54">
        <f>INDEX(Table3[Price],MATCH(TimeLine!A54,Table3[Date],0))</f>
        <v>70.77</v>
      </c>
      <c r="D54">
        <f>INDEX(Table4[Price],MATCH(TimeLine!A54,Table4[Date],0))</f>
        <v>275.27</v>
      </c>
      <c r="E54">
        <f>INDEX(Table5[Price],MATCH(TimeLine!A54,Table5[Date],0))</f>
        <v>105.96</v>
      </c>
      <c r="F54">
        <f>INDEX(Table6[Price],MATCH(TimeLine!A54,Table6[Date],0))</f>
        <v>3.39</v>
      </c>
      <c r="G54">
        <f>INDEX(PG[PG],MATCH(Table_RawData[[#This Row],[Date]],PG[Date],0))</f>
        <v>102.91</v>
      </c>
      <c r="H54">
        <f>INDEX(TLT[TLT],MATCH(Table_RawData[[#This Row],[Date]],TLT[Date],0))</f>
        <v>131.83000000000001</v>
      </c>
      <c r="I54">
        <f>INDEX(VGT[VGT],MATCH(Table_RawData[[#This Row],[Date]],VGT[Date],0))</f>
        <v>194.46</v>
      </c>
      <c r="J54">
        <f>INDEX(VNQ[VNQ],MATCH(Table_RawData[[#This Row],[Date]],VNQ[Date],0))</f>
        <v>86.89</v>
      </c>
      <c r="K54">
        <f>INDEX(VXUS[VXUS],MATCH(Table_RawData[[#This Row],[Date]],VXUS[Date],0))</f>
        <v>50.45</v>
      </c>
    </row>
    <row r="55" spans="1:11" x14ac:dyDescent="0.2">
      <c r="A55" s="1">
        <f t="shared" si="0"/>
        <v>43617</v>
      </c>
      <c r="B55">
        <f>INDEX(Table2[Price],MATCH(TimeLine!A55,Table2[Date],0))</f>
        <v>133.19999999999999</v>
      </c>
      <c r="C55">
        <f>INDEX(Table3[Price],MATCH(TimeLine!A55,Table3[Date],0))</f>
        <v>76.63</v>
      </c>
      <c r="D55">
        <f>INDEX(Table4[Price],MATCH(TimeLine!A55,Table4[Date],0))</f>
        <v>293</v>
      </c>
      <c r="E55">
        <f>INDEX(Table5[Price],MATCH(TimeLine!A55,Table5[Date],0))</f>
        <v>111.8</v>
      </c>
      <c r="F55">
        <f>INDEX(Table6[Price],MATCH(TimeLine!A55,Table6[Date],0))</f>
        <v>4.1100000000000003</v>
      </c>
      <c r="G55">
        <f>INDEX(PG[PG],MATCH(Table_RawData[[#This Row],[Date]],PG[Date],0))</f>
        <v>109.65</v>
      </c>
      <c r="H55">
        <f>INDEX(TLT[TLT],MATCH(Table_RawData[[#This Row],[Date]],TLT[Date],0))</f>
        <v>132.81</v>
      </c>
      <c r="I55">
        <f>INDEX(VGT[VGT],MATCH(Table_RawData[[#This Row],[Date]],VGT[Date],0))</f>
        <v>210.89</v>
      </c>
      <c r="J55">
        <f>INDEX(VNQ[VNQ],MATCH(Table_RawData[[#This Row],[Date]],VNQ[Date],0))</f>
        <v>87.4</v>
      </c>
      <c r="K55">
        <f>INDEX(VXUS[VXUS],MATCH(Table_RawData[[#This Row],[Date]],VXUS[Date],0))</f>
        <v>52.75</v>
      </c>
    </row>
    <row r="56" spans="1:11" x14ac:dyDescent="0.2">
      <c r="A56" s="1">
        <f t="shared" si="0"/>
        <v>43647</v>
      </c>
      <c r="B56">
        <f>INDEX(Table2[Price],MATCH(TimeLine!A56,Table2[Date],0))</f>
        <v>133.21</v>
      </c>
      <c r="C56">
        <f>INDEX(Table3[Price],MATCH(TimeLine!A56,Table3[Date],0))</f>
        <v>74.36</v>
      </c>
      <c r="D56">
        <f>INDEX(Table4[Price],MATCH(TimeLine!A56,Table4[Date],0))</f>
        <v>297.43</v>
      </c>
      <c r="E56">
        <f>INDEX(Table5[Price],MATCH(TimeLine!A56,Table5[Date],0))</f>
        <v>116</v>
      </c>
      <c r="F56">
        <f>INDEX(Table6[Price],MATCH(TimeLine!A56,Table6[Date],0))</f>
        <v>4.22</v>
      </c>
      <c r="G56">
        <f>INDEX(PG[PG],MATCH(Table_RawData[[#This Row],[Date]],PG[Date],0))</f>
        <v>118.04</v>
      </c>
      <c r="H56">
        <f>INDEX(TLT[TLT],MATCH(Table_RawData[[#This Row],[Date]],TLT[Date],0))</f>
        <v>132.88999999999999</v>
      </c>
      <c r="I56">
        <f>INDEX(VGT[VGT],MATCH(Table_RawData[[#This Row],[Date]],VGT[Date],0))</f>
        <v>218.35</v>
      </c>
      <c r="J56">
        <f>INDEX(VNQ[VNQ],MATCH(Table_RawData[[#This Row],[Date]],VNQ[Date],0))</f>
        <v>88.89</v>
      </c>
      <c r="K56">
        <f>INDEX(VXUS[VXUS],MATCH(Table_RawData[[#This Row],[Date]],VXUS[Date],0))</f>
        <v>51.7</v>
      </c>
    </row>
    <row r="57" spans="1:11" x14ac:dyDescent="0.2">
      <c r="A57" s="1">
        <f t="shared" si="0"/>
        <v>43678</v>
      </c>
      <c r="B57">
        <f>INDEX(Table2[Price],MATCH(TimeLine!A57,Table2[Date],0))</f>
        <v>143.75</v>
      </c>
      <c r="C57">
        <f>INDEX(Table3[Price],MATCH(TimeLine!A57,Table3[Date],0))</f>
        <v>68.48</v>
      </c>
      <c r="D57">
        <f>INDEX(Table4[Price],MATCH(TimeLine!A57,Table4[Date],0))</f>
        <v>292.45</v>
      </c>
      <c r="E57">
        <f>INDEX(Table5[Price],MATCH(TimeLine!A57,Table5[Date],0))</f>
        <v>109.86</v>
      </c>
      <c r="F57">
        <f>INDEX(Table6[Price],MATCH(TimeLine!A57,Table6[Date],0))</f>
        <v>4.1900000000000004</v>
      </c>
      <c r="G57">
        <f>INDEX(PG[PG],MATCH(Table_RawData[[#This Row],[Date]],PG[Date],0))</f>
        <v>120.23</v>
      </c>
      <c r="H57">
        <f>INDEX(TLT[TLT],MATCH(Table_RawData[[#This Row],[Date]],TLT[Date],0))</f>
        <v>147.28</v>
      </c>
      <c r="I57">
        <f>INDEX(VGT[VGT],MATCH(Table_RawData[[#This Row],[Date]],VGT[Date],0))</f>
        <v>213.56</v>
      </c>
      <c r="J57">
        <f>INDEX(VNQ[VNQ],MATCH(Table_RawData[[#This Row],[Date]],VNQ[Date],0))</f>
        <v>92.22</v>
      </c>
      <c r="K57">
        <f>INDEX(VXUS[VXUS],MATCH(Table_RawData[[#This Row],[Date]],VXUS[Date],0))</f>
        <v>50.58</v>
      </c>
    </row>
    <row r="58" spans="1:11" x14ac:dyDescent="0.2">
      <c r="A58" s="1">
        <f t="shared" si="0"/>
        <v>43709</v>
      </c>
      <c r="B58">
        <f>INDEX(Table2[Price],MATCH(TimeLine!A58,Table2[Date],0))</f>
        <v>138.87</v>
      </c>
      <c r="C58">
        <f>INDEX(Table3[Price],MATCH(TimeLine!A58,Table3[Date],0))</f>
        <v>70.61</v>
      </c>
      <c r="D58">
        <f>INDEX(Table4[Price],MATCH(TimeLine!A58,Table4[Date],0))</f>
        <v>296.77</v>
      </c>
      <c r="E58">
        <f>INDEX(Table5[Price],MATCH(TimeLine!A58,Table5[Date],0))</f>
        <v>117.69</v>
      </c>
      <c r="F58">
        <f>INDEX(Table6[Price],MATCH(TimeLine!A58,Table6[Date],0))</f>
        <v>4.3499999999999996</v>
      </c>
      <c r="G58">
        <f>INDEX(PG[PG],MATCH(Table_RawData[[#This Row],[Date]],PG[Date],0))</f>
        <v>124.38</v>
      </c>
      <c r="H58">
        <f>INDEX(TLT[TLT],MATCH(Table_RawData[[#This Row],[Date]],TLT[Date],0))</f>
        <v>143.08000000000001</v>
      </c>
      <c r="I58">
        <f>INDEX(VGT[VGT],MATCH(Table_RawData[[#This Row],[Date]],VGT[Date],0))</f>
        <v>215.55</v>
      </c>
      <c r="J58">
        <f>INDEX(VNQ[VNQ],MATCH(Table_RawData[[#This Row],[Date]],VNQ[Date],0))</f>
        <v>93.25</v>
      </c>
      <c r="K58">
        <f>INDEX(VXUS[VXUS],MATCH(Table_RawData[[#This Row],[Date]],VXUS[Date],0))</f>
        <v>51.66</v>
      </c>
    </row>
    <row r="59" spans="1:11" x14ac:dyDescent="0.2">
      <c r="A59" s="1">
        <f t="shared" si="0"/>
        <v>43739</v>
      </c>
      <c r="B59">
        <f>INDEX(Table2[Price],MATCH(TimeLine!A59,Table2[Date],0))</f>
        <v>142.43</v>
      </c>
      <c r="C59">
        <f>INDEX(Table3[Price],MATCH(TimeLine!A59,Table3[Date],0))</f>
        <v>67.569999999999993</v>
      </c>
      <c r="D59">
        <f>INDEX(Table4[Price],MATCH(TimeLine!A59,Table4[Date],0))</f>
        <v>303.33</v>
      </c>
      <c r="E59">
        <f>INDEX(Table5[Price],MATCH(TimeLine!A59,Table5[Date],0))</f>
        <v>124.92</v>
      </c>
      <c r="F59">
        <f>INDEX(Table6[Price],MATCH(TimeLine!A59,Table6[Date],0))</f>
        <v>5.03</v>
      </c>
      <c r="G59">
        <f>INDEX(PG[PG],MATCH(Table_RawData[[#This Row],[Date]],PG[Date],0))</f>
        <v>124.51</v>
      </c>
      <c r="H59">
        <f>INDEX(TLT[TLT],MATCH(Table_RawData[[#This Row],[Date]],TLT[Date],0))</f>
        <v>141.24</v>
      </c>
      <c r="I59">
        <f>INDEX(VGT[VGT],MATCH(Table_RawData[[#This Row],[Date]],VGT[Date],0))</f>
        <v>223.64</v>
      </c>
      <c r="J59">
        <f>INDEX(VNQ[VNQ],MATCH(Table_RawData[[#This Row],[Date]],VNQ[Date],0))</f>
        <v>94.3</v>
      </c>
      <c r="K59">
        <f>INDEX(VXUS[VXUS],MATCH(Table_RawData[[#This Row],[Date]],VXUS[Date],0))</f>
        <v>53.43</v>
      </c>
    </row>
    <row r="60" spans="1:11" x14ac:dyDescent="0.2">
      <c r="A60" s="1">
        <f t="shared" si="0"/>
        <v>43770</v>
      </c>
      <c r="B60">
        <f>INDEX(Table2[Price],MATCH(TimeLine!A60,Table2[Date],0))</f>
        <v>137.86000000000001</v>
      </c>
      <c r="C60">
        <f>INDEX(Table3[Price],MATCH(TimeLine!A60,Table3[Date],0))</f>
        <v>68.13</v>
      </c>
      <c r="D60">
        <f>INDEX(Table4[Price],MATCH(TimeLine!A60,Table4[Date],0))</f>
        <v>314.31</v>
      </c>
      <c r="E60">
        <f>INDEX(Table5[Price],MATCH(TimeLine!A60,Table5[Date],0))</f>
        <v>131.76</v>
      </c>
      <c r="F60">
        <f>INDEX(Table6[Price],MATCH(TimeLine!A60,Table6[Date],0))</f>
        <v>5.42</v>
      </c>
      <c r="G60">
        <f>INDEX(PG[PG],MATCH(Table_RawData[[#This Row],[Date]],PG[Date],0))</f>
        <v>122.06</v>
      </c>
      <c r="H60">
        <f>INDEX(TLT[TLT],MATCH(Table_RawData[[#This Row],[Date]],TLT[Date],0))</f>
        <v>140.41999999999999</v>
      </c>
      <c r="I60">
        <f>INDEX(VGT[VGT],MATCH(Table_RawData[[#This Row],[Date]],VGT[Date],0))</f>
        <v>236.15</v>
      </c>
      <c r="J60">
        <f>INDEX(VNQ[VNQ],MATCH(Table_RawData[[#This Row],[Date]],VNQ[Date],0))</f>
        <v>93.07</v>
      </c>
      <c r="K60">
        <f>INDEX(VXUS[VXUS],MATCH(Table_RawData[[#This Row],[Date]],VXUS[Date],0))</f>
        <v>53.96</v>
      </c>
    </row>
    <row r="61" spans="1:11" x14ac:dyDescent="0.2">
      <c r="A61" s="1">
        <f t="shared" si="0"/>
        <v>43800</v>
      </c>
      <c r="B61">
        <f>INDEX(Table2[Price],MATCH(TimeLine!A61,Table2[Date],0))</f>
        <v>142.9</v>
      </c>
      <c r="C61">
        <f>INDEX(Table3[Price],MATCH(TimeLine!A61,Table3[Date],0))</f>
        <v>69.78</v>
      </c>
      <c r="D61">
        <f>INDEX(Table4[Price],MATCH(TimeLine!A61,Table4[Date],0))</f>
        <v>321.86</v>
      </c>
      <c r="E61">
        <f>INDEX(Table5[Price],MATCH(TimeLine!A61,Table5[Date],0))</f>
        <v>139.4</v>
      </c>
      <c r="F61">
        <f>INDEX(Table6[Price],MATCH(TimeLine!A61,Table6[Date],0))</f>
        <v>5.88</v>
      </c>
      <c r="G61">
        <f>INDEX(PG[PG],MATCH(Table_RawData[[#This Row],[Date]],PG[Date],0))</f>
        <v>124.9</v>
      </c>
      <c r="H61">
        <f>INDEX(TLT[TLT],MATCH(Table_RawData[[#This Row],[Date]],TLT[Date],0))</f>
        <v>135.47999999999999</v>
      </c>
      <c r="I61">
        <f>INDEX(VGT[VGT],MATCH(Table_RawData[[#This Row],[Date]],VGT[Date],0))</f>
        <v>244.85</v>
      </c>
      <c r="J61">
        <f>INDEX(VNQ[VNQ],MATCH(Table_RawData[[#This Row],[Date]],VNQ[Date],0))</f>
        <v>92.79</v>
      </c>
      <c r="K61">
        <f>INDEX(VXUS[VXUS],MATCH(Table_RawData[[#This Row],[Date]],VXUS[Date],0))</f>
        <v>55.69</v>
      </c>
    </row>
    <row r="62" spans="1:11" x14ac:dyDescent="0.2">
      <c r="A62" s="1">
        <f t="shared" si="0"/>
        <v>43831</v>
      </c>
      <c r="B62">
        <f>INDEX(Table2[Price],MATCH(TimeLine!A62,Table2[Date],0))</f>
        <v>149.33000000000001</v>
      </c>
      <c r="C62">
        <f>INDEX(Table3[Price],MATCH(TimeLine!A62,Table3[Date],0))</f>
        <v>62.12</v>
      </c>
      <c r="D62">
        <f>INDEX(Table4[Price],MATCH(TimeLine!A62,Table4[Date],0))</f>
        <v>321.73</v>
      </c>
      <c r="E62">
        <f>INDEX(Table5[Price],MATCH(TimeLine!A62,Table5[Date],0))</f>
        <v>132.36000000000001</v>
      </c>
      <c r="F62">
        <f>INDEX(Table6[Price],MATCH(TimeLine!A62,Table6[Date],0))</f>
        <v>5.91</v>
      </c>
      <c r="G62">
        <f>INDEX(PG[PG],MATCH(Table_RawData[[#This Row],[Date]],PG[Date],0))</f>
        <v>124.62</v>
      </c>
      <c r="H62">
        <f>INDEX(TLT[TLT],MATCH(Table_RawData[[#This Row],[Date]],TLT[Date],0))</f>
        <v>145.9</v>
      </c>
      <c r="I62">
        <f>INDEX(VGT[VGT],MATCH(Table_RawData[[#This Row],[Date]],VGT[Date],0))</f>
        <v>254.18</v>
      </c>
      <c r="J62">
        <f>INDEX(VNQ[VNQ],MATCH(Table_RawData[[#This Row],[Date]],VNQ[Date],0))</f>
        <v>93.93</v>
      </c>
      <c r="K62">
        <f>INDEX(VXUS[VXUS],MATCH(Table_RawData[[#This Row],[Date]],VXUS[Date],0))</f>
        <v>53.8</v>
      </c>
    </row>
    <row r="63" spans="1:11" x14ac:dyDescent="0.2">
      <c r="A63" s="1">
        <f t="shared" si="0"/>
        <v>43862</v>
      </c>
      <c r="B63">
        <f>INDEX(Table2[Price],MATCH(TimeLine!A63,Table2[Date],0))</f>
        <v>148.38</v>
      </c>
      <c r="C63">
        <f>INDEX(Table3[Price],MATCH(TimeLine!A63,Table3[Date],0))</f>
        <v>51.44</v>
      </c>
      <c r="D63">
        <f>INDEX(Table4[Price],MATCH(TimeLine!A63,Table4[Date],0))</f>
        <v>296.26</v>
      </c>
      <c r="E63">
        <f>INDEX(Table5[Price],MATCH(TimeLine!A63,Table5[Date],0))</f>
        <v>116.11</v>
      </c>
      <c r="F63">
        <f>INDEX(Table6[Price],MATCH(TimeLine!A63,Table6[Date],0))</f>
        <v>6.75</v>
      </c>
      <c r="G63">
        <f>INDEX(PG[PG],MATCH(Table_RawData[[#This Row],[Date]],PG[Date],0))</f>
        <v>113.23</v>
      </c>
      <c r="H63">
        <f>INDEX(TLT[TLT],MATCH(Table_RawData[[#This Row],[Date]],TLT[Date],0))</f>
        <v>155.31</v>
      </c>
      <c r="I63">
        <f>INDEX(VGT[VGT],MATCH(Table_RawData[[#This Row],[Date]],VGT[Date],0))</f>
        <v>235.65</v>
      </c>
      <c r="J63">
        <f>INDEX(VNQ[VNQ],MATCH(Table_RawData[[#This Row],[Date]],VNQ[Date],0))</f>
        <v>87.33</v>
      </c>
      <c r="K63">
        <f>INDEX(VXUS[VXUS],MATCH(Table_RawData[[#This Row],[Date]],VXUS[Date],0))</f>
        <v>50.25</v>
      </c>
    </row>
    <row r="64" spans="1:11" x14ac:dyDescent="0.2">
      <c r="A64" s="1">
        <f t="shared" si="0"/>
        <v>43891</v>
      </c>
      <c r="B64">
        <f>INDEX(Table2[Price],MATCH(TimeLine!A64,Table2[Date],0))</f>
        <v>148.05000000000001</v>
      </c>
      <c r="C64">
        <f>INDEX(Table3[Price],MATCH(TimeLine!A64,Table3[Date],0))</f>
        <v>37.97</v>
      </c>
      <c r="D64">
        <f>INDEX(Table4[Price],MATCH(TimeLine!A64,Table4[Date],0))</f>
        <v>257.75</v>
      </c>
      <c r="E64">
        <f>INDEX(Table5[Price],MATCH(TimeLine!A64,Table5[Date],0))</f>
        <v>90.03</v>
      </c>
      <c r="F64">
        <f>INDEX(Table6[Price],MATCH(TimeLine!A64,Table6[Date],0))</f>
        <v>6.59</v>
      </c>
      <c r="G64">
        <f>INDEX(PG[PG],MATCH(Table_RawData[[#This Row],[Date]],PG[Date],0))</f>
        <v>110</v>
      </c>
      <c r="H64">
        <f>INDEX(TLT[TLT],MATCH(Table_RawData[[#This Row],[Date]],TLT[Date],0))</f>
        <v>164.97</v>
      </c>
      <c r="I64">
        <f>INDEX(VGT[VGT],MATCH(Table_RawData[[#This Row],[Date]],VGT[Date],0))</f>
        <v>211.9</v>
      </c>
      <c r="J64">
        <f>INDEX(VNQ[VNQ],MATCH(Table_RawData[[#This Row],[Date]],VNQ[Date],0))</f>
        <v>69.849999999999994</v>
      </c>
      <c r="K64">
        <f>INDEX(VXUS[VXUS],MATCH(Table_RawData[[#This Row],[Date]],VXUS[Date],0))</f>
        <v>41.96</v>
      </c>
    </row>
    <row r="65" spans="1:11" x14ac:dyDescent="0.2">
      <c r="A65" s="1">
        <f t="shared" si="0"/>
        <v>43922</v>
      </c>
      <c r="B65">
        <f>INDEX(Table2[Price],MATCH(TimeLine!A65,Table2[Date],0))</f>
        <v>158.80000000000001</v>
      </c>
      <c r="C65">
        <f>INDEX(Table3[Price],MATCH(TimeLine!A65,Table3[Date],0))</f>
        <v>46.47</v>
      </c>
      <c r="D65">
        <f>INDEX(Table4[Price],MATCH(TimeLine!A65,Table4[Date],0))</f>
        <v>290.48</v>
      </c>
      <c r="E65">
        <f>INDEX(Table5[Price],MATCH(TimeLine!A65,Table5[Date],0))</f>
        <v>95.76</v>
      </c>
      <c r="F65">
        <f>INDEX(Table6[Price],MATCH(TimeLine!A65,Table6[Date],0))</f>
        <v>7.31</v>
      </c>
      <c r="G65">
        <f>INDEX(PG[PG],MATCH(Table_RawData[[#This Row],[Date]],PG[Date],0))</f>
        <v>117.87</v>
      </c>
      <c r="H65">
        <f>INDEX(TLT[TLT],MATCH(Table_RawData[[#This Row],[Date]],TLT[Date],0))</f>
        <v>166.74</v>
      </c>
      <c r="I65">
        <f>INDEX(VGT[VGT],MATCH(Table_RawData[[#This Row],[Date]],VGT[Date],0))</f>
        <v>242</v>
      </c>
      <c r="J65">
        <f>INDEX(VNQ[VNQ],MATCH(Table_RawData[[#This Row],[Date]],VNQ[Date],0))</f>
        <v>76.11</v>
      </c>
      <c r="K65">
        <f>INDEX(VXUS[VXUS],MATCH(Table_RawData[[#This Row],[Date]],VXUS[Date],0))</f>
        <v>45.15</v>
      </c>
    </row>
    <row r="66" spans="1:11" x14ac:dyDescent="0.2">
      <c r="A66" s="1">
        <f t="shared" si="0"/>
        <v>43952</v>
      </c>
      <c r="B66">
        <f>INDEX(Table2[Price],MATCH(TimeLine!A66,Table2[Date],0))</f>
        <v>162.91</v>
      </c>
      <c r="C66">
        <f>INDEX(Table3[Price],MATCH(TimeLine!A66,Table3[Date],0))</f>
        <v>45.47</v>
      </c>
      <c r="D66">
        <f>INDEX(Table4[Price],MATCH(TimeLine!A66,Table4[Date],0))</f>
        <v>304.32</v>
      </c>
      <c r="E66">
        <f>INDEX(Table5[Price],MATCH(TimeLine!A66,Table5[Date],0))</f>
        <v>97.31</v>
      </c>
      <c r="F66">
        <f>INDEX(Table6[Price],MATCH(TimeLine!A66,Table6[Date],0))</f>
        <v>8.8800000000000008</v>
      </c>
      <c r="G66">
        <f>INDEX(PG[PG],MATCH(Table_RawData[[#This Row],[Date]],PG[Date],0))</f>
        <v>115.92</v>
      </c>
      <c r="H66">
        <f>INDEX(TLT[TLT],MATCH(Table_RawData[[#This Row],[Date]],TLT[Date],0))</f>
        <v>163.59</v>
      </c>
      <c r="I66">
        <f>INDEX(VGT[VGT],MATCH(Table_RawData[[#This Row],[Date]],VGT[Date],0))</f>
        <v>261.02999999999997</v>
      </c>
      <c r="J66">
        <f>INDEX(VNQ[VNQ],MATCH(Table_RawData[[#This Row],[Date]],VNQ[Date],0))</f>
        <v>77.430000000000007</v>
      </c>
      <c r="K66">
        <f>INDEX(VXUS[VXUS],MATCH(Table_RawData[[#This Row],[Date]],VXUS[Date],0))</f>
        <v>47.41</v>
      </c>
    </row>
    <row r="67" spans="1:11" x14ac:dyDescent="0.2">
      <c r="A67" s="1">
        <f t="shared" si="0"/>
        <v>43983</v>
      </c>
      <c r="B67">
        <f>INDEX(Table2[Price],MATCH(TimeLine!A67,Table2[Date],0))</f>
        <v>167.37</v>
      </c>
      <c r="C67">
        <f>INDEX(Table3[Price],MATCH(TimeLine!A67,Table3[Date],0))</f>
        <v>44.72</v>
      </c>
      <c r="D67">
        <f>INDEX(Table4[Price],MATCH(TimeLine!A67,Table4[Date],0))</f>
        <v>308.36</v>
      </c>
      <c r="E67">
        <f>INDEX(Table5[Price],MATCH(TimeLine!A67,Table5[Date],0))</f>
        <v>94.06</v>
      </c>
      <c r="F67">
        <f>INDEX(Table6[Price],MATCH(TimeLine!A67,Table6[Date],0))</f>
        <v>9.5</v>
      </c>
      <c r="G67">
        <f>INDEX(PG[PG],MATCH(Table_RawData[[#This Row],[Date]],PG[Date],0))</f>
        <v>119.57</v>
      </c>
      <c r="H67">
        <f>INDEX(TLT[TLT],MATCH(Table_RawData[[#This Row],[Date]],TLT[Date],0))</f>
        <v>163.93</v>
      </c>
      <c r="I67">
        <f>INDEX(VGT[VGT],MATCH(Table_RawData[[#This Row],[Date]],VGT[Date],0))</f>
        <v>278.70999999999998</v>
      </c>
      <c r="J67">
        <f>INDEX(VNQ[VNQ],MATCH(Table_RawData[[#This Row],[Date]],VNQ[Date],0))</f>
        <v>78.53</v>
      </c>
      <c r="K67">
        <f>INDEX(VXUS[VXUS],MATCH(Table_RawData[[#This Row],[Date]],VXUS[Date],0))</f>
        <v>49.17</v>
      </c>
    </row>
    <row r="68" spans="1:11" x14ac:dyDescent="0.2">
      <c r="A68" s="1">
        <f t="shared" ref="A68:A131" si="1">EDATE(A67,1)</f>
        <v>44013</v>
      </c>
      <c r="B68">
        <f>INDEX(Table2[Price],MATCH(TimeLine!A68,Table2[Date],0))</f>
        <v>185.43</v>
      </c>
      <c r="C68">
        <f>INDEX(Table3[Price],MATCH(TimeLine!A68,Table3[Date],0))</f>
        <v>42.08</v>
      </c>
      <c r="D68">
        <f>INDEX(Table4[Price],MATCH(TimeLine!A68,Table4[Date],0))</f>
        <v>326.52</v>
      </c>
      <c r="E68">
        <f>INDEX(Table5[Price],MATCH(TimeLine!A68,Table5[Date],0))</f>
        <v>96.64</v>
      </c>
      <c r="F68">
        <f>INDEX(Table6[Price],MATCH(TimeLine!A68,Table6[Date],0))</f>
        <v>10.61</v>
      </c>
      <c r="G68">
        <f>INDEX(PG[PG],MATCH(Table_RawData[[#This Row],[Date]],PG[Date],0))</f>
        <v>131.12</v>
      </c>
      <c r="H68">
        <f>INDEX(TLT[TLT],MATCH(Table_RawData[[#This Row],[Date]],TLT[Date],0))</f>
        <v>171</v>
      </c>
      <c r="I68">
        <f>INDEX(VGT[VGT],MATCH(Table_RawData[[#This Row],[Date]],VGT[Date],0))</f>
        <v>295.27</v>
      </c>
      <c r="J68">
        <f>INDEX(VNQ[VNQ],MATCH(Table_RawData[[#This Row],[Date]],VNQ[Date],0))</f>
        <v>81.39</v>
      </c>
      <c r="K68">
        <f>INDEX(VXUS[VXUS],MATCH(Table_RawData[[#This Row],[Date]],VXUS[Date],0))</f>
        <v>51.21</v>
      </c>
    </row>
    <row r="69" spans="1:11" x14ac:dyDescent="0.2">
      <c r="A69" s="1">
        <f t="shared" si="1"/>
        <v>44044</v>
      </c>
      <c r="B69">
        <f>INDEX(Table2[Price],MATCH(TimeLine!A69,Table2[Date],0))</f>
        <v>184.83</v>
      </c>
      <c r="C69">
        <f>INDEX(Table3[Price],MATCH(TimeLine!A69,Table3[Date],0))</f>
        <v>39.94</v>
      </c>
      <c r="D69">
        <f>INDEX(Table4[Price],MATCH(TimeLine!A69,Table4[Date],0))</f>
        <v>349.31</v>
      </c>
      <c r="E69">
        <f>INDEX(Table5[Price],MATCH(TimeLine!A69,Table5[Date],0))</f>
        <v>100.19</v>
      </c>
      <c r="F69">
        <f>INDEX(Table6[Price],MATCH(TimeLine!A69,Table6[Date],0))</f>
        <v>13.37</v>
      </c>
      <c r="G69">
        <f>INDEX(PG[PG],MATCH(Table_RawData[[#This Row],[Date]],PG[Date],0))</f>
        <v>138.33000000000001</v>
      </c>
      <c r="H69">
        <f>INDEX(TLT[TLT],MATCH(Table_RawData[[#This Row],[Date]],TLT[Date],0))</f>
        <v>162.19</v>
      </c>
      <c r="I69">
        <f>INDEX(VGT[VGT],MATCH(Table_RawData[[#This Row],[Date]],VGT[Date],0))</f>
        <v>328.15</v>
      </c>
      <c r="J69">
        <f>INDEX(VNQ[VNQ],MATCH(Table_RawData[[#This Row],[Date]],VNQ[Date],0))</f>
        <v>81.75</v>
      </c>
      <c r="K69">
        <f>INDEX(VXUS[VXUS],MATCH(Table_RawData[[#This Row],[Date]],VXUS[Date],0))</f>
        <v>53.48</v>
      </c>
    </row>
    <row r="70" spans="1:11" x14ac:dyDescent="0.2">
      <c r="A70" s="1">
        <f t="shared" si="1"/>
        <v>44075</v>
      </c>
      <c r="B70">
        <f>INDEX(Table2[Price],MATCH(TimeLine!A70,Table2[Date],0))</f>
        <v>177.12</v>
      </c>
      <c r="C70">
        <f>INDEX(Table3[Price],MATCH(TimeLine!A70,Table3[Date],0))</f>
        <v>34.33</v>
      </c>
      <c r="D70">
        <f>INDEX(Table4[Price],MATCH(TimeLine!A70,Table4[Date],0))</f>
        <v>334.89</v>
      </c>
      <c r="E70">
        <f>INDEX(Table5[Price],MATCH(TimeLine!A70,Table5[Date],0))</f>
        <v>96.27</v>
      </c>
      <c r="F70">
        <f>INDEX(Table6[Price],MATCH(TimeLine!A70,Table6[Date],0))</f>
        <v>13.53</v>
      </c>
      <c r="G70">
        <f>INDEX(PG[PG],MATCH(Table_RawData[[#This Row],[Date]],PG[Date],0))</f>
        <v>138.99</v>
      </c>
      <c r="H70">
        <f>INDEX(TLT[TLT],MATCH(Table_RawData[[#This Row],[Date]],TLT[Date],0))</f>
        <v>163.26</v>
      </c>
      <c r="I70">
        <f>INDEX(VGT[VGT],MATCH(Table_RawData[[#This Row],[Date]],VGT[Date],0))</f>
        <v>311.45</v>
      </c>
      <c r="J70">
        <f>INDEX(VNQ[VNQ],MATCH(Table_RawData[[#This Row],[Date]],VNQ[Date],0))</f>
        <v>78.959999999999994</v>
      </c>
      <c r="K70">
        <f>INDEX(VXUS[VXUS],MATCH(Table_RawData[[#This Row],[Date]],VXUS[Date],0))</f>
        <v>52.17</v>
      </c>
    </row>
    <row r="71" spans="1:11" x14ac:dyDescent="0.2">
      <c r="A71" s="1">
        <f t="shared" si="1"/>
        <v>44105</v>
      </c>
      <c r="B71">
        <f>INDEX(Table2[Price],MATCH(TimeLine!A71,Table2[Date],0))</f>
        <v>176.2</v>
      </c>
      <c r="C71">
        <f>INDEX(Table3[Price],MATCH(TimeLine!A71,Table3[Date],0))</f>
        <v>32.619999999999997</v>
      </c>
      <c r="D71">
        <f>INDEX(Table4[Price],MATCH(TimeLine!A71,Table4[Date],0))</f>
        <v>326.54000000000002</v>
      </c>
      <c r="E71">
        <f>INDEX(Table5[Price],MATCH(TimeLine!A71,Table5[Date],0))</f>
        <v>98.04</v>
      </c>
      <c r="F71">
        <f>INDEX(Table6[Price],MATCH(TimeLine!A71,Table6[Date],0))</f>
        <v>12.53</v>
      </c>
      <c r="G71">
        <f>INDEX(PG[PG],MATCH(Table_RawData[[#This Row],[Date]],PG[Date],0))</f>
        <v>137.1</v>
      </c>
      <c r="H71">
        <f>INDEX(TLT[TLT],MATCH(Table_RawData[[#This Row],[Date]],TLT[Date],0))</f>
        <v>157.57</v>
      </c>
      <c r="I71">
        <f>INDEX(VGT[VGT],MATCH(Table_RawData[[#This Row],[Date]],VGT[Date],0))</f>
        <v>297.99</v>
      </c>
      <c r="J71">
        <f>INDEX(VNQ[VNQ],MATCH(Table_RawData[[#This Row],[Date]],VNQ[Date],0))</f>
        <v>76.59</v>
      </c>
      <c r="K71">
        <f>INDEX(VXUS[VXUS],MATCH(Table_RawData[[#This Row],[Date]],VXUS[Date],0))</f>
        <v>50.97</v>
      </c>
    </row>
    <row r="72" spans="1:11" x14ac:dyDescent="0.2">
      <c r="A72" s="1">
        <f t="shared" si="1"/>
        <v>44136</v>
      </c>
      <c r="B72">
        <f>INDEX(Table2[Price],MATCH(TimeLine!A72,Table2[Date],0))</f>
        <v>166.67</v>
      </c>
      <c r="C72">
        <f>INDEX(Table3[Price],MATCH(TimeLine!A72,Table3[Date],0))</f>
        <v>38.130000000000003</v>
      </c>
      <c r="D72">
        <f>INDEX(Table4[Price],MATCH(TimeLine!A72,Table4[Date],0))</f>
        <v>362.06</v>
      </c>
      <c r="E72">
        <f>INDEX(Table5[Price],MATCH(TimeLine!A72,Table5[Date],0))</f>
        <v>117.88</v>
      </c>
      <c r="F72">
        <f>INDEX(Table6[Price],MATCH(TimeLine!A72,Table6[Date],0))</f>
        <v>13.4</v>
      </c>
      <c r="G72">
        <f>INDEX(PG[PG],MATCH(Table_RawData[[#This Row],[Date]],PG[Date],0))</f>
        <v>138.87</v>
      </c>
      <c r="H72">
        <f>INDEX(TLT[TLT],MATCH(Table_RawData[[#This Row],[Date]],TLT[Date],0))</f>
        <v>160.02000000000001</v>
      </c>
      <c r="I72">
        <f>INDEX(VGT[VGT],MATCH(Table_RawData[[#This Row],[Date]],VGT[Date],0))</f>
        <v>335.33</v>
      </c>
      <c r="J72">
        <f>INDEX(VNQ[VNQ],MATCH(Table_RawData[[#This Row],[Date]],VNQ[Date],0))</f>
        <v>84</v>
      </c>
      <c r="K72">
        <f>INDEX(VXUS[VXUS],MATCH(Table_RawData[[#This Row],[Date]],VXUS[Date],0))</f>
        <v>57.4</v>
      </c>
    </row>
    <row r="73" spans="1:11" x14ac:dyDescent="0.2">
      <c r="A73" s="1">
        <f t="shared" si="1"/>
        <v>44166</v>
      </c>
      <c r="B73">
        <f>INDEX(Table2[Price],MATCH(TimeLine!A73,Table2[Date],0))</f>
        <v>178.36</v>
      </c>
      <c r="C73">
        <f>INDEX(Table3[Price],MATCH(TimeLine!A73,Table3[Date],0))</f>
        <v>41.22</v>
      </c>
      <c r="D73">
        <f>INDEX(Table4[Price],MATCH(TimeLine!A73,Table4[Date],0))</f>
        <v>373.88</v>
      </c>
      <c r="E73">
        <f>INDEX(Table5[Price],MATCH(TimeLine!A73,Table5[Date],0))</f>
        <v>127.07</v>
      </c>
      <c r="F73">
        <f>INDEX(Table6[Price],MATCH(TimeLine!A73,Table6[Date],0))</f>
        <v>13.06</v>
      </c>
      <c r="G73">
        <f>INDEX(PG[PG],MATCH(Table_RawData[[#This Row],[Date]],PG[Date],0))</f>
        <v>139.13999999999999</v>
      </c>
      <c r="H73">
        <f>INDEX(TLT[TLT],MATCH(Table_RawData[[#This Row],[Date]],TLT[Date],0))</f>
        <v>157.72999999999999</v>
      </c>
      <c r="I73">
        <f>INDEX(VGT[VGT],MATCH(Table_RawData[[#This Row],[Date]],VGT[Date],0))</f>
        <v>353.79</v>
      </c>
      <c r="J73">
        <f>INDEX(VNQ[VNQ],MATCH(Table_RawData[[#This Row],[Date]],VNQ[Date],0))</f>
        <v>84.93</v>
      </c>
      <c r="K73">
        <f>INDEX(VXUS[VXUS],MATCH(Table_RawData[[#This Row],[Date]],VXUS[Date],0))</f>
        <v>60.16</v>
      </c>
    </row>
    <row r="74" spans="1:11" x14ac:dyDescent="0.2">
      <c r="A74" s="1">
        <f t="shared" si="1"/>
        <v>44197</v>
      </c>
      <c r="B74">
        <f>INDEX(Table2[Price],MATCH(TimeLine!A74,Table2[Date],0))</f>
        <v>172.61</v>
      </c>
      <c r="C74">
        <f>INDEX(Table3[Price],MATCH(TimeLine!A74,Table3[Date],0))</f>
        <v>44.84</v>
      </c>
      <c r="D74">
        <f>INDEX(Table4[Price],MATCH(TimeLine!A74,Table4[Date],0))</f>
        <v>370.07</v>
      </c>
      <c r="E74">
        <f>INDEX(Table5[Price],MATCH(TimeLine!A74,Table5[Date],0))</f>
        <v>128.66999999999999</v>
      </c>
      <c r="F74">
        <f>INDEX(Table6[Price],MATCH(TimeLine!A74,Table6[Date],0))</f>
        <v>12.99</v>
      </c>
      <c r="G74">
        <f>INDEX(PG[PG],MATCH(Table_RawData[[#This Row],[Date]],PG[Date],0))</f>
        <v>128.21</v>
      </c>
      <c r="H74">
        <f>INDEX(TLT[TLT],MATCH(Table_RawData[[#This Row],[Date]],TLT[Date],0))</f>
        <v>152</v>
      </c>
      <c r="I74">
        <f>INDEX(VGT[VGT],MATCH(Table_RawData[[#This Row],[Date]],VGT[Date],0))</f>
        <v>351.3</v>
      </c>
      <c r="J74">
        <f>INDEX(VNQ[VNQ],MATCH(Table_RawData[[#This Row],[Date]],VNQ[Date],0))</f>
        <v>84.96</v>
      </c>
      <c r="K74">
        <f>INDEX(VXUS[VXUS],MATCH(Table_RawData[[#This Row],[Date]],VXUS[Date],0))</f>
        <v>60.31</v>
      </c>
    </row>
    <row r="75" spans="1:11" x14ac:dyDescent="0.2">
      <c r="A75" s="1">
        <f t="shared" si="1"/>
        <v>44228</v>
      </c>
      <c r="B75">
        <f>INDEX(Table2[Price],MATCH(TimeLine!A75,Table2[Date],0))</f>
        <v>161.81</v>
      </c>
      <c r="C75">
        <f>INDEX(Table3[Price],MATCH(TimeLine!A75,Table3[Date],0))</f>
        <v>54.37</v>
      </c>
      <c r="D75">
        <f>INDEX(Table4[Price],MATCH(TimeLine!A75,Table4[Date],0))</f>
        <v>380.36</v>
      </c>
      <c r="E75">
        <f>INDEX(Table5[Price],MATCH(TimeLine!A75,Table5[Date],0))</f>
        <v>147.16999999999999</v>
      </c>
      <c r="F75">
        <f>INDEX(Table6[Price],MATCH(TimeLine!A75,Table6[Date],0))</f>
        <v>13.71</v>
      </c>
      <c r="G75">
        <f>INDEX(PG[PG],MATCH(Table_RawData[[#This Row],[Date]],PG[Date],0))</f>
        <v>123.53</v>
      </c>
      <c r="H75">
        <f>INDEX(TLT[TLT],MATCH(Table_RawData[[#This Row],[Date]],TLT[Date],0))</f>
        <v>143.12</v>
      </c>
      <c r="I75">
        <f>INDEX(VGT[VGT],MATCH(Table_RawData[[#This Row],[Date]],VGT[Date],0))</f>
        <v>356.5</v>
      </c>
      <c r="J75">
        <f>INDEX(VNQ[VNQ],MATCH(Table_RawData[[#This Row],[Date]],VNQ[Date],0))</f>
        <v>87.87</v>
      </c>
      <c r="K75">
        <f>INDEX(VXUS[VXUS],MATCH(Table_RawData[[#This Row],[Date]],VXUS[Date],0))</f>
        <v>61.7</v>
      </c>
    </row>
    <row r="76" spans="1:11" x14ac:dyDescent="0.2">
      <c r="A76" s="1">
        <f t="shared" si="1"/>
        <v>44256</v>
      </c>
      <c r="B76">
        <f>INDEX(Table2[Price],MATCH(TimeLine!A76,Table2[Date],0))</f>
        <v>159.96</v>
      </c>
      <c r="C76">
        <f>INDEX(Table3[Price],MATCH(TimeLine!A76,Table3[Date],0))</f>
        <v>55.83</v>
      </c>
      <c r="D76">
        <f>INDEX(Table4[Price],MATCH(TimeLine!A76,Table4[Date],0))</f>
        <v>396.33</v>
      </c>
      <c r="E76">
        <f>INDEX(Table5[Price],MATCH(TimeLine!A76,Table5[Date],0))</f>
        <v>152.22999999999999</v>
      </c>
      <c r="F76">
        <f>INDEX(Table6[Price],MATCH(TimeLine!A76,Table6[Date],0))</f>
        <v>13.35</v>
      </c>
      <c r="G76">
        <f>INDEX(PG[PG],MATCH(Table_RawData[[#This Row],[Date]],PG[Date],0))</f>
        <v>135.43</v>
      </c>
      <c r="H76">
        <f>INDEX(TLT[TLT],MATCH(Table_RawData[[#This Row],[Date]],TLT[Date],0))</f>
        <v>135.44999999999999</v>
      </c>
      <c r="I76">
        <f>INDEX(VGT[VGT],MATCH(Table_RawData[[#This Row],[Date]],VGT[Date],0))</f>
        <v>358.49</v>
      </c>
      <c r="J76">
        <f>INDEX(VNQ[VNQ],MATCH(Table_RawData[[#This Row],[Date]],VNQ[Date],0))</f>
        <v>91.86</v>
      </c>
      <c r="K76">
        <f>INDEX(VXUS[VXUS],MATCH(Table_RawData[[#This Row],[Date]],VXUS[Date],0))</f>
        <v>62.7</v>
      </c>
    </row>
    <row r="77" spans="1:11" x14ac:dyDescent="0.2">
      <c r="A77" s="1">
        <f t="shared" si="1"/>
        <v>44287</v>
      </c>
      <c r="B77">
        <f>INDEX(Table2[Price],MATCH(TimeLine!A77,Table2[Date],0))</f>
        <v>165.66</v>
      </c>
      <c r="C77">
        <f>INDEX(Table3[Price],MATCH(TimeLine!A77,Table3[Date],0))</f>
        <v>57.24</v>
      </c>
      <c r="D77">
        <f>INDEX(Table4[Price],MATCH(TimeLine!A77,Table4[Date],0))</f>
        <v>417.3</v>
      </c>
      <c r="E77">
        <f>INDEX(Table5[Price],MATCH(TimeLine!A77,Table5[Date],0))</f>
        <v>153.81</v>
      </c>
      <c r="F77">
        <f>INDEX(Table6[Price],MATCH(TimeLine!A77,Table6[Date],0))</f>
        <v>15.01</v>
      </c>
      <c r="G77">
        <f>INDEX(PG[PG],MATCH(Table_RawData[[#This Row],[Date]],PG[Date],0))</f>
        <v>133.41999999999999</v>
      </c>
      <c r="H77">
        <f>INDEX(TLT[TLT],MATCH(Table_RawData[[#This Row],[Date]],TLT[Date],0))</f>
        <v>138.63999999999999</v>
      </c>
      <c r="I77">
        <f>INDEX(VGT[VGT],MATCH(Table_RawData[[#This Row],[Date]],VGT[Date],0))</f>
        <v>376.94</v>
      </c>
      <c r="J77">
        <f>INDEX(VNQ[VNQ],MATCH(Table_RawData[[#This Row],[Date]],VNQ[Date],0))</f>
        <v>99.08</v>
      </c>
      <c r="K77">
        <f>INDEX(VXUS[VXUS],MATCH(Table_RawData[[#This Row],[Date]],VXUS[Date],0))</f>
        <v>64.44</v>
      </c>
    </row>
    <row r="78" spans="1:11" x14ac:dyDescent="0.2">
      <c r="A78" s="1">
        <f t="shared" si="1"/>
        <v>44317</v>
      </c>
      <c r="B78">
        <f>INDEX(Table2[Price],MATCH(TimeLine!A78,Table2[Date],0))</f>
        <v>178.38</v>
      </c>
      <c r="C78">
        <f>INDEX(Table3[Price],MATCH(TimeLine!A78,Table3[Date],0))</f>
        <v>58.37</v>
      </c>
      <c r="D78">
        <f>INDEX(Table4[Price],MATCH(TimeLine!A78,Table4[Date],0))</f>
        <v>420.04</v>
      </c>
      <c r="E78">
        <f>INDEX(Table5[Price],MATCH(TimeLine!A78,Table5[Date],0))</f>
        <v>164.24</v>
      </c>
      <c r="F78">
        <f>INDEX(Table6[Price],MATCH(TimeLine!A78,Table6[Date],0))</f>
        <v>16.239999999999998</v>
      </c>
      <c r="G78">
        <f>INDEX(PG[PG],MATCH(Table_RawData[[#This Row],[Date]],PG[Date],0))</f>
        <v>134.85</v>
      </c>
      <c r="H78">
        <f>INDEX(TLT[TLT],MATCH(Table_RawData[[#This Row],[Date]],TLT[Date],0))</f>
        <v>138.44</v>
      </c>
      <c r="I78">
        <f>INDEX(VGT[VGT],MATCH(Table_RawData[[#This Row],[Date]],VGT[Date],0))</f>
        <v>372.28</v>
      </c>
      <c r="J78">
        <f>INDEX(VNQ[VNQ],MATCH(Table_RawData[[#This Row],[Date]],VNQ[Date],0))</f>
        <v>99.88</v>
      </c>
      <c r="K78">
        <f>INDEX(VXUS[VXUS],MATCH(Table_RawData[[#This Row],[Date]],VXUS[Date],0))</f>
        <v>66.42</v>
      </c>
    </row>
    <row r="79" spans="1:11" x14ac:dyDescent="0.2">
      <c r="A79" s="1">
        <f t="shared" si="1"/>
        <v>44348</v>
      </c>
      <c r="B79">
        <f>INDEX(Table2[Price],MATCH(TimeLine!A79,Table2[Date],0))</f>
        <v>165.63</v>
      </c>
      <c r="C79">
        <f>INDEX(Table3[Price],MATCH(TimeLine!A79,Table3[Date],0))</f>
        <v>63.08</v>
      </c>
      <c r="D79">
        <f>INDEX(Table4[Price],MATCH(TimeLine!A79,Table4[Date],0))</f>
        <v>428.06</v>
      </c>
      <c r="E79">
        <f>INDEX(Table5[Price],MATCH(TimeLine!A79,Table5[Date],0))</f>
        <v>155.54</v>
      </c>
      <c r="F79">
        <f>INDEX(Table6[Price],MATCH(TimeLine!A79,Table6[Date],0))</f>
        <v>20</v>
      </c>
      <c r="G79">
        <f>INDEX(PG[PG],MATCH(Table_RawData[[#This Row],[Date]],PG[Date],0))</f>
        <v>134.93</v>
      </c>
      <c r="H79">
        <f>INDEX(TLT[TLT],MATCH(Table_RawData[[#This Row],[Date]],TLT[Date],0))</f>
        <v>144.35</v>
      </c>
      <c r="I79">
        <f>INDEX(VGT[VGT],MATCH(Table_RawData[[#This Row],[Date]],VGT[Date],0))</f>
        <v>398.77</v>
      </c>
      <c r="J79">
        <f>INDEX(VNQ[VNQ],MATCH(Table_RawData[[#This Row],[Date]],VNQ[Date],0))</f>
        <v>101.79</v>
      </c>
      <c r="K79">
        <f>INDEX(VXUS[VXUS],MATCH(Table_RawData[[#This Row],[Date]],VXUS[Date],0))</f>
        <v>65.680000000000007</v>
      </c>
    </row>
    <row r="80" spans="1:11" x14ac:dyDescent="0.2">
      <c r="A80" s="1">
        <f t="shared" si="1"/>
        <v>44378</v>
      </c>
      <c r="B80">
        <f>INDEX(Table2[Price],MATCH(TimeLine!A80,Table2[Date],0))</f>
        <v>169.82</v>
      </c>
      <c r="C80">
        <f>INDEX(Table3[Price],MATCH(TimeLine!A80,Table3[Date],0))</f>
        <v>57.57</v>
      </c>
      <c r="D80">
        <f>INDEX(Table4[Price],MATCH(TimeLine!A80,Table4[Date],0))</f>
        <v>438.51</v>
      </c>
      <c r="E80">
        <f>INDEX(Table5[Price],MATCH(TimeLine!A80,Table5[Date],0))</f>
        <v>151.78</v>
      </c>
      <c r="F80">
        <f>INDEX(Table6[Price],MATCH(TimeLine!A80,Table6[Date],0))</f>
        <v>19.5</v>
      </c>
      <c r="G80">
        <f>INDEX(PG[PG],MATCH(Table_RawData[[#This Row],[Date]],PG[Date],0))</f>
        <v>142.22999999999999</v>
      </c>
      <c r="H80">
        <f>INDEX(TLT[TLT],MATCH(Table_RawData[[#This Row],[Date]],TLT[Date],0))</f>
        <v>149.52000000000001</v>
      </c>
      <c r="I80">
        <f>INDEX(VGT[VGT],MATCH(Table_RawData[[#This Row],[Date]],VGT[Date],0))</f>
        <v>412.21</v>
      </c>
      <c r="J80">
        <f>INDEX(VNQ[VNQ],MATCH(Table_RawData[[#This Row],[Date]],VNQ[Date],0))</f>
        <v>106.29</v>
      </c>
      <c r="K80">
        <f>INDEX(VXUS[VXUS],MATCH(Table_RawData[[#This Row],[Date]],VXUS[Date],0))</f>
        <v>64.94</v>
      </c>
    </row>
    <row r="81" spans="1:11" x14ac:dyDescent="0.2">
      <c r="A81" s="1">
        <f t="shared" si="1"/>
        <v>44409</v>
      </c>
      <c r="B81">
        <f>INDEX(Table2[Price],MATCH(TimeLine!A81,Table2[Date],0))</f>
        <v>169.69</v>
      </c>
      <c r="C81">
        <f>INDEX(Table3[Price],MATCH(TimeLine!A81,Table3[Date],0))</f>
        <v>54.52</v>
      </c>
      <c r="D81">
        <f>INDEX(Table4[Price],MATCH(TimeLine!A81,Table4[Date],0))</f>
        <v>451.56</v>
      </c>
      <c r="E81">
        <f>INDEX(Table5[Price],MATCH(TimeLine!A81,Table5[Date],0))</f>
        <v>159.94999999999999</v>
      </c>
      <c r="F81">
        <f>INDEX(Table6[Price],MATCH(TimeLine!A81,Table6[Date],0))</f>
        <v>22.39</v>
      </c>
      <c r="G81">
        <f>INDEX(PG[PG],MATCH(Table_RawData[[#This Row],[Date]],PG[Date],0))</f>
        <v>142.38999999999999</v>
      </c>
      <c r="H81">
        <f>INDEX(TLT[TLT],MATCH(Table_RawData[[#This Row],[Date]],TLT[Date],0))</f>
        <v>148.83000000000001</v>
      </c>
      <c r="I81">
        <f>INDEX(VGT[VGT],MATCH(Table_RawData[[#This Row],[Date]],VGT[Date],0))</f>
        <v>426.68</v>
      </c>
      <c r="J81">
        <f>INDEX(VNQ[VNQ],MATCH(Table_RawData[[#This Row],[Date]],VNQ[Date],0))</f>
        <v>108.58</v>
      </c>
      <c r="K81">
        <f>INDEX(VXUS[VXUS],MATCH(Table_RawData[[#This Row],[Date]],VXUS[Date],0))</f>
        <v>65.89</v>
      </c>
    </row>
    <row r="82" spans="1:11" x14ac:dyDescent="0.2">
      <c r="A82" s="1">
        <f t="shared" si="1"/>
        <v>44440</v>
      </c>
      <c r="B82">
        <f>INDEX(Table2[Price],MATCH(TimeLine!A82,Table2[Date],0))</f>
        <v>164.22</v>
      </c>
      <c r="C82">
        <f>INDEX(Table3[Price],MATCH(TimeLine!A82,Table3[Date],0))</f>
        <v>58.82</v>
      </c>
      <c r="D82">
        <f>INDEX(Table4[Price],MATCH(TimeLine!A82,Table4[Date],0))</f>
        <v>429.14</v>
      </c>
      <c r="E82">
        <f>INDEX(Table5[Price],MATCH(TimeLine!A82,Table5[Date],0))</f>
        <v>163.69</v>
      </c>
      <c r="F82">
        <f>INDEX(Table6[Price],MATCH(TimeLine!A82,Table6[Date],0))</f>
        <v>20.72</v>
      </c>
      <c r="G82">
        <f>INDEX(PG[PG],MATCH(Table_RawData[[#This Row],[Date]],PG[Date],0))</f>
        <v>139.80000000000001</v>
      </c>
      <c r="H82">
        <f>INDEX(TLT[TLT],MATCH(Table_RawData[[#This Row],[Date]],TLT[Date],0))</f>
        <v>144.32</v>
      </c>
      <c r="I82">
        <f>INDEX(VGT[VGT],MATCH(Table_RawData[[#This Row],[Date]],VGT[Date],0))</f>
        <v>401.29</v>
      </c>
      <c r="J82">
        <f>INDEX(VNQ[VNQ],MATCH(Table_RawData[[#This Row],[Date]],VNQ[Date],0))</f>
        <v>101.78</v>
      </c>
      <c r="K82">
        <f>INDEX(VXUS[VXUS],MATCH(Table_RawData[[#This Row],[Date]],VXUS[Date],0))</f>
        <v>63.26</v>
      </c>
    </row>
    <row r="83" spans="1:11" x14ac:dyDescent="0.2">
      <c r="A83" s="1">
        <f t="shared" si="1"/>
        <v>44470</v>
      </c>
      <c r="B83">
        <f>INDEX(Table2[Price],MATCH(TimeLine!A83,Table2[Date],0))</f>
        <v>166.65</v>
      </c>
      <c r="C83">
        <f>INDEX(Table3[Price],MATCH(TimeLine!A83,Table3[Date],0))</f>
        <v>64.47</v>
      </c>
      <c r="D83">
        <f>INDEX(Table4[Price],MATCH(TimeLine!A83,Table4[Date],0))</f>
        <v>459.25</v>
      </c>
      <c r="E83">
        <f>INDEX(Table5[Price],MATCH(TimeLine!A83,Table5[Date],0))</f>
        <v>169.89</v>
      </c>
      <c r="F83">
        <f>INDEX(Table6[Price],MATCH(TimeLine!A83,Table6[Date],0))</f>
        <v>25.57</v>
      </c>
      <c r="G83">
        <f>INDEX(PG[PG],MATCH(Table_RawData[[#This Row],[Date]],PG[Date],0))</f>
        <v>142.99</v>
      </c>
      <c r="H83">
        <f>INDEX(TLT[TLT],MATCH(Table_RawData[[#This Row],[Date]],TLT[Date],0))</f>
        <v>147.69</v>
      </c>
      <c r="I83">
        <f>INDEX(VGT[VGT],MATCH(Table_RawData[[#This Row],[Date]],VGT[Date],0))</f>
        <v>434.16</v>
      </c>
      <c r="J83">
        <f>INDEX(VNQ[VNQ],MATCH(Table_RawData[[#This Row],[Date]],VNQ[Date],0))</f>
        <v>109.04</v>
      </c>
      <c r="K83">
        <f>INDEX(VXUS[VXUS],MATCH(Table_RawData[[#This Row],[Date]],VXUS[Date],0))</f>
        <v>65.08</v>
      </c>
    </row>
    <row r="84" spans="1:11" x14ac:dyDescent="0.2">
      <c r="A84" s="1">
        <f t="shared" si="1"/>
        <v>44501</v>
      </c>
      <c r="B84">
        <f>INDEX(Table2[Price],MATCH(TimeLine!A84,Table2[Date],0))</f>
        <v>165.5</v>
      </c>
      <c r="C84">
        <f>INDEX(Table3[Price],MATCH(TimeLine!A84,Table3[Date],0))</f>
        <v>59.84</v>
      </c>
      <c r="D84">
        <f>INDEX(Table4[Price],MATCH(TimeLine!A84,Table4[Date],0))</f>
        <v>455.56</v>
      </c>
      <c r="E84">
        <f>INDEX(Table5[Price],MATCH(TimeLine!A84,Table5[Date],0))</f>
        <v>158.83000000000001</v>
      </c>
      <c r="F84">
        <f>INDEX(Table6[Price],MATCH(TimeLine!A84,Table6[Date],0))</f>
        <v>32.68</v>
      </c>
      <c r="G84">
        <f>INDEX(PG[PG],MATCH(Table_RawData[[#This Row],[Date]],PG[Date],0))</f>
        <v>144.58000000000001</v>
      </c>
      <c r="H84">
        <f>INDEX(TLT[TLT],MATCH(Table_RawData[[#This Row],[Date]],TLT[Date],0))</f>
        <v>151.59</v>
      </c>
      <c r="I84">
        <f>INDEX(VGT[VGT],MATCH(Table_RawData[[#This Row],[Date]],VGT[Date],0))</f>
        <v>447.69</v>
      </c>
      <c r="J84">
        <f>INDEX(VNQ[VNQ],MATCH(Table_RawData[[#This Row],[Date]],VNQ[Date],0))</f>
        <v>106.74</v>
      </c>
      <c r="K84">
        <f>INDEX(VXUS[VXUS],MATCH(Table_RawData[[#This Row],[Date]],VXUS[Date],0))</f>
        <v>62.31</v>
      </c>
    </row>
    <row r="85" spans="1:11" x14ac:dyDescent="0.2">
      <c r="A85" s="1">
        <f t="shared" si="1"/>
        <v>44531</v>
      </c>
      <c r="B85">
        <f>INDEX(Table2[Price],MATCH(TimeLine!A85,Table2[Date],0))</f>
        <v>170.96</v>
      </c>
      <c r="C85">
        <f>INDEX(Table3[Price],MATCH(TimeLine!A85,Table3[Date],0))</f>
        <v>61.19</v>
      </c>
      <c r="D85">
        <f>INDEX(Table4[Price],MATCH(TimeLine!A85,Table4[Date],0))</f>
        <v>474.96</v>
      </c>
      <c r="E85">
        <f>INDEX(Table5[Price],MATCH(TimeLine!A85,Table5[Date],0))</f>
        <v>158.35</v>
      </c>
      <c r="F85">
        <f>INDEX(Table6[Price],MATCH(TimeLine!A85,Table6[Date],0))</f>
        <v>29.41</v>
      </c>
      <c r="G85">
        <f>INDEX(PG[PG],MATCH(Table_RawData[[#This Row],[Date]],PG[Date],0))</f>
        <v>163.58000000000001</v>
      </c>
      <c r="H85">
        <f>INDEX(TLT[TLT],MATCH(Table_RawData[[#This Row],[Date]],TLT[Date],0))</f>
        <v>148.19</v>
      </c>
      <c r="I85">
        <f>INDEX(VGT[VGT],MATCH(Table_RawData[[#This Row],[Date]],VGT[Date],0))</f>
        <v>458.17</v>
      </c>
      <c r="J85">
        <f>INDEX(VNQ[VNQ],MATCH(Table_RawData[[#This Row],[Date]],VNQ[Date],0))</f>
        <v>116.01</v>
      </c>
      <c r="K85">
        <f>INDEX(VXUS[VXUS],MATCH(Table_RawData[[#This Row],[Date]],VXUS[Date],0))</f>
        <v>63.57</v>
      </c>
    </row>
    <row r="86" spans="1:11" x14ac:dyDescent="0.2">
      <c r="A86" s="1">
        <f t="shared" si="1"/>
        <v>44562</v>
      </c>
      <c r="B86">
        <f>INDEX(Table2[Price],MATCH(TimeLine!A86,Table2[Date],0))</f>
        <v>168.09</v>
      </c>
      <c r="C86">
        <f>INDEX(Table3[Price],MATCH(TimeLine!A86,Table3[Date],0))</f>
        <v>75.959999999999994</v>
      </c>
      <c r="D86">
        <f>INDEX(Table4[Price],MATCH(TimeLine!A86,Table4[Date],0))</f>
        <v>449.91</v>
      </c>
      <c r="E86">
        <f>INDEX(Table5[Price],MATCH(TimeLine!A86,Table5[Date],0))</f>
        <v>148.6</v>
      </c>
      <c r="F86">
        <f>INDEX(Table6[Price],MATCH(TimeLine!A86,Table6[Date],0))</f>
        <v>24.49</v>
      </c>
      <c r="G86">
        <f>INDEX(PG[PG],MATCH(Table_RawData[[#This Row],[Date]],PG[Date],0))</f>
        <v>160.44999999999999</v>
      </c>
      <c r="H86">
        <f>INDEX(TLT[TLT],MATCH(Table_RawData[[#This Row],[Date]],TLT[Date],0))</f>
        <v>142.38999999999999</v>
      </c>
      <c r="I86">
        <f>INDEX(VGT[VGT],MATCH(Table_RawData[[#This Row],[Date]],VGT[Date],0))</f>
        <v>422.26</v>
      </c>
      <c r="J86">
        <f>INDEX(VNQ[VNQ],MATCH(Table_RawData[[#This Row],[Date]],VNQ[Date],0))</f>
        <v>106.24</v>
      </c>
      <c r="K86">
        <f>INDEX(VXUS[VXUS],MATCH(Table_RawData[[#This Row],[Date]],VXUS[Date],0))</f>
        <v>61.77</v>
      </c>
    </row>
    <row r="87" spans="1:11" x14ac:dyDescent="0.2">
      <c r="A87" s="1">
        <f t="shared" si="1"/>
        <v>44593</v>
      </c>
      <c r="B87">
        <f>INDEX(Table2[Price],MATCH(TimeLine!A87,Table2[Date],0))</f>
        <v>178.38</v>
      </c>
      <c r="C87">
        <f>INDEX(Table3[Price],MATCH(TimeLine!A87,Table3[Date],0))</f>
        <v>78.42</v>
      </c>
      <c r="D87">
        <f>INDEX(Table4[Price],MATCH(TimeLine!A87,Table4[Date],0))</f>
        <v>436.63</v>
      </c>
      <c r="E87">
        <f>INDEX(Table5[Price],MATCH(TimeLine!A87,Table5[Date],0))</f>
        <v>141.80000000000001</v>
      </c>
      <c r="F87">
        <f>INDEX(Table6[Price],MATCH(TimeLine!A87,Table6[Date],0))</f>
        <v>24.39</v>
      </c>
      <c r="G87">
        <f>INDEX(PG[PG],MATCH(Table_RawData[[#This Row],[Date]],PG[Date],0))</f>
        <v>155.88999999999999</v>
      </c>
      <c r="H87">
        <f>INDEX(TLT[TLT],MATCH(Table_RawData[[#This Row],[Date]],TLT[Date],0))</f>
        <v>139.87</v>
      </c>
      <c r="I87">
        <f>INDEX(VGT[VGT],MATCH(Table_RawData[[#This Row],[Date]],VGT[Date],0))</f>
        <v>403.91</v>
      </c>
      <c r="J87">
        <f>INDEX(VNQ[VNQ],MATCH(Table_RawData[[#This Row],[Date]],VNQ[Date],0))</f>
        <v>102.54</v>
      </c>
      <c r="K87">
        <f>INDEX(VXUS[VXUS],MATCH(Table_RawData[[#This Row],[Date]],VXUS[Date],0))</f>
        <v>60.01</v>
      </c>
    </row>
    <row r="88" spans="1:11" x14ac:dyDescent="0.2">
      <c r="A88" s="1">
        <f t="shared" si="1"/>
        <v>44621</v>
      </c>
      <c r="B88">
        <f>INDEX(Table2[Price],MATCH(TimeLine!A88,Table2[Date],0))</f>
        <v>180.65</v>
      </c>
      <c r="C88">
        <f>INDEX(Table3[Price],MATCH(TimeLine!A88,Table3[Date],0))</f>
        <v>82.59</v>
      </c>
      <c r="D88">
        <f>INDEX(Table4[Price],MATCH(TimeLine!A88,Table4[Date],0))</f>
        <v>451.64</v>
      </c>
      <c r="E88">
        <f>INDEX(Table5[Price],MATCH(TimeLine!A88,Table5[Date],0))</f>
        <v>136.32</v>
      </c>
      <c r="F88">
        <f>INDEX(Table6[Price],MATCH(TimeLine!A88,Table6[Date],0))</f>
        <v>27.29</v>
      </c>
      <c r="G88">
        <f>INDEX(PG[PG],MATCH(Table_RawData[[#This Row],[Date]],PG[Date],0))</f>
        <v>152.80000000000001</v>
      </c>
      <c r="H88">
        <f>INDEX(TLT[TLT],MATCH(Table_RawData[[#This Row],[Date]],TLT[Date],0))</f>
        <v>132.08000000000001</v>
      </c>
      <c r="I88">
        <f>INDEX(VGT[VGT],MATCH(Table_RawData[[#This Row],[Date]],VGT[Date],0))</f>
        <v>416.48</v>
      </c>
      <c r="J88">
        <f>INDEX(VNQ[VNQ],MATCH(Table_RawData[[#This Row],[Date]],VNQ[Date],0))</f>
        <v>108.37</v>
      </c>
      <c r="K88">
        <f>INDEX(VXUS[VXUS],MATCH(Table_RawData[[#This Row],[Date]],VXUS[Date],0))</f>
        <v>59.74</v>
      </c>
    </row>
    <row r="89" spans="1:11" x14ac:dyDescent="0.2">
      <c r="A89" s="1">
        <f t="shared" si="1"/>
        <v>44652</v>
      </c>
      <c r="B89">
        <f>INDEX(Table2[Price],MATCH(TimeLine!A89,Table2[Date],0))</f>
        <v>176.91</v>
      </c>
      <c r="C89">
        <f>INDEX(Table3[Price],MATCH(TimeLine!A89,Table3[Date],0))</f>
        <v>85.25</v>
      </c>
      <c r="D89">
        <f>INDEX(Table4[Price],MATCH(TimeLine!A89,Table4[Date],0))</f>
        <v>412</v>
      </c>
      <c r="E89">
        <f>INDEX(Table5[Price],MATCH(TimeLine!A89,Table5[Date],0))</f>
        <v>119.36</v>
      </c>
      <c r="F89">
        <f>INDEX(Table6[Price],MATCH(TimeLine!A89,Table6[Date],0))</f>
        <v>18.55</v>
      </c>
      <c r="G89">
        <f>INDEX(PG[PG],MATCH(Table_RawData[[#This Row],[Date]],PG[Date],0))</f>
        <v>160.55000000000001</v>
      </c>
      <c r="H89">
        <f>INDEX(TLT[TLT],MATCH(Table_RawData[[#This Row],[Date]],TLT[Date],0))</f>
        <v>119.45</v>
      </c>
      <c r="I89">
        <f>INDEX(VGT[VGT],MATCH(Table_RawData[[#This Row],[Date]],VGT[Date],0))</f>
        <v>367.2</v>
      </c>
      <c r="J89">
        <f>INDEX(VNQ[VNQ],MATCH(Table_RawData[[#This Row],[Date]],VNQ[Date],0))</f>
        <v>103.94</v>
      </c>
      <c r="K89">
        <f>INDEX(VXUS[VXUS],MATCH(Table_RawData[[#This Row],[Date]],VXUS[Date],0))</f>
        <v>55.86</v>
      </c>
    </row>
    <row r="90" spans="1:11" x14ac:dyDescent="0.2">
      <c r="A90" s="1">
        <f t="shared" si="1"/>
        <v>44682</v>
      </c>
      <c r="B90">
        <f>INDEX(Table2[Price],MATCH(TimeLine!A90,Table2[Date],0))</f>
        <v>171.14</v>
      </c>
      <c r="C90">
        <f>INDEX(Table3[Price],MATCH(TimeLine!A90,Table3[Date],0))</f>
        <v>96</v>
      </c>
      <c r="D90">
        <f>INDEX(Table4[Price],MATCH(TimeLine!A90,Table4[Date],0))</f>
        <v>412.93</v>
      </c>
      <c r="E90">
        <f>INDEX(Table5[Price],MATCH(TimeLine!A90,Table5[Date],0))</f>
        <v>132.22999999999999</v>
      </c>
      <c r="F90">
        <f>INDEX(Table6[Price],MATCH(TimeLine!A90,Table6[Date],0))</f>
        <v>18.670000000000002</v>
      </c>
      <c r="G90">
        <f>INDEX(PG[PG],MATCH(Table_RawData[[#This Row],[Date]],PG[Date],0))</f>
        <v>147.88</v>
      </c>
      <c r="H90">
        <f>INDEX(TLT[TLT],MATCH(Table_RawData[[#This Row],[Date]],TLT[Date],0))</f>
        <v>116.56</v>
      </c>
      <c r="I90">
        <f>INDEX(VGT[VGT],MATCH(Table_RawData[[#This Row],[Date]],VGT[Date],0))</f>
        <v>361.1</v>
      </c>
      <c r="J90">
        <f>INDEX(VNQ[VNQ],MATCH(Table_RawData[[#This Row],[Date]],VNQ[Date],0))</f>
        <v>99.07</v>
      </c>
      <c r="K90">
        <f>INDEX(VXUS[VXUS],MATCH(Table_RawData[[#This Row],[Date]],VXUS[Date],0))</f>
        <v>56.71</v>
      </c>
    </row>
    <row r="91" spans="1:11" x14ac:dyDescent="0.2">
      <c r="A91" s="1">
        <f t="shared" si="1"/>
        <v>44713</v>
      </c>
      <c r="B91">
        <f>INDEX(Table2[Price],MATCH(TimeLine!A91,Table2[Date],0))</f>
        <v>168.46</v>
      </c>
      <c r="C91">
        <f>INDEX(Table3[Price],MATCH(TimeLine!A91,Table3[Date],0))</f>
        <v>85.64</v>
      </c>
      <c r="D91">
        <f>INDEX(Table4[Price],MATCH(TimeLine!A91,Table4[Date],0))</f>
        <v>377.25</v>
      </c>
      <c r="E91">
        <f>INDEX(Table5[Price],MATCH(TimeLine!A91,Table5[Date],0))</f>
        <v>112.61</v>
      </c>
      <c r="F91">
        <f>INDEX(Table6[Price],MATCH(TimeLine!A91,Table6[Date],0))</f>
        <v>15.16</v>
      </c>
      <c r="G91">
        <f>INDEX(PG[PG],MATCH(Table_RawData[[#This Row],[Date]],PG[Date],0))</f>
        <v>143.79</v>
      </c>
      <c r="H91">
        <f>INDEX(TLT[TLT],MATCH(Table_RawData[[#This Row],[Date]],TLT[Date],0))</f>
        <v>114.87</v>
      </c>
      <c r="I91">
        <f>INDEX(VGT[VGT],MATCH(Table_RawData[[#This Row],[Date]],VGT[Date],0))</f>
        <v>326.55</v>
      </c>
      <c r="J91">
        <f>INDEX(VNQ[VNQ],MATCH(Table_RawData[[#This Row],[Date]],VNQ[Date],0))</f>
        <v>91.11</v>
      </c>
      <c r="K91">
        <f>INDEX(VXUS[VXUS],MATCH(Table_RawData[[#This Row],[Date]],VXUS[Date],0))</f>
        <v>51.61</v>
      </c>
    </row>
    <row r="92" spans="1:11" x14ac:dyDescent="0.2">
      <c r="A92" s="1">
        <f t="shared" si="1"/>
        <v>44743</v>
      </c>
      <c r="B92">
        <f>INDEX(Table2[Price],MATCH(TimeLine!A92,Table2[Date],0))</f>
        <v>164.1</v>
      </c>
      <c r="C92">
        <f>INDEX(Table3[Price],MATCH(TimeLine!A92,Table3[Date],0))</f>
        <v>96.93</v>
      </c>
      <c r="D92">
        <f>INDEX(Table4[Price],MATCH(TimeLine!A92,Table4[Date],0))</f>
        <v>411.99</v>
      </c>
      <c r="E92">
        <f>INDEX(Table5[Price],MATCH(TimeLine!A92,Table5[Date],0))</f>
        <v>115.36</v>
      </c>
      <c r="F92">
        <f>INDEX(Table6[Price],MATCH(TimeLine!A92,Table6[Date],0))</f>
        <v>18.16</v>
      </c>
      <c r="G92">
        <f>INDEX(PG[PG],MATCH(Table_RawData[[#This Row],[Date]],PG[Date],0))</f>
        <v>138.91</v>
      </c>
      <c r="H92">
        <f>INDEX(TLT[TLT],MATCH(Table_RawData[[#This Row],[Date]],TLT[Date],0))</f>
        <v>117.43</v>
      </c>
      <c r="I92">
        <f>INDEX(VGT[VGT],MATCH(Table_RawData[[#This Row],[Date]],VGT[Date],0))</f>
        <v>370.2</v>
      </c>
      <c r="J92">
        <f>INDEX(VNQ[VNQ],MATCH(Table_RawData[[#This Row],[Date]],VNQ[Date],0))</f>
        <v>98.96</v>
      </c>
      <c r="K92">
        <f>INDEX(VXUS[VXUS],MATCH(Table_RawData[[#This Row],[Date]],VXUS[Date],0))</f>
        <v>53.49</v>
      </c>
    </row>
    <row r="93" spans="1:11" x14ac:dyDescent="0.2">
      <c r="A93" s="1">
        <f t="shared" si="1"/>
        <v>44774</v>
      </c>
      <c r="B93">
        <f>INDEX(Table2[Price],MATCH(TimeLine!A93,Table2[Date],0))</f>
        <v>159.27000000000001</v>
      </c>
      <c r="C93">
        <f>INDEX(Table3[Price],MATCH(TimeLine!A93,Table3[Date],0))</f>
        <v>95.59</v>
      </c>
      <c r="D93">
        <f>INDEX(Table4[Price],MATCH(TimeLine!A93,Table4[Date],0))</f>
        <v>395.18</v>
      </c>
      <c r="E93">
        <f>INDEX(Table5[Price],MATCH(TimeLine!A93,Table5[Date],0))</f>
        <v>113.73</v>
      </c>
      <c r="F93">
        <f>INDEX(Table6[Price],MATCH(TimeLine!A93,Table6[Date],0))</f>
        <v>15.09</v>
      </c>
      <c r="G93">
        <f>INDEX(PG[PG],MATCH(Table_RawData[[#This Row],[Date]],PG[Date],0))</f>
        <v>137.94</v>
      </c>
      <c r="H93">
        <f>INDEX(TLT[TLT],MATCH(Table_RawData[[#This Row],[Date]],TLT[Date],0))</f>
        <v>111.88</v>
      </c>
      <c r="I93">
        <f>INDEX(VGT[VGT],MATCH(Table_RawData[[#This Row],[Date]],VGT[Date],0))</f>
        <v>349.28</v>
      </c>
      <c r="J93">
        <f>INDEX(VNQ[VNQ],MATCH(Table_RawData[[#This Row],[Date]],VNQ[Date],0))</f>
        <v>93.01</v>
      </c>
      <c r="K93">
        <f>INDEX(VXUS[VXUS],MATCH(Table_RawData[[#This Row],[Date]],VXUS[Date],0))</f>
        <v>51.09</v>
      </c>
    </row>
    <row r="94" spans="1:11" x14ac:dyDescent="0.2">
      <c r="A94" s="1">
        <f t="shared" si="1"/>
        <v>44805</v>
      </c>
      <c r="B94">
        <f>INDEX(Table2[Price],MATCH(TimeLine!A94,Table2[Date],0))</f>
        <v>154.66999999999999</v>
      </c>
      <c r="C94">
        <f>INDEX(Table3[Price],MATCH(TimeLine!A94,Table3[Date],0))</f>
        <v>87.31</v>
      </c>
      <c r="D94">
        <f>INDEX(Table4[Price],MATCH(TimeLine!A94,Table4[Date],0))</f>
        <v>357.18</v>
      </c>
      <c r="E94">
        <f>INDEX(Table5[Price],MATCH(TimeLine!A94,Table5[Date],0))</f>
        <v>104.5</v>
      </c>
      <c r="F94">
        <f>INDEX(Table6[Price],MATCH(TimeLine!A94,Table6[Date],0))</f>
        <v>12.14</v>
      </c>
      <c r="G94">
        <f>INDEX(PG[PG],MATCH(Table_RawData[[#This Row],[Date]],PG[Date],0))</f>
        <v>126.25</v>
      </c>
      <c r="H94">
        <f>INDEX(TLT[TLT],MATCH(Table_RawData[[#This Row],[Date]],TLT[Date],0))</f>
        <v>102.45</v>
      </c>
      <c r="I94">
        <f>INDEX(VGT[VGT],MATCH(Table_RawData[[#This Row],[Date]],VGT[Date],0))</f>
        <v>307.37</v>
      </c>
      <c r="J94">
        <f>INDEX(VNQ[VNQ],MATCH(Table_RawData[[#This Row],[Date]],VNQ[Date],0))</f>
        <v>80.17</v>
      </c>
      <c r="K94">
        <f>INDEX(VXUS[VXUS],MATCH(Table_RawData[[#This Row],[Date]],VXUS[Date],0))</f>
        <v>45.77</v>
      </c>
    </row>
    <row r="95" spans="1:11" x14ac:dyDescent="0.2">
      <c r="A95" s="1">
        <f t="shared" si="1"/>
        <v>44835</v>
      </c>
      <c r="B95">
        <f>INDEX(Table2[Price],MATCH(TimeLine!A95,Table2[Date],0))</f>
        <v>151.91</v>
      </c>
      <c r="C95">
        <f>INDEX(Table3[Price],MATCH(TimeLine!A95,Table3[Date],0))</f>
        <v>110.81</v>
      </c>
      <c r="D95">
        <f>INDEX(Table4[Price],MATCH(TimeLine!A95,Table4[Date],0))</f>
        <v>386.21</v>
      </c>
      <c r="E95">
        <f>INDEX(Table5[Price],MATCH(TimeLine!A95,Table5[Date],0))</f>
        <v>125.88</v>
      </c>
      <c r="F95">
        <f>INDEX(Table6[Price],MATCH(TimeLine!A95,Table6[Date],0))</f>
        <v>13.5</v>
      </c>
      <c r="G95">
        <f>INDEX(PG[PG],MATCH(Table_RawData[[#This Row],[Date]],PG[Date],0))</f>
        <v>134.66999999999999</v>
      </c>
      <c r="H95">
        <f>INDEX(TLT[TLT],MATCH(Table_RawData[[#This Row],[Date]],TLT[Date],0))</f>
        <v>96.11</v>
      </c>
      <c r="I95">
        <f>INDEX(VGT[VGT],MATCH(Table_RawData[[#This Row],[Date]],VGT[Date],0))</f>
        <v>330.2</v>
      </c>
      <c r="J95">
        <f>INDEX(VNQ[VNQ],MATCH(Table_RawData[[#This Row],[Date]],VNQ[Date],0))</f>
        <v>82.98</v>
      </c>
      <c r="K95">
        <f>INDEX(VXUS[VXUS],MATCH(Table_RawData[[#This Row],[Date]],VXUS[Date],0))</f>
        <v>47.33</v>
      </c>
    </row>
    <row r="96" spans="1:11" x14ac:dyDescent="0.2">
      <c r="A96" s="1">
        <f t="shared" si="1"/>
        <v>44866</v>
      </c>
      <c r="B96">
        <f>INDEX(Table2[Price],MATCH(TimeLine!A96,Table2[Date],0))</f>
        <v>164.81</v>
      </c>
      <c r="C96">
        <f>INDEX(Table3[Price],MATCH(TimeLine!A96,Table3[Date],0))</f>
        <v>111.34</v>
      </c>
      <c r="D96">
        <f>INDEX(Table4[Price],MATCH(TimeLine!A96,Table4[Date],0))</f>
        <v>407.68</v>
      </c>
      <c r="E96">
        <f>INDEX(Table5[Price],MATCH(TimeLine!A96,Table5[Date],0))</f>
        <v>138.18</v>
      </c>
      <c r="F96">
        <f>INDEX(Table6[Price],MATCH(TimeLine!A96,Table6[Date],0))</f>
        <v>16.920000000000002</v>
      </c>
      <c r="G96">
        <f>INDEX(PG[PG],MATCH(Table_RawData[[#This Row],[Date]],PG[Date],0))</f>
        <v>149.16</v>
      </c>
      <c r="H96">
        <f>INDEX(TLT[TLT],MATCH(Table_RawData[[#This Row],[Date]],TLT[Date],0))</f>
        <v>102.73</v>
      </c>
      <c r="I96">
        <f>INDEX(VGT[VGT],MATCH(Table_RawData[[#This Row],[Date]],VGT[Date],0))</f>
        <v>347.94</v>
      </c>
      <c r="J96">
        <f>INDEX(VNQ[VNQ],MATCH(Table_RawData[[#This Row],[Date]],VNQ[Date],0))</f>
        <v>88.08</v>
      </c>
      <c r="K96">
        <f>INDEX(VXUS[VXUS],MATCH(Table_RawData[[#This Row],[Date]],VXUS[Date],0))</f>
        <v>53.5</v>
      </c>
    </row>
    <row r="97" spans="1:11" x14ac:dyDescent="0.2">
      <c r="A97" s="1">
        <f t="shared" si="1"/>
        <v>44896</v>
      </c>
      <c r="B97">
        <f>INDEX(Table2[Price],MATCH(TimeLine!A97,Table2[Date],0))</f>
        <v>169.64</v>
      </c>
      <c r="C97">
        <f>INDEX(Table3[Price],MATCH(TimeLine!A97,Table3[Date],0))</f>
        <v>110.3</v>
      </c>
      <c r="D97">
        <f>INDEX(Table4[Price],MATCH(TimeLine!A97,Table4[Date],0))</f>
        <v>382.43</v>
      </c>
      <c r="E97">
        <f>INDEX(Table5[Price],MATCH(TimeLine!A97,Table5[Date],0))</f>
        <v>134.1</v>
      </c>
      <c r="F97">
        <f>INDEX(Table6[Price],MATCH(TimeLine!A97,Table6[Date],0))</f>
        <v>14.61</v>
      </c>
      <c r="G97">
        <f>INDEX(PG[PG],MATCH(Table_RawData[[#This Row],[Date]],PG[Date],0))</f>
        <v>151.56</v>
      </c>
      <c r="H97">
        <f>INDEX(TLT[TLT],MATCH(Table_RawData[[#This Row],[Date]],TLT[Date],0))</f>
        <v>99.56</v>
      </c>
      <c r="I97">
        <f>INDEX(VGT[VGT],MATCH(Table_RawData[[#This Row],[Date]],VGT[Date],0))</f>
        <v>319.41000000000003</v>
      </c>
      <c r="J97">
        <f>INDEX(VNQ[VNQ],MATCH(Table_RawData[[#This Row],[Date]],VNQ[Date],0))</f>
        <v>82.48</v>
      </c>
      <c r="K97">
        <f>INDEX(VXUS[VXUS],MATCH(Table_RawData[[#This Row],[Date]],VXUS[Date],0))</f>
        <v>51.72</v>
      </c>
    </row>
    <row r="98" spans="1:11" x14ac:dyDescent="0.2">
      <c r="A98" s="1">
        <f t="shared" si="1"/>
        <v>44927</v>
      </c>
      <c r="B98">
        <f>INDEX(Table2[Price],MATCH(TimeLine!A98,Table2[Date],0))</f>
        <v>179.41</v>
      </c>
      <c r="C98">
        <f>INDEX(Table3[Price],MATCH(TimeLine!A98,Table3[Date],0))</f>
        <v>116.01</v>
      </c>
      <c r="D98">
        <f>INDEX(Table4[Price],MATCH(TimeLine!A98,Table4[Date],0))</f>
        <v>406.48</v>
      </c>
      <c r="E98">
        <f>INDEX(Table5[Price],MATCH(TimeLine!A98,Table5[Date],0))</f>
        <v>139.96</v>
      </c>
      <c r="F98">
        <f>INDEX(Table6[Price],MATCH(TimeLine!A98,Table6[Date],0))</f>
        <v>19.54</v>
      </c>
      <c r="G98">
        <f>INDEX(PG[PG],MATCH(Table_RawData[[#This Row],[Date]],PG[Date],0))</f>
        <v>142.38</v>
      </c>
      <c r="H98">
        <f>INDEX(TLT[TLT],MATCH(Table_RawData[[#This Row],[Date]],TLT[Date],0))</f>
        <v>107.17</v>
      </c>
      <c r="I98">
        <f>INDEX(VGT[VGT],MATCH(Table_RawData[[#This Row],[Date]],VGT[Date],0))</f>
        <v>350.38</v>
      </c>
      <c r="J98">
        <f>INDEX(VNQ[VNQ],MATCH(Table_RawData[[#This Row],[Date]],VNQ[Date],0))</f>
        <v>91.06</v>
      </c>
      <c r="K98">
        <f>INDEX(VXUS[VXUS],MATCH(Table_RawData[[#This Row],[Date]],VXUS[Date],0))</f>
        <v>56.21</v>
      </c>
    </row>
    <row r="99" spans="1:11" x14ac:dyDescent="0.2">
      <c r="A99" s="1">
        <f t="shared" si="1"/>
        <v>44958</v>
      </c>
      <c r="B99">
        <f>INDEX(Table2[Price],MATCH(TimeLine!A99,Table2[Date],0))</f>
        <v>169.78</v>
      </c>
      <c r="C99">
        <f>INDEX(Table3[Price],MATCH(TimeLine!A99,Table3[Date],0))</f>
        <v>109.91</v>
      </c>
      <c r="D99">
        <f>INDEX(Table4[Price],MATCH(TimeLine!A99,Table4[Date],0))</f>
        <v>396.26</v>
      </c>
      <c r="E99">
        <f>INDEX(Table5[Price],MATCH(TimeLine!A99,Table5[Date],0))</f>
        <v>143.35</v>
      </c>
      <c r="F99">
        <f>INDEX(Table6[Price],MATCH(TimeLine!A99,Table6[Date],0))</f>
        <v>23.22</v>
      </c>
      <c r="G99">
        <f>INDEX(PG[PG],MATCH(Table_RawData[[#This Row],[Date]],PG[Date],0))</f>
        <v>137.56</v>
      </c>
      <c r="H99">
        <f>INDEX(TLT[TLT],MATCH(Table_RawData[[#This Row],[Date]],TLT[Date],0))</f>
        <v>101.71</v>
      </c>
      <c r="I99">
        <f>INDEX(VGT[VGT],MATCH(Table_RawData[[#This Row],[Date]],VGT[Date],0))</f>
        <v>352.12</v>
      </c>
      <c r="J99">
        <f>INDEX(VNQ[VNQ],MATCH(Table_RawData[[#This Row],[Date]],VNQ[Date],0))</f>
        <v>85.72</v>
      </c>
      <c r="K99">
        <f>INDEX(VXUS[VXUS],MATCH(Table_RawData[[#This Row],[Date]],VXUS[Date],0))</f>
        <v>53.81</v>
      </c>
    </row>
    <row r="100" spans="1:11" x14ac:dyDescent="0.2">
      <c r="A100" s="1">
        <f t="shared" si="1"/>
        <v>44986</v>
      </c>
      <c r="B100">
        <f>INDEX(Table2[Price],MATCH(TimeLine!A100,Table2[Date],0))</f>
        <v>183.22</v>
      </c>
      <c r="C100">
        <f>INDEX(Table3[Price],MATCH(TimeLine!A100,Table3[Date],0))</f>
        <v>109.66</v>
      </c>
      <c r="D100">
        <f>INDEX(Table4[Price],MATCH(TimeLine!A100,Table4[Date],0))</f>
        <v>409.39</v>
      </c>
      <c r="E100">
        <f>INDEX(Table5[Price],MATCH(TimeLine!A100,Table5[Date],0))</f>
        <v>130.31</v>
      </c>
      <c r="F100">
        <f>INDEX(Table6[Price],MATCH(TimeLine!A100,Table6[Date],0))</f>
        <v>27.78</v>
      </c>
      <c r="G100">
        <f>INDEX(PG[PG],MATCH(Table_RawData[[#This Row],[Date]],PG[Date],0))</f>
        <v>148.69</v>
      </c>
      <c r="H100">
        <f>INDEX(TLT[TLT],MATCH(Table_RawData[[#This Row],[Date]],TLT[Date],0))</f>
        <v>106.37</v>
      </c>
      <c r="I100">
        <f>INDEX(VGT[VGT],MATCH(Table_RawData[[#This Row],[Date]],VGT[Date],0))</f>
        <v>385.47</v>
      </c>
      <c r="J100">
        <f>INDEX(VNQ[VNQ],MATCH(Table_RawData[[#This Row],[Date]],VNQ[Date],0))</f>
        <v>83.04</v>
      </c>
      <c r="K100">
        <f>INDEX(VXUS[VXUS],MATCH(Table_RawData[[#This Row],[Date]],VXUS[Date],0))</f>
        <v>55.21</v>
      </c>
    </row>
    <row r="101" spans="1:11" x14ac:dyDescent="0.2">
      <c r="A101" s="1">
        <f t="shared" si="1"/>
        <v>45017</v>
      </c>
      <c r="B101">
        <f>INDEX(Table2[Price],MATCH(TimeLine!A101,Table2[Date],0))</f>
        <v>184.8</v>
      </c>
      <c r="C101">
        <f>INDEX(Table3[Price],MATCH(TimeLine!A101,Table3[Date],0))</f>
        <v>118.34</v>
      </c>
      <c r="D101">
        <f>INDEX(Table4[Price],MATCH(TimeLine!A101,Table4[Date],0))</f>
        <v>415.93</v>
      </c>
      <c r="E101">
        <f>INDEX(Table5[Price],MATCH(TimeLine!A101,Table5[Date],0))</f>
        <v>138.24</v>
      </c>
      <c r="F101">
        <f>INDEX(Table6[Price],MATCH(TimeLine!A101,Table6[Date],0))</f>
        <v>27.75</v>
      </c>
      <c r="G101">
        <f>INDEX(PG[PG],MATCH(Table_RawData[[#This Row],[Date]],PG[Date],0))</f>
        <v>156.38</v>
      </c>
      <c r="H101">
        <f>INDEX(TLT[TLT],MATCH(Table_RawData[[#This Row],[Date]],TLT[Date],0))</f>
        <v>106.46</v>
      </c>
      <c r="I101">
        <f>INDEX(VGT[VGT],MATCH(Table_RawData[[#This Row],[Date]],VGT[Date],0))</f>
        <v>384.36</v>
      </c>
      <c r="J101">
        <f>INDEX(VNQ[VNQ],MATCH(Table_RawData[[#This Row],[Date]],VNQ[Date],0))</f>
        <v>83.3</v>
      </c>
      <c r="K101">
        <f>INDEX(VXUS[VXUS],MATCH(Table_RawData[[#This Row],[Date]],VXUS[Date],0))</f>
        <v>56.25</v>
      </c>
    </row>
    <row r="102" spans="1:11" x14ac:dyDescent="0.2">
      <c r="A102" s="1">
        <f t="shared" si="1"/>
        <v>45047</v>
      </c>
      <c r="B102">
        <f>INDEX(Table2[Price],MATCH(TimeLine!A102,Table2[Date],0))</f>
        <v>182.32</v>
      </c>
      <c r="C102">
        <f>INDEX(Table3[Price],MATCH(TimeLine!A102,Table3[Date],0))</f>
        <v>102.18</v>
      </c>
      <c r="D102">
        <f>INDEX(Table4[Price],MATCH(TimeLine!A102,Table4[Date],0))</f>
        <v>417.85</v>
      </c>
      <c r="E102">
        <f>INDEX(Table5[Price],MATCH(TimeLine!A102,Table5[Date],0))</f>
        <v>135.71</v>
      </c>
      <c r="F102">
        <f>INDEX(Table6[Price],MATCH(TimeLine!A102,Table6[Date],0))</f>
        <v>37.83</v>
      </c>
      <c r="G102">
        <f>INDEX(PG[PG],MATCH(Table_RawData[[#This Row],[Date]],PG[Date],0))</f>
        <v>142.5</v>
      </c>
      <c r="H102">
        <f>INDEX(TLT[TLT],MATCH(Table_RawData[[#This Row],[Date]],TLT[Date],0))</f>
        <v>102.99</v>
      </c>
      <c r="I102">
        <f>INDEX(VGT[VGT],MATCH(Table_RawData[[#This Row],[Date]],VGT[Date],0))</f>
        <v>416.88</v>
      </c>
      <c r="J102">
        <f>INDEX(VNQ[VNQ],MATCH(Table_RawData[[#This Row],[Date]],VNQ[Date],0))</f>
        <v>80</v>
      </c>
      <c r="K102">
        <f>INDEX(VXUS[VXUS],MATCH(Table_RawData[[#This Row],[Date]],VXUS[Date],0))</f>
        <v>54.28</v>
      </c>
    </row>
    <row r="103" spans="1:11" x14ac:dyDescent="0.2">
      <c r="A103" s="1">
        <f t="shared" si="1"/>
        <v>45078</v>
      </c>
      <c r="B103">
        <f>INDEX(Table2[Price],MATCH(TimeLine!A103,Table2[Date],0))</f>
        <v>178.27</v>
      </c>
      <c r="C103">
        <f>INDEX(Table3[Price],MATCH(TimeLine!A103,Table3[Date],0))</f>
        <v>107.25</v>
      </c>
      <c r="D103">
        <f>INDEX(Table4[Price],MATCH(TimeLine!A103,Table4[Date],0))</f>
        <v>443.28</v>
      </c>
      <c r="E103">
        <f>INDEX(Table5[Price],MATCH(TimeLine!A103,Table5[Date],0))</f>
        <v>145.44</v>
      </c>
      <c r="F103">
        <f>INDEX(Table6[Price],MATCH(TimeLine!A103,Table6[Date],0))</f>
        <v>42.3</v>
      </c>
      <c r="G103">
        <f>INDEX(PG[PG],MATCH(Table_RawData[[#This Row],[Date]],PG[Date],0))</f>
        <v>151.74</v>
      </c>
      <c r="H103">
        <f>INDEX(TLT[TLT],MATCH(Table_RawData[[#This Row],[Date]],TLT[Date],0))</f>
        <v>102.94</v>
      </c>
      <c r="I103">
        <f>INDEX(VGT[VGT],MATCH(Table_RawData[[#This Row],[Date]],VGT[Date],0))</f>
        <v>442.16</v>
      </c>
      <c r="J103">
        <f>INDEX(VNQ[VNQ],MATCH(Table_RawData[[#This Row],[Date]],VNQ[Date],0))</f>
        <v>83.56</v>
      </c>
      <c r="K103">
        <f>INDEX(VXUS[VXUS],MATCH(Table_RawData[[#This Row],[Date]],VXUS[Date],0))</f>
        <v>56.08</v>
      </c>
    </row>
    <row r="104" spans="1:11" x14ac:dyDescent="0.2">
      <c r="A104" s="1">
        <f t="shared" si="1"/>
        <v>45108</v>
      </c>
      <c r="B104">
        <f>INDEX(Table2[Price],MATCH(TimeLine!A104,Table2[Date],0))</f>
        <v>182.35</v>
      </c>
      <c r="C104">
        <f>INDEX(Table3[Price],MATCH(TimeLine!A104,Table3[Date],0))</f>
        <v>107.24</v>
      </c>
      <c r="D104">
        <f>INDEX(Table4[Price],MATCH(TimeLine!A104,Table4[Date],0))</f>
        <v>457.79</v>
      </c>
      <c r="E104">
        <f>INDEX(Table5[Price],MATCH(TimeLine!A104,Table5[Date],0))</f>
        <v>157.96</v>
      </c>
      <c r="F104">
        <f>INDEX(Table6[Price],MATCH(TimeLine!A104,Table6[Date],0))</f>
        <v>46.73</v>
      </c>
      <c r="G104">
        <f>INDEX(PG[PG],MATCH(Table_RawData[[#This Row],[Date]],PG[Date],0))</f>
        <v>156.30000000000001</v>
      </c>
      <c r="H104">
        <f>INDEX(TLT[TLT],MATCH(Table_RawData[[#This Row],[Date]],TLT[Date],0))</f>
        <v>100.05</v>
      </c>
      <c r="I104">
        <f>INDEX(VGT[VGT],MATCH(Table_RawData[[#This Row],[Date]],VGT[Date],0))</f>
        <v>454.81</v>
      </c>
      <c r="J104">
        <f>INDEX(VNQ[VNQ],MATCH(Table_RawData[[#This Row],[Date]],VNQ[Date],0))</f>
        <v>85.26</v>
      </c>
      <c r="K104">
        <f>INDEX(VXUS[VXUS],MATCH(Table_RawData[[#This Row],[Date]],VXUS[Date],0))</f>
        <v>58.26</v>
      </c>
    </row>
    <row r="105" spans="1:11" x14ac:dyDescent="0.2">
      <c r="A105" s="1">
        <f t="shared" si="1"/>
        <v>45139</v>
      </c>
      <c r="B105">
        <f>INDEX(Table2[Price],MATCH(TimeLine!A105,Table2[Date],0))</f>
        <v>180.02</v>
      </c>
      <c r="C105">
        <f>INDEX(Table3[Price],MATCH(TimeLine!A105,Table3[Date],0))</f>
        <v>111.19</v>
      </c>
      <c r="D105">
        <f>INDEX(Table4[Price],MATCH(TimeLine!A105,Table4[Date],0))</f>
        <v>450.35</v>
      </c>
      <c r="E105">
        <f>INDEX(Table5[Price],MATCH(TimeLine!A105,Table5[Date],0))</f>
        <v>146.33000000000001</v>
      </c>
      <c r="F105">
        <f>INDEX(Table6[Price],MATCH(TimeLine!A105,Table6[Date],0))</f>
        <v>49.35</v>
      </c>
      <c r="G105">
        <f>INDEX(PG[PG],MATCH(Table_RawData[[#This Row],[Date]],PG[Date],0))</f>
        <v>154.34</v>
      </c>
      <c r="H105">
        <f>INDEX(TLT[TLT],MATCH(Table_RawData[[#This Row],[Date]],TLT[Date],0))</f>
        <v>96.64</v>
      </c>
      <c r="I105">
        <f>INDEX(VGT[VGT],MATCH(Table_RawData[[#This Row],[Date]],VGT[Date],0))</f>
        <v>444.88</v>
      </c>
      <c r="J105">
        <f>INDEX(VNQ[VNQ],MATCH(Table_RawData[[#This Row],[Date]],VNQ[Date],0))</f>
        <v>82.38</v>
      </c>
      <c r="K105">
        <f>INDEX(VXUS[VXUS],MATCH(Table_RawData[[#This Row],[Date]],VXUS[Date],0))</f>
        <v>55.7</v>
      </c>
    </row>
    <row r="106" spans="1:11" x14ac:dyDescent="0.2">
      <c r="A106" s="1">
        <f t="shared" si="1"/>
        <v>45170</v>
      </c>
      <c r="B106">
        <f>INDEX(Table2[Price],MATCH(TimeLine!A106,Table2[Date],0))</f>
        <v>171.45</v>
      </c>
      <c r="C106">
        <f>INDEX(Table3[Price],MATCH(TimeLine!A106,Table3[Date],0))</f>
        <v>117.58</v>
      </c>
      <c r="D106">
        <f>INDEX(Table4[Price],MATCH(TimeLine!A106,Table4[Date],0))</f>
        <v>427.48</v>
      </c>
      <c r="E106">
        <f>INDEX(Table5[Price],MATCH(TimeLine!A106,Table5[Date],0))</f>
        <v>145.02000000000001</v>
      </c>
      <c r="F106">
        <f>INDEX(Table6[Price],MATCH(TimeLine!A106,Table6[Date],0))</f>
        <v>43.5</v>
      </c>
      <c r="G106">
        <f>INDEX(PG[PG],MATCH(Table_RawData[[#This Row],[Date]],PG[Date],0))</f>
        <v>145.86000000000001</v>
      </c>
      <c r="H106">
        <f>INDEX(TLT[TLT],MATCH(Table_RawData[[#This Row],[Date]],TLT[Date],0))</f>
        <v>88.69</v>
      </c>
      <c r="I106">
        <f>INDEX(VGT[VGT],MATCH(Table_RawData[[#This Row],[Date]],VGT[Date],0))</f>
        <v>414.9</v>
      </c>
      <c r="J106">
        <f>INDEX(VNQ[VNQ],MATCH(Table_RawData[[#This Row],[Date]],VNQ[Date],0))</f>
        <v>75.66</v>
      </c>
      <c r="K106">
        <f>INDEX(VXUS[VXUS],MATCH(Table_RawData[[#This Row],[Date]],VXUS[Date],0))</f>
        <v>53.52</v>
      </c>
    </row>
    <row r="107" spans="1:11" x14ac:dyDescent="0.2">
      <c r="A107" s="1">
        <f t="shared" si="1"/>
        <v>45200</v>
      </c>
      <c r="B107">
        <f>INDEX(Table2[Price],MATCH(TimeLine!A107,Table2[Date],0))</f>
        <v>184.09</v>
      </c>
      <c r="C107">
        <f>INDEX(Table3[Price],MATCH(TimeLine!A107,Table3[Date],0))</f>
        <v>105.85</v>
      </c>
      <c r="D107">
        <f>INDEX(Table4[Price],MATCH(TimeLine!A107,Table4[Date],0))</f>
        <v>418.2</v>
      </c>
      <c r="E107">
        <f>INDEX(Table5[Price],MATCH(TimeLine!A107,Table5[Date],0))</f>
        <v>139.06</v>
      </c>
      <c r="F107">
        <f>INDEX(Table6[Price],MATCH(TimeLine!A107,Table6[Date],0))</f>
        <v>40.78</v>
      </c>
      <c r="G107">
        <f>INDEX(PG[PG],MATCH(Table_RawData[[#This Row],[Date]],PG[Date],0))</f>
        <v>150.03</v>
      </c>
      <c r="H107">
        <f>INDEX(TLT[TLT],MATCH(Table_RawData[[#This Row],[Date]],TLT[Date],0))</f>
        <v>83.58</v>
      </c>
      <c r="I107">
        <f>INDEX(VGT[VGT],MATCH(Table_RawData[[#This Row],[Date]],VGT[Date],0))</f>
        <v>407.8</v>
      </c>
      <c r="J107">
        <f>INDEX(VNQ[VNQ],MATCH(Table_RawData[[#This Row],[Date]],VNQ[Date],0))</f>
        <v>72.92</v>
      </c>
      <c r="K107">
        <f>INDEX(VXUS[VXUS],MATCH(Table_RawData[[#This Row],[Date]],VXUS[Date],0))</f>
        <v>51.72</v>
      </c>
    </row>
    <row r="108" spans="1:11" x14ac:dyDescent="0.2">
      <c r="A108" s="1">
        <f t="shared" si="1"/>
        <v>45231</v>
      </c>
      <c r="B108">
        <f>INDEX(Table2[Price],MATCH(TimeLine!A108,Table2[Date],0))</f>
        <v>188.75</v>
      </c>
      <c r="C108">
        <f>INDEX(Table3[Price],MATCH(TimeLine!A108,Table3[Date],0))</f>
        <v>102.74</v>
      </c>
      <c r="D108">
        <f>INDEX(Table4[Price],MATCH(TimeLine!A108,Table4[Date],0))</f>
        <v>456.4</v>
      </c>
      <c r="E108">
        <f>INDEX(Table5[Price],MATCH(TimeLine!A108,Table5[Date],0))</f>
        <v>156.08000000000001</v>
      </c>
      <c r="F108">
        <f>INDEX(Table6[Price],MATCH(TimeLine!A108,Table6[Date],0))</f>
        <v>46.77</v>
      </c>
      <c r="G108">
        <f>INDEX(PG[PG],MATCH(Table_RawData[[#This Row],[Date]],PG[Date],0))</f>
        <v>153.52000000000001</v>
      </c>
      <c r="H108">
        <f>INDEX(TLT[TLT],MATCH(Table_RawData[[#This Row],[Date]],TLT[Date],0))</f>
        <v>91.56</v>
      </c>
      <c r="I108">
        <f>INDEX(VGT[VGT],MATCH(Table_RawData[[#This Row],[Date]],VGT[Date],0))</f>
        <v>462.03</v>
      </c>
      <c r="J108">
        <f>INDEX(VNQ[VNQ],MATCH(Table_RawData[[#This Row],[Date]],VNQ[Date],0))</f>
        <v>81.73</v>
      </c>
      <c r="K108">
        <f>INDEX(VXUS[VXUS],MATCH(Table_RawData[[#This Row],[Date]],VXUS[Date],0))</f>
        <v>55.98</v>
      </c>
    </row>
    <row r="109" spans="1:11" x14ac:dyDescent="0.2">
      <c r="A109" s="1">
        <f t="shared" si="1"/>
        <v>45261</v>
      </c>
      <c r="B109">
        <f>INDEX(Table2[Price],MATCH(TimeLine!A109,Table2[Date],0))</f>
        <v>191.17</v>
      </c>
      <c r="C109">
        <f>INDEX(Table3[Price],MATCH(TimeLine!A109,Table3[Date],0))</f>
        <v>99.98</v>
      </c>
      <c r="D109">
        <f>INDEX(Table4[Price],MATCH(TimeLine!A109,Table4[Date],0))</f>
        <v>475.31</v>
      </c>
      <c r="E109">
        <f>INDEX(Table5[Price],MATCH(TimeLine!A109,Table5[Date],0))</f>
        <v>170.1</v>
      </c>
      <c r="F109">
        <f>INDEX(Table6[Price],MATCH(TimeLine!A109,Table6[Date],0))</f>
        <v>49.52</v>
      </c>
      <c r="G109">
        <f>INDEX(PG[PG],MATCH(Table_RawData[[#This Row],[Date]],PG[Date],0))</f>
        <v>146.54</v>
      </c>
      <c r="H109">
        <f>INDEX(TLT[TLT],MATCH(Table_RawData[[#This Row],[Date]],TLT[Date],0))</f>
        <v>98.88</v>
      </c>
      <c r="I109">
        <f>INDEX(VGT[VGT],MATCH(Table_RawData[[#This Row],[Date]],VGT[Date],0))</f>
        <v>484</v>
      </c>
      <c r="J109">
        <f>INDEX(VNQ[VNQ],MATCH(Table_RawData[[#This Row],[Date]],VNQ[Date],0))</f>
        <v>88.36</v>
      </c>
      <c r="K109">
        <f>INDEX(VXUS[VXUS],MATCH(Table_RawData[[#This Row],[Date]],VXUS[Date],0))</f>
        <v>57.96</v>
      </c>
    </row>
    <row r="110" spans="1:11" x14ac:dyDescent="0.2">
      <c r="A110" s="1">
        <f t="shared" si="1"/>
        <v>45292</v>
      </c>
      <c r="B110">
        <f>INDEX(Table2[Price],MATCH(TimeLine!A110,Table2[Date],0))</f>
        <v>188.45</v>
      </c>
      <c r="C110">
        <f>INDEX(Table3[Price],MATCH(TimeLine!A110,Table3[Date],0))</f>
        <v>102.81</v>
      </c>
      <c r="D110">
        <f>INDEX(Table4[Price],MATCH(TimeLine!A110,Table4[Date],0))</f>
        <v>482.88</v>
      </c>
      <c r="E110">
        <f>INDEX(Table5[Price],MATCH(TimeLine!A110,Table5[Date],0))</f>
        <v>174.36</v>
      </c>
      <c r="F110">
        <f>INDEX(Table6[Price],MATCH(TimeLine!A110,Table6[Date],0))</f>
        <v>61.53</v>
      </c>
      <c r="G110">
        <f>INDEX(PG[PG],MATCH(Table_RawData[[#This Row],[Date]],PG[Date],0))</f>
        <v>157.13999999999999</v>
      </c>
      <c r="H110">
        <f>INDEX(TLT[TLT],MATCH(Table_RawData[[#This Row],[Date]],TLT[Date],0))</f>
        <v>96.66</v>
      </c>
      <c r="I110">
        <f>INDEX(VGT[VGT],MATCH(Table_RawData[[#This Row],[Date]],VGT[Date],0))</f>
        <v>493.91</v>
      </c>
      <c r="J110">
        <f>INDEX(VNQ[VNQ],MATCH(Table_RawData[[#This Row],[Date]],VNQ[Date],0))</f>
        <v>83.89</v>
      </c>
      <c r="K110">
        <f>INDEX(VXUS[VXUS],MATCH(Table_RawData[[#This Row],[Date]],VXUS[Date],0))</f>
        <v>56.97</v>
      </c>
    </row>
    <row r="111" spans="1:11" x14ac:dyDescent="0.2">
      <c r="A111" s="1">
        <f t="shared" si="1"/>
        <v>45323</v>
      </c>
      <c r="B111">
        <f>INDEX(Table2[Price],MATCH(TimeLine!A111,Table2[Date],0))</f>
        <v>189.31</v>
      </c>
      <c r="C111">
        <f>INDEX(Table3[Price],MATCH(TimeLine!A111,Table3[Date],0))</f>
        <v>104.52</v>
      </c>
      <c r="D111">
        <f>INDEX(Table4[Price],MATCH(TimeLine!A111,Table4[Date],0))</f>
        <v>508.08</v>
      </c>
      <c r="E111">
        <f>INDEX(Table5[Price],MATCH(TimeLine!A111,Table5[Date],0))</f>
        <v>186.06</v>
      </c>
      <c r="F111">
        <f>INDEX(Table6[Price],MATCH(TimeLine!A111,Table6[Date],0))</f>
        <v>79.11</v>
      </c>
      <c r="G111">
        <f>INDEX(PG[PG],MATCH(Table_RawData[[#This Row],[Date]],PG[Date],0))</f>
        <v>158.94</v>
      </c>
      <c r="H111">
        <f>INDEX(TLT[TLT],MATCH(Table_RawData[[#This Row],[Date]],TLT[Date],0))</f>
        <v>94.18</v>
      </c>
      <c r="I111">
        <f>INDEX(VGT[VGT],MATCH(Table_RawData[[#This Row],[Date]],VGT[Date],0))</f>
        <v>517.79</v>
      </c>
      <c r="J111">
        <f>INDEX(VNQ[VNQ],MATCH(Table_RawData[[#This Row],[Date]],VNQ[Date],0))</f>
        <v>85.55</v>
      </c>
      <c r="K111">
        <f>INDEX(VXUS[VXUS],MATCH(Table_RawData[[#This Row],[Date]],VXUS[Date],0))</f>
        <v>58.63</v>
      </c>
    </row>
    <row r="112" spans="1:11" x14ac:dyDescent="0.2">
      <c r="A112" s="1">
        <f t="shared" si="1"/>
        <v>45352</v>
      </c>
      <c r="B112">
        <f>INDEX(Table2[Price],MATCH(TimeLine!A112,Table2[Date],0))</f>
        <v>205.72</v>
      </c>
      <c r="C112">
        <f>INDEX(Table3[Price],MATCH(TimeLine!A112,Table3[Date],0))</f>
        <v>116.24</v>
      </c>
      <c r="D112">
        <f>INDEX(Table4[Price],MATCH(TimeLine!A112,Table4[Date],0))</f>
        <v>523.07000000000005</v>
      </c>
      <c r="E112">
        <f>INDEX(Table5[Price],MATCH(TimeLine!A112,Table5[Date],0))</f>
        <v>200.3</v>
      </c>
      <c r="F112">
        <f>INDEX(Table6[Price],MATCH(TimeLine!A112,Table6[Date],0))</f>
        <v>90.36</v>
      </c>
      <c r="G112">
        <f>INDEX(PG[PG],MATCH(Table_RawData[[#This Row],[Date]],PG[Date],0))</f>
        <v>162.25</v>
      </c>
      <c r="H112">
        <f>INDEX(TLT[TLT],MATCH(Table_RawData[[#This Row],[Date]],TLT[Date],0))</f>
        <v>94.62</v>
      </c>
      <c r="I112">
        <f>INDEX(VGT[VGT],MATCH(Table_RawData[[#This Row],[Date]],VGT[Date],0))</f>
        <v>524.34</v>
      </c>
      <c r="J112">
        <f>INDEX(VNQ[VNQ],MATCH(Table_RawData[[#This Row],[Date]],VNQ[Date],0))</f>
        <v>86.48</v>
      </c>
      <c r="K112">
        <f>INDEX(VXUS[VXUS],MATCH(Table_RawData[[#This Row],[Date]],VXUS[Date],0))</f>
        <v>60.3</v>
      </c>
    </row>
    <row r="113" spans="1:11" x14ac:dyDescent="0.2">
      <c r="A113" s="1">
        <f t="shared" si="1"/>
        <v>45383</v>
      </c>
      <c r="B113">
        <f>INDEX(Table2[Price],MATCH(TimeLine!A113,Table2[Date],0))</f>
        <v>211.87</v>
      </c>
      <c r="C113">
        <f>INDEX(Table3[Price],MATCH(TimeLine!A113,Table3[Date],0))</f>
        <v>118.27</v>
      </c>
      <c r="D113">
        <f>INDEX(Table4[Price],MATCH(TimeLine!A113,Table4[Date],0))</f>
        <v>501.98</v>
      </c>
      <c r="E113">
        <f>INDEX(Table5[Price],MATCH(TimeLine!A113,Table5[Date],0))</f>
        <v>191.74</v>
      </c>
      <c r="F113">
        <f>INDEX(Table6[Price],MATCH(TimeLine!A113,Table6[Date],0))</f>
        <v>86.4</v>
      </c>
      <c r="G113">
        <f>INDEX(PG[PG],MATCH(Table_RawData[[#This Row],[Date]],PG[Date],0))</f>
        <v>163.19999999999999</v>
      </c>
      <c r="H113">
        <f>INDEX(TLT[TLT],MATCH(Table_RawData[[#This Row],[Date]],TLT[Date],0))</f>
        <v>88.22</v>
      </c>
      <c r="I113">
        <f>INDEX(VGT[VGT],MATCH(Table_RawData[[#This Row],[Date]],VGT[Date],0))</f>
        <v>494.73</v>
      </c>
      <c r="J113">
        <f>INDEX(VNQ[VNQ],MATCH(Table_RawData[[#This Row],[Date]],VNQ[Date],0))</f>
        <v>79.61</v>
      </c>
      <c r="K113">
        <f>INDEX(VXUS[VXUS],MATCH(Table_RawData[[#This Row],[Date]],VXUS[Date],0))</f>
        <v>58.9</v>
      </c>
    </row>
    <row r="114" spans="1:11" x14ac:dyDescent="0.2">
      <c r="A114" s="1">
        <f t="shared" si="1"/>
        <v>45413</v>
      </c>
      <c r="B114">
        <f>INDEX(Table2[Price],MATCH(TimeLine!A114,Table2[Date],0))</f>
        <v>215.3</v>
      </c>
      <c r="C114">
        <f>INDEX(Table3[Price],MATCH(TimeLine!A114,Table3[Date],0))</f>
        <v>117.26</v>
      </c>
      <c r="D114">
        <f>INDEX(Table4[Price],MATCH(TimeLine!A114,Table4[Date],0))</f>
        <v>527.37</v>
      </c>
      <c r="E114">
        <f>INDEX(Table5[Price],MATCH(TimeLine!A114,Table5[Date],0))</f>
        <v>202.63</v>
      </c>
      <c r="F114">
        <f>INDEX(Table6[Price],MATCH(TimeLine!A114,Table6[Date],0))</f>
        <v>109.63</v>
      </c>
      <c r="G114">
        <f>INDEX(PG[PG],MATCH(Table_RawData[[#This Row],[Date]],PG[Date],0))</f>
        <v>164.54</v>
      </c>
      <c r="H114">
        <f>INDEX(TLT[TLT],MATCH(Table_RawData[[#This Row],[Date]],TLT[Date],0))</f>
        <v>90.45</v>
      </c>
      <c r="I114">
        <f>INDEX(VGT[VGT],MATCH(Table_RawData[[#This Row],[Date]],VGT[Date],0))</f>
        <v>534.61</v>
      </c>
      <c r="J114">
        <f>INDEX(VNQ[VNQ],MATCH(Table_RawData[[#This Row],[Date]],VNQ[Date],0))</f>
        <v>83.24</v>
      </c>
      <c r="K114">
        <f>INDEX(VXUS[VXUS],MATCH(Table_RawData[[#This Row],[Date]],VXUS[Date],0))</f>
        <v>61.27</v>
      </c>
    </row>
    <row r="115" spans="1:11" x14ac:dyDescent="0.2">
      <c r="A115" s="1">
        <f t="shared" si="1"/>
        <v>45444</v>
      </c>
      <c r="B115">
        <f>INDEX(Table2[Price],MATCH(TimeLine!A115,Table2[Date],0))</f>
        <v>215.01</v>
      </c>
      <c r="C115">
        <f>INDEX(Table3[Price],MATCH(TimeLine!A115,Table3[Date],0))</f>
        <v>115.12</v>
      </c>
      <c r="D115">
        <f>INDEX(Table4[Price],MATCH(TimeLine!A115,Table4[Date],0))</f>
        <v>544.22</v>
      </c>
      <c r="E115">
        <f>INDEX(Table5[Price],MATCH(TimeLine!A115,Table5[Date],0))</f>
        <v>202.26</v>
      </c>
      <c r="F115">
        <f>INDEX(Table6[Price],MATCH(TimeLine!A115,Table6[Date],0))</f>
        <v>123.54</v>
      </c>
      <c r="G115">
        <f>INDEX(PG[PG],MATCH(Table_RawData[[#This Row],[Date]],PG[Date],0))</f>
        <v>164.92</v>
      </c>
      <c r="H115">
        <f>INDEX(TLT[TLT],MATCH(Table_RawData[[#This Row],[Date]],TLT[Date],0))</f>
        <v>91.78</v>
      </c>
      <c r="I115">
        <f>INDEX(VGT[VGT],MATCH(Table_RawData[[#This Row],[Date]],VGT[Date],0))</f>
        <v>576.59</v>
      </c>
      <c r="J115">
        <f>INDEX(VNQ[VNQ],MATCH(Table_RawData[[#This Row],[Date]],VNQ[Date],0))</f>
        <v>83.76</v>
      </c>
      <c r="K115">
        <f>INDEX(VXUS[VXUS],MATCH(Table_RawData[[#This Row],[Date]],VXUS[Date],0))</f>
        <v>60.3</v>
      </c>
    </row>
    <row r="116" spans="1:11" x14ac:dyDescent="0.2">
      <c r="A116" s="1">
        <f t="shared" si="1"/>
        <v>45474</v>
      </c>
      <c r="B116">
        <f>INDEX(Table2[Price],MATCH(TimeLine!A116,Table2[Date],0))</f>
        <v>226.55</v>
      </c>
      <c r="C116">
        <f>INDEX(Table3[Price],MATCH(TimeLine!A116,Table3[Date],0))</f>
        <v>118.59</v>
      </c>
      <c r="D116">
        <f>INDEX(Table4[Price],MATCH(TimeLine!A116,Table4[Date],0))</f>
        <v>550.80999999999995</v>
      </c>
      <c r="E116">
        <f>INDEX(Table5[Price],MATCH(TimeLine!A116,Table5[Date],0))</f>
        <v>212.8</v>
      </c>
      <c r="F116">
        <f>INDEX(Table6[Price],MATCH(TimeLine!A116,Table6[Date],0))</f>
        <v>117.02</v>
      </c>
      <c r="G116">
        <f>INDEX(PG[PG],MATCH(Table_RawData[[#This Row],[Date]],PG[Date],0))</f>
        <v>160.76</v>
      </c>
      <c r="H116">
        <f>INDEX(TLT[TLT],MATCH(Table_RawData[[#This Row],[Date]],TLT[Date],0))</f>
        <v>94.81</v>
      </c>
      <c r="I116">
        <f>INDEX(VGT[VGT],MATCH(Table_RawData[[#This Row],[Date]],VGT[Date],0))</f>
        <v>568.01</v>
      </c>
      <c r="J116">
        <f>INDEX(VNQ[VNQ],MATCH(Table_RawData[[#This Row],[Date]],VNQ[Date],0))</f>
        <v>90.41</v>
      </c>
      <c r="K116">
        <f>INDEX(VXUS[VXUS],MATCH(Table_RawData[[#This Row],[Date]],VXUS[Date],0))</f>
        <v>61.88</v>
      </c>
    </row>
    <row r="117" spans="1:11" x14ac:dyDescent="0.2">
      <c r="A117" s="1">
        <f t="shared" si="1"/>
        <v>45505</v>
      </c>
      <c r="B117">
        <f>INDEX(Table2[Price],MATCH(TimeLine!A117,Table2[Date],0))</f>
        <v>231.29</v>
      </c>
      <c r="C117">
        <f>INDEX(Table3[Price],MATCH(TimeLine!A117,Table3[Date],0))</f>
        <v>117.94</v>
      </c>
      <c r="D117">
        <f>INDEX(Table4[Price],MATCH(TimeLine!A117,Table4[Date],0))</f>
        <v>563.67999999999995</v>
      </c>
      <c r="E117">
        <f>INDEX(Table5[Price],MATCH(TimeLine!A117,Table5[Date],0))</f>
        <v>224.8</v>
      </c>
      <c r="F117">
        <f>INDEX(Table6[Price],MATCH(TimeLine!A117,Table6[Date],0))</f>
        <v>119.37</v>
      </c>
      <c r="G117">
        <f>INDEX(PG[PG],MATCH(Table_RawData[[#This Row],[Date]],PG[Date],0))</f>
        <v>171.54</v>
      </c>
      <c r="H117">
        <f>INDEX(TLT[TLT],MATCH(Table_RawData[[#This Row],[Date]],TLT[Date],0))</f>
        <v>96.49</v>
      </c>
      <c r="I117">
        <f>INDEX(VGT[VGT],MATCH(Table_RawData[[#This Row],[Date]],VGT[Date],0))</f>
        <v>573.97</v>
      </c>
      <c r="J117">
        <f>INDEX(VNQ[VNQ],MATCH(Table_RawData[[#This Row],[Date]],VNQ[Date],0))</f>
        <v>95.13</v>
      </c>
      <c r="K117">
        <f>INDEX(VXUS[VXUS],MATCH(Table_RawData[[#This Row],[Date]],VXUS[Date],0))</f>
        <v>63.37</v>
      </c>
    </row>
    <row r="118" spans="1:11" x14ac:dyDescent="0.2">
      <c r="A118" s="1">
        <f t="shared" si="1"/>
        <v>45536</v>
      </c>
      <c r="B118">
        <f>INDEX(Table2[Price],MATCH(TimeLine!A118,Table2[Date],0))</f>
        <v>243.06</v>
      </c>
      <c r="C118">
        <f>INDEX(Table3[Price],MATCH(TimeLine!A118,Table3[Date],0))</f>
        <v>117.22</v>
      </c>
      <c r="D118">
        <f>INDEX(Table4[Price],MATCH(TimeLine!A118,Table4[Date],0))</f>
        <v>573.76</v>
      </c>
      <c r="E118">
        <f>INDEX(Table5[Price],MATCH(TimeLine!A118,Table5[Date],0))</f>
        <v>210.86</v>
      </c>
      <c r="F118">
        <f>INDEX(Table6[Price],MATCH(TimeLine!A118,Table6[Date],0))</f>
        <v>121.44</v>
      </c>
      <c r="G118">
        <f>INDEX(PG[PG],MATCH(Table_RawData[[#This Row],[Date]],PG[Date],0))</f>
        <v>173.2</v>
      </c>
      <c r="H118">
        <f>INDEX(TLT[TLT],MATCH(Table_RawData[[#This Row],[Date]],TLT[Date],0))</f>
        <v>98.1</v>
      </c>
      <c r="I118">
        <f>INDEX(VGT[VGT],MATCH(Table_RawData[[#This Row],[Date]],VGT[Date],0))</f>
        <v>586.52</v>
      </c>
      <c r="J118">
        <f>INDEX(VNQ[VNQ],MATCH(Table_RawData[[#This Row],[Date]],VNQ[Date],0))</f>
        <v>97.42</v>
      </c>
      <c r="K118">
        <f>INDEX(VXUS[VXUS],MATCH(Table_RawData[[#This Row],[Date]],VXUS[Date],0))</f>
        <v>64.739999999999995</v>
      </c>
    </row>
    <row r="119" spans="1:11" x14ac:dyDescent="0.2">
      <c r="A119" s="1">
        <f t="shared" si="1"/>
        <v>45566</v>
      </c>
      <c r="B119">
        <f>INDEX(Table2[Price],MATCH(TimeLine!A119,Table2[Date],0))</f>
        <v>253.51</v>
      </c>
      <c r="C119">
        <f>INDEX(Table3[Price],MATCH(TimeLine!A119,Table3[Date],0))</f>
        <v>116.78</v>
      </c>
      <c r="D119">
        <f>INDEX(Table4[Price],MATCH(TimeLine!A119,Table4[Date],0))</f>
        <v>568.64</v>
      </c>
      <c r="E119">
        <f>INDEX(Table5[Price],MATCH(TimeLine!A119,Table5[Date],0))</f>
        <v>221.92</v>
      </c>
      <c r="F119">
        <f>INDEX(Table6[Price],MATCH(TimeLine!A119,Table6[Date],0))</f>
        <v>132.76</v>
      </c>
      <c r="G119">
        <f>INDEX(PG[PG],MATCH(Table_RawData[[#This Row],[Date]],PG[Date],0))</f>
        <v>165.18</v>
      </c>
      <c r="H119">
        <f>INDEX(TLT[TLT],MATCH(Table_RawData[[#This Row],[Date]],TLT[Date],0))</f>
        <v>92.45</v>
      </c>
      <c r="I119">
        <f>INDEX(VGT[VGT],MATCH(Table_RawData[[#This Row],[Date]],VGT[Date],0))</f>
        <v>582.29999999999995</v>
      </c>
      <c r="J119">
        <f>INDEX(VNQ[VNQ],MATCH(Table_RawData[[#This Row],[Date]],VNQ[Date],0))</f>
        <v>94.15</v>
      </c>
      <c r="K119">
        <f>INDEX(VXUS[VXUS],MATCH(Table_RawData[[#This Row],[Date]],VXUS[Date],0))</f>
        <v>61.85</v>
      </c>
    </row>
    <row r="120" spans="1:11" x14ac:dyDescent="0.2">
      <c r="A120" s="1">
        <f t="shared" si="1"/>
        <v>45597</v>
      </c>
      <c r="B120">
        <f>INDEX(Table2[Price],MATCH(TimeLine!A120,Table2[Date],0))</f>
        <v>245.59</v>
      </c>
      <c r="C120">
        <f>INDEX(Table3[Price],MATCH(TimeLine!A120,Table3[Date],0))</f>
        <v>117.96</v>
      </c>
      <c r="D120">
        <f>INDEX(Table4[Price],MATCH(TimeLine!A120,Table4[Date],0))</f>
        <v>602.54999999999995</v>
      </c>
      <c r="E120">
        <f>INDEX(Table5[Price],MATCH(TimeLine!A120,Table5[Date],0))</f>
        <v>249.72</v>
      </c>
      <c r="F120">
        <f>INDEX(Table6[Price],MATCH(TimeLine!A120,Table6[Date],0))</f>
        <v>138.25</v>
      </c>
      <c r="G120">
        <f>INDEX(PG[PG],MATCH(Table_RawData[[#This Row],[Date]],PG[Date],0))</f>
        <v>179.26</v>
      </c>
      <c r="H120">
        <f>INDEX(TLT[TLT],MATCH(Table_RawData[[#This Row],[Date]],TLT[Date],0))</f>
        <v>93.97</v>
      </c>
      <c r="I120">
        <f>INDEX(VGT[VGT],MATCH(Table_RawData[[#This Row],[Date]],VGT[Date],0))</f>
        <v>622.25</v>
      </c>
      <c r="J120">
        <f>INDEX(VNQ[VNQ],MATCH(Table_RawData[[#This Row],[Date]],VNQ[Date],0))</f>
        <v>98.16</v>
      </c>
      <c r="K120">
        <f>INDEX(VXUS[VXUS],MATCH(Table_RawData[[#This Row],[Date]],VXUS[Date],0))</f>
        <v>61.71</v>
      </c>
    </row>
    <row r="121" spans="1:11" x14ac:dyDescent="0.2">
      <c r="A121" s="1">
        <f t="shared" si="1"/>
        <v>45627</v>
      </c>
      <c r="B121">
        <f>INDEX(Table2[Price],MATCH(TimeLine!A121,Table2[Date],0))</f>
        <v>242.13</v>
      </c>
      <c r="C121">
        <f>INDEX(Table3[Price],MATCH(TimeLine!A121,Table3[Date],0))</f>
        <v>107.57</v>
      </c>
      <c r="D121">
        <f>INDEX(Table4[Price],MATCH(TimeLine!A121,Table4[Date],0))</f>
        <v>586.08000000000004</v>
      </c>
      <c r="E121">
        <f>INDEX(Table5[Price],MATCH(TimeLine!A121,Table5[Date],0))</f>
        <v>239.71</v>
      </c>
      <c r="F121">
        <f>INDEX(Table6[Price],MATCH(TimeLine!A121,Table6[Date],0))</f>
        <v>134.29</v>
      </c>
      <c r="G121">
        <f>INDEX(PG[PG],MATCH(Table_RawData[[#This Row],[Date]],PG[Date],0))</f>
        <v>167.65</v>
      </c>
      <c r="H121">
        <f>INDEX(TLT[TLT],MATCH(Table_RawData[[#This Row],[Date]],TLT[Date],0))</f>
        <v>87.33</v>
      </c>
      <c r="I121">
        <f>INDEX(VGT[VGT],MATCH(Table_RawData[[#This Row],[Date]],VGT[Date],0))</f>
        <v>621.79999999999995</v>
      </c>
      <c r="J121">
        <f>INDEX(VNQ[VNQ],MATCH(Table_RawData[[#This Row],[Date]],VNQ[Date],0))</f>
        <v>89.08</v>
      </c>
      <c r="K121">
        <f>INDEX(VXUS[VXUS],MATCH(Table_RawData[[#This Row],[Date]],VXUS[Date],0))</f>
        <v>58.93</v>
      </c>
    </row>
    <row r="122" spans="1:11" x14ac:dyDescent="0.2">
      <c r="A122" s="1">
        <f t="shared" si="1"/>
        <v>45658</v>
      </c>
      <c r="B122">
        <f>INDEX(Table2[Price],MATCH(TimeLine!A122,Table2[Date],0))</f>
        <v>258.56</v>
      </c>
      <c r="C122">
        <f>INDEX(Table3[Price],MATCH(TimeLine!A122,Table3[Date],0))</f>
        <v>106.83</v>
      </c>
      <c r="D122">
        <f>INDEX(Table4[Price],MATCH(TimeLine!A122,Table4[Date],0))</f>
        <v>601.82000000000005</v>
      </c>
      <c r="E122">
        <f>INDEX(Table5[Price],MATCH(TimeLine!A122,Table5[Date],0))</f>
        <v>267.3</v>
      </c>
      <c r="F122">
        <f>INDEX(Table6[Price],MATCH(TimeLine!A122,Table6[Date],0))</f>
        <v>120.07</v>
      </c>
      <c r="G122">
        <f>INDEX(PG[PG],MATCH(Table_RawData[[#This Row],[Date]],PG[Date],0))</f>
        <v>165.99</v>
      </c>
      <c r="H122">
        <f>INDEX(TLT[TLT],MATCH(Table_RawData[[#This Row],[Date]],TLT[Date],0))</f>
        <v>87.76</v>
      </c>
      <c r="I122">
        <f>INDEX(VGT[VGT],MATCH(Table_RawData[[#This Row],[Date]],VGT[Date],0))</f>
        <v>616.61</v>
      </c>
      <c r="J122">
        <f>INDEX(VNQ[VNQ],MATCH(Table_RawData[[#This Row],[Date]],VNQ[Date],0))</f>
        <v>90.55</v>
      </c>
      <c r="K122">
        <f>INDEX(VXUS[VXUS],MATCH(Table_RawData[[#This Row],[Date]],VXUS[Date],0))</f>
        <v>60.92</v>
      </c>
    </row>
    <row r="123" spans="1:11" x14ac:dyDescent="0.2">
      <c r="A123" s="1">
        <f t="shared" si="1"/>
        <v>45689</v>
      </c>
      <c r="B123">
        <f>INDEX(Table2[Price],MATCH(TimeLine!A123,Table2[Date],0))</f>
        <v>263.27</v>
      </c>
      <c r="C123">
        <f>INDEX(Table3[Price],MATCH(TimeLine!A123,Table3[Date],0))</f>
        <v>111.33</v>
      </c>
      <c r="D123">
        <f>INDEX(Table4[Price],MATCH(TimeLine!A123,Table4[Date],0))</f>
        <v>594.17999999999995</v>
      </c>
      <c r="E123">
        <f>INDEX(Table5[Price],MATCH(TimeLine!A123,Table5[Date],0))</f>
        <v>264.64999999999998</v>
      </c>
      <c r="F123">
        <f>INDEX(Table6[Price],MATCH(TimeLine!A123,Table6[Date],0))</f>
        <v>124.92</v>
      </c>
      <c r="G123">
        <f>INDEX(PG[PG],MATCH(Table_RawData[[#This Row],[Date]],PG[Date],0))</f>
        <v>173.84</v>
      </c>
      <c r="H123">
        <f>INDEX(TLT[TLT],MATCH(Table_RawData[[#This Row],[Date]],TLT[Date],0))</f>
        <v>92.43</v>
      </c>
      <c r="I123">
        <f>INDEX(VGT[VGT],MATCH(Table_RawData[[#This Row],[Date]],VGT[Date],0))</f>
        <v>598.48</v>
      </c>
      <c r="J123">
        <f>INDEX(VNQ[VNQ],MATCH(Table_RawData[[#This Row],[Date]],VNQ[Date],0))</f>
        <v>93.9</v>
      </c>
      <c r="K123">
        <f>INDEX(VXUS[VXUS],MATCH(Table_RawData[[#This Row],[Date]],VXUS[Date],0))</f>
        <v>62.05</v>
      </c>
    </row>
    <row r="124" spans="1:11" x14ac:dyDescent="0.2">
      <c r="A124" s="1">
        <f t="shared" si="1"/>
        <v>45717</v>
      </c>
      <c r="B124">
        <f>INDEX(Table2[Price],MATCH(TimeLine!A124,Table2[Date],0))</f>
        <v>288.14</v>
      </c>
      <c r="C124">
        <f>INDEX(Table3[Price],MATCH(TimeLine!A124,Table3[Date],0))</f>
        <v>118.93</v>
      </c>
      <c r="D124">
        <f>INDEX(Table4[Price],MATCH(TimeLine!A124,Table4[Date],0))</f>
        <v>559.39</v>
      </c>
      <c r="E124">
        <f>INDEX(Table5[Price],MATCH(TimeLine!A124,Table5[Date],0))</f>
        <v>245.3</v>
      </c>
      <c r="F124">
        <f>INDEX(Table6[Price],MATCH(TimeLine!A124,Table6[Date],0))</f>
        <v>108.38</v>
      </c>
      <c r="G124">
        <f>INDEX(PG[PG],MATCH(Table_RawData[[#This Row],[Date]],PG[Date],0))</f>
        <v>170.42</v>
      </c>
      <c r="H124">
        <f>INDEX(TLT[TLT],MATCH(Table_RawData[[#This Row],[Date]],TLT[Date],0))</f>
        <v>91.03</v>
      </c>
      <c r="I124">
        <f>INDEX(VGT[VGT],MATCH(Table_RawData[[#This Row],[Date]],VGT[Date],0))</f>
        <v>542.38</v>
      </c>
      <c r="J124">
        <f>INDEX(VNQ[VNQ],MATCH(Table_RawData[[#This Row],[Date]],VNQ[Date],0))</f>
        <v>90.54</v>
      </c>
      <c r="K124">
        <f>INDEX(VXUS[VXUS],MATCH(Table_RawData[[#This Row],[Date]],VXUS[Date],0))</f>
        <v>62.1</v>
      </c>
    </row>
    <row r="125" spans="1:11" x14ac:dyDescent="0.2">
      <c r="A125" s="1">
        <f t="shared" si="1"/>
        <v>45748</v>
      </c>
      <c r="B125">
        <f>INDEX(Table2[Price],MATCH(TimeLine!A125,Table2[Date],0))</f>
        <v>303.77</v>
      </c>
      <c r="C125">
        <f>INDEX(Table3[Price],MATCH(TimeLine!A125,Table3[Date],0))</f>
        <v>105.63</v>
      </c>
      <c r="D125">
        <f>INDEX(Table4[Price],MATCH(TimeLine!A125,Table4[Date],0))</f>
        <v>554.54</v>
      </c>
      <c r="E125">
        <f>INDEX(Table5[Price],MATCH(TimeLine!A125,Table5[Date],0))</f>
        <v>244.62</v>
      </c>
      <c r="F125">
        <f>INDEX(Table6[Price],MATCH(TimeLine!A125,Table6[Date],0))</f>
        <v>108.92</v>
      </c>
      <c r="G125">
        <f>INDEX(PG[PG],MATCH(Table_RawData[[#This Row],[Date]],PG[Date],0))</f>
        <v>162.57</v>
      </c>
      <c r="H125">
        <f>INDEX(TLT[TLT],MATCH(Table_RawData[[#This Row],[Date]],TLT[Date],0))</f>
        <v>89.47</v>
      </c>
      <c r="I125">
        <f>INDEX(VGT[VGT],MATCH(Table_RawData[[#This Row],[Date]],VGT[Date],0))</f>
        <v>549.45000000000005</v>
      </c>
      <c r="J125">
        <f>INDEX(VNQ[VNQ],MATCH(Table_RawData[[#This Row],[Date]],VNQ[Date],0))</f>
        <v>88.33</v>
      </c>
      <c r="K125">
        <f>INDEX(VXUS[VXUS],MATCH(Table_RawData[[#This Row],[Date]],VXUS[Date],0))</f>
        <v>63.86</v>
      </c>
    </row>
    <row r="126" spans="1:11" x14ac:dyDescent="0.2">
      <c r="A126" s="1">
        <f t="shared" si="1"/>
        <v>45778</v>
      </c>
      <c r="B126">
        <f>INDEX(Table2[Price],MATCH(TimeLine!A126,Table2[Date],0))</f>
        <v>303.60000000000002</v>
      </c>
      <c r="C126">
        <f>INDEX(Table3[Price],MATCH(TimeLine!A126,Table3[Date],0))</f>
        <v>102.3</v>
      </c>
      <c r="D126">
        <f>INDEX(Table4[Price],MATCH(TimeLine!A126,Table4[Date],0))</f>
        <v>589.39</v>
      </c>
      <c r="E126">
        <f>INDEX(Table5[Price],MATCH(TimeLine!A126,Table5[Date],0))</f>
        <v>264</v>
      </c>
      <c r="F126">
        <f>INDEX(Table6[Price],MATCH(TimeLine!A126,Table6[Date],0))</f>
        <v>135.13</v>
      </c>
      <c r="G126">
        <f>INDEX(PG[PG],MATCH(Table_RawData[[#This Row],[Date]],PG[Date],0))</f>
        <v>169.89</v>
      </c>
      <c r="H126">
        <f>INDEX(TLT[TLT],MATCH(Table_RawData[[#This Row],[Date]],TLT[Date],0))</f>
        <v>86.28</v>
      </c>
      <c r="I126">
        <f>INDEX(VGT[VGT],MATCH(Table_RawData[[#This Row],[Date]],VGT[Date],0))</f>
        <v>606.37</v>
      </c>
      <c r="J126">
        <f>INDEX(VNQ[VNQ],MATCH(Table_RawData[[#This Row],[Date]],VNQ[Date],0))</f>
        <v>89.32</v>
      </c>
      <c r="K126">
        <f>INDEX(VXUS[VXUS],MATCH(Table_RawData[[#This Row],[Date]],VXUS[Date],0))</f>
        <v>66.94</v>
      </c>
    </row>
    <row r="127" spans="1:11" x14ac:dyDescent="0.2">
      <c r="A127" s="1">
        <f t="shared" si="1"/>
        <v>45809</v>
      </c>
      <c r="B127">
        <f>INDEX(Table2[Price],MATCH(TimeLine!A127,Table2[Date],0))</f>
        <v>304.83</v>
      </c>
      <c r="C127">
        <f>INDEX(Table3[Price],MATCH(TimeLine!A127,Table3[Date],0))</f>
        <v>107.8</v>
      </c>
      <c r="D127">
        <f>INDEX(Table4[Price],MATCH(TimeLine!A127,Table4[Date],0))</f>
        <v>617.85</v>
      </c>
      <c r="E127">
        <f>INDEX(Table5[Price],MATCH(TimeLine!A127,Table5[Date],0))</f>
        <v>289.91000000000003</v>
      </c>
      <c r="F127">
        <f>INDEX(Table6[Price],MATCH(TimeLine!A127,Table6[Date],0))</f>
        <v>157.99</v>
      </c>
      <c r="G127">
        <f>INDEX(PG[PG],MATCH(Table_RawData[[#This Row],[Date]],PG[Date],0))</f>
        <v>159.32</v>
      </c>
      <c r="H127">
        <f>INDEX(TLT[TLT],MATCH(Table_RawData[[#This Row],[Date]],TLT[Date],0))</f>
        <v>88.25</v>
      </c>
      <c r="I127">
        <f>INDEX(VGT[VGT],MATCH(Table_RawData[[#This Row],[Date]],VGT[Date],0))</f>
        <v>663.28</v>
      </c>
      <c r="J127">
        <f>INDEX(VNQ[VNQ],MATCH(Table_RawData[[#This Row],[Date]],VNQ[Date],0))</f>
        <v>89.06</v>
      </c>
      <c r="K127">
        <f>INDEX(VXUS[VXUS],MATCH(Table_RawData[[#This Row],[Date]],VXUS[Date],0))</f>
        <v>69.09</v>
      </c>
    </row>
    <row r="128" spans="1:11" x14ac:dyDescent="0.2">
      <c r="A128" s="1">
        <f t="shared" si="1"/>
        <v>45839</v>
      </c>
      <c r="B128">
        <f>INDEX(Table2[Price],MATCH(TimeLine!A128,Table2[Date],0))</f>
        <v>302.95999999999998</v>
      </c>
      <c r="C128">
        <f>INDEX(Table3[Price],MATCH(TimeLine!A128,Table3[Date],0))</f>
        <v>111.64</v>
      </c>
      <c r="D128">
        <f>INDEX(Table4[Price],MATCH(TimeLine!A128,Table4[Date],0))</f>
        <v>632.08000000000004</v>
      </c>
      <c r="E128">
        <f>INDEX(Table5[Price],MATCH(TimeLine!A128,Table5[Date],0))</f>
        <v>296.24</v>
      </c>
      <c r="F128">
        <f>INDEX(Table6[Price],MATCH(TimeLine!A128,Table6[Date],0))</f>
        <v>177.87</v>
      </c>
      <c r="G128">
        <f>INDEX(PG[PG],MATCH(Table_RawData[[#This Row],[Date]],PG[Date],0))</f>
        <v>150.47</v>
      </c>
      <c r="H128">
        <f>INDEX(TLT[TLT],MATCH(Table_RawData[[#This Row],[Date]],TLT[Date],0))</f>
        <v>86.92</v>
      </c>
      <c r="I128">
        <f>INDEX(VGT[VGT],MATCH(Table_RawData[[#This Row],[Date]],VGT[Date],0))</f>
        <v>690.47</v>
      </c>
      <c r="J128">
        <f>INDEX(VNQ[VNQ],MATCH(Table_RawData[[#This Row],[Date]],VNQ[Date],0))</f>
        <v>89.14</v>
      </c>
      <c r="K128">
        <f>INDEX(VXUS[VXUS],MATCH(Table_RawData[[#This Row],[Date]],VXUS[Date],0))</f>
        <v>68.47</v>
      </c>
    </row>
    <row r="129" spans="1:11" x14ac:dyDescent="0.2">
      <c r="A129" s="1">
        <f t="shared" si="1"/>
        <v>45870</v>
      </c>
      <c r="B129">
        <f>INDEX(Table2[Price],MATCH(TimeLine!A129,Table2[Date],0))</f>
        <v>318.07</v>
      </c>
      <c r="C129">
        <f>INDEX(Table3[Price],MATCH(TimeLine!A129,Table3[Date],0))</f>
        <v>114.29</v>
      </c>
      <c r="D129">
        <f>INDEX(Table4[Price],MATCH(TimeLine!A129,Table4[Date],0))</f>
        <v>645.04999999999995</v>
      </c>
      <c r="E129">
        <f>INDEX(Table5[Price],MATCH(TimeLine!A129,Table5[Date],0))</f>
        <v>301.42</v>
      </c>
      <c r="F129">
        <f>INDEX(Table6[Price],MATCH(TimeLine!A129,Table6[Date],0))</f>
        <v>174.18</v>
      </c>
      <c r="G129">
        <f>INDEX(PG[PG],MATCH(Table_RawData[[#This Row],[Date]],PG[Date],0))</f>
        <v>157.04</v>
      </c>
      <c r="H129">
        <f>INDEX(TLT[TLT],MATCH(Table_RawData[[#This Row],[Date]],TLT[Date],0))</f>
        <v>86.6</v>
      </c>
      <c r="I129">
        <f>INDEX(VGT[VGT],MATCH(Table_RawData[[#This Row],[Date]],VGT[Date],0))</f>
        <v>697.02</v>
      </c>
      <c r="J129">
        <f>INDEX(VNQ[VNQ],MATCH(Table_RawData[[#This Row],[Date]],VNQ[Date],0))</f>
        <v>92.24</v>
      </c>
      <c r="K129">
        <f>INDEX(VXUS[VXUS],MATCH(Table_RawData[[#This Row],[Date]],VXUS[Date],0))</f>
        <v>71.37</v>
      </c>
    </row>
    <row r="130" spans="1:11" x14ac:dyDescent="0.2">
      <c r="A130" s="1">
        <f t="shared" si="1"/>
        <v>45901</v>
      </c>
      <c r="B130">
        <f>INDEX(Table2[Price],MATCH(TimeLine!A130,Table2[Date],0))</f>
        <v>355.47</v>
      </c>
      <c r="C130">
        <f>INDEX(Table3[Price],MATCH(TimeLine!A130,Table3[Date],0))</f>
        <v>112.75</v>
      </c>
      <c r="D130">
        <f>INDEX(Table4[Price],MATCH(TimeLine!A130,Table4[Date],0))</f>
        <v>666.18</v>
      </c>
      <c r="E130">
        <f>INDEX(Table5[Price],MATCH(TimeLine!A130,Table5[Date],0))</f>
        <v>315.43</v>
      </c>
      <c r="F130">
        <f>INDEX(Table6[Price],MATCH(TimeLine!A130,Table6[Date],0))</f>
        <v>186.58</v>
      </c>
      <c r="G130">
        <f>INDEX(PG[PG],MATCH(Table_RawData[[#This Row],[Date]],PG[Date],0))</f>
        <v>153.65</v>
      </c>
      <c r="H130">
        <f>INDEX(TLT[TLT],MATCH(Table_RawData[[#This Row],[Date]],TLT[Date],0))</f>
        <v>89.37</v>
      </c>
      <c r="I130">
        <f>INDEX(VGT[VGT],MATCH(Table_RawData[[#This Row],[Date]],VGT[Date],0))</f>
        <v>746.63</v>
      </c>
      <c r="J130">
        <f>INDEX(VNQ[VNQ],MATCH(Table_RawData[[#This Row],[Date]],VNQ[Date],0))</f>
        <v>91.42</v>
      </c>
      <c r="K130">
        <f>INDEX(VXUS[VXUS],MATCH(Table_RawData[[#This Row],[Date]],VXUS[Date],0))</f>
        <v>73.459999999999994</v>
      </c>
    </row>
    <row r="131" spans="1:11" x14ac:dyDescent="0.2">
      <c r="A131" s="1">
        <f t="shared" si="1"/>
        <v>45931</v>
      </c>
      <c r="B131">
        <f>INDEX(Table2[Price],MATCH(TimeLine!A131,Table2[Date],0))</f>
        <v>368.12</v>
      </c>
      <c r="C131">
        <f>INDEX(Table3[Price],MATCH(TimeLine!A131,Table3[Date],0))</f>
        <v>114.36</v>
      </c>
      <c r="D131">
        <f>INDEX(Table4[Price],MATCH(TimeLine!A131,Table4[Date],0))</f>
        <v>682.06</v>
      </c>
      <c r="E131">
        <f>INDEX(Table5[Price],MATCH(TimeLine!A131,Table5[Date],0))</f>
        <v>311.12</v>
      </c>
      <c r="F131">
        <f>INDEX(Table6[Price],MATCH(TimeLine!A131,Table6[Date],0))</f>
        <v>202.49</v>
      </c>
      <c r="G131">
        <f>INDEX(PG[PG],MATCH(Table_RawData[[#This Row],[Date]],PG[Date],0))</f>
        <v>150.37</v>
      </c>
      <c r="H131">
        <f>INDEX(TLT[TLT],MATCH(Table_RawData[[#This Row],[Date]],TLT[Date],0))</f>
        <v>90.29</v>
      </c>
      <c r="I131">
        <f>INDEX(VGT[VGT],MATCH(Table_RawData[[#This Row],[Date]],VGT[Date],0))</f>
        <v>793.21</v>
      </c>
      <c r="J131">
        <f>INDEX(VNQ[VNQ],MATCH(Table_RawData[[#This Row],[Date]],VNQ[Date],0))</f>
        <v>89.18</v>
      </c>
      <c r="K131">
        <f>INDEX(VXUS[VXUS],MATCH(Table_RawData[[#This Row],[Date]],VXUS[Date],0))</f>
        <v>74.63</v>
      </c>
    </row>
    <row r="132" spans="1:11" x14ac:dyDescent="0.2">
      <c r="A132" s="1">
        <f t="shared" ref="A132:A134" si="2">EDATE(A131,1)</f>
        <v>45962</v>
      </c>
      <c r="B132">
        <f>INDEX(Table2[Price],MATCH(TimeLine!A132,Table2[Date],0))</f>
        <v>387.88</v>
      </c>
      <c r="C132">
        <f>INDEX(Table3[Price],MATCH(TimeLine!A132,Table3[Date],0))</f>
        <v>115.92</v>
      </c>
      <c r="D132">
        <f>INDEX(Table4[Price],MATCH(TimeLine!A132,Table4[Date],0))</f>
        <v>683.39</v>
      </c>
      <c r="E132">
        <f>INDEX(Table5[Price],MATCH(TimeLine!A132,Table5[Date],0))</f>
        <v>313.08</v>
      </c>
      <c r="F132">
        <f>INDEX(Table6[Price],MATCH(TimeLine!A132,Table6[Date],0))</f>
        <v>177</v>
      </c>
      <c r="G132">
        <f>INDEX(PG[PG],MATCH(Table_RawData[[#This Row],[Date]],PG[Date],0))</f>
        <v>148.16</v>
      </c>
      <c r="H132">
        <f>INDEX(TLT[TLT],MATCH(Table_RawData[[#This Row],[Date]],TLT[Date],0))</f>
        <v>90.21</v>
      </c>
      <c r="I132">
        <f>INDEX(VGT[VGT],MATCH(Table_RawData[[#This Row],[Date]],VGT[Date],0))</f>
        <v>752.2</v>
      </c>
      <c r="J132">
        <f>INDEX(VNQ[VNQ],MATCH(Table_RawData[[#This Row],[Date]],VNQ[Date],0))</f>
        <v>91.34</v>
      </c>
      <c r="K132">
        <f>INDEX(VXUS[VXUS],MATCH(Table_RawData[[#This Row],[Date]],VXUS[Date],0))</f>
        <v>74.94</v>
      </c>
    </row>
    <row r="133" spans="1:11" x14ac:dyDescent="0.2">
      <c r="A133" s="1">
        <f t="shared" si="2"/>
        <v>45992</v>
      </c>
      <c r="B133">
        <f>INDEX(Table2[Price],MATCH(TimeLine!A133,Table2[Date],0))</f>
        <v>396.31</v>
      </c>
      <c r="C133">
        <f>INDEX(Table3[Price],MATCH(TimeLine!A133,Table3[Date],0))</f>
        <v>120.34</v>
      </c>
      <c r="D133">
        <f>INDEX(Table4[Price],MATCH(TimeLine!A133,Table4[Date],0))</f>
        <v>681.92</v>
      </c>
      <c r="E133">
        <f>INDEX(Table5[Price],MATCH(TimeLine!A133,Table5[Date],0))</f>
        <v>322.22000000000003</v>
      </c>
      <c r="F133">
        <f>INDEX(Table6[Price],MATCH(TimeLine!A133,Table6[Date],0))</f>
        <v>186.5</v>
      </c>
      <c r="G133">
        <f>INDEX(PG[PG],MATCH(Table_RawData[[#This Row],[Date]],PG[Date],0))</f>
        <v>143.31</v>
      </c>
      <c r="H133">
        <f>INDEX(TLT[TLT],MATCH(Table_RawData[[#This Row],[Date]],TLT[Date],0))</f>
        <v>87.16</v>
      </c>
      <c r="I133">
        <f>INDEX(VGT[VGT],MATCH(Table_RawData[[#This Row],[Date]],VGT[Date],0))</f>
        <v>753.78</v>
      </c>
      <c r="J133">
        <f>INDEX(VNQ[VNQ],MATCH(Table_RawData[[#This Row],[Date]],VNQ[Date],0))</f>
        <v>88.49</v>
      </c>
      <c r="K133">
        <f>INDEX(VXUS[VXUS],MATCH(Table_RawData[[#This Row],[Date]],VXUS[Date],0))</f>
        <v>75.44</v>
      </c>
    </row>
    <row r="134" spans="1:11" x14ac:dyDescent="0.2">
      <c r="A134" s="1">
        <f t="shared" si="2"/>
        <v>46023</v>
      </c>
      <c r="B134">
        <f>INDEX(Table2[Price],MATCH(TimeLine!A134,Table2[Date],0))</f>
        <v>421.29</v>
      </c>
      <c r="C134">
        <f>INDEX(Table3[Price],MATCH(TimeLine!A134,Table3[Date],0))</f>
        <v>129.88999999999999</v>
      </c>
      <c r="D134">
        <f>INDEX(Table4[Price],MATCH(TimeLine!A134,Table4[Date],0))</f>
        <v>691.66</v>
      </c>
      <c r="E134">
        <f>INDEX(Table5[Price],MATCH(TimeLine!A134,Table5[Date],0))</f>
        <v>312.47000000000003</v>
      </c>
      <c r="F134">
        <f>INDEX(Table6[Price],MATCH(TimeLine!A134,Table6[Date],0))</f>
        <v>186.23</v>
      </c>
      <c r="G134">
        <f>INDEX(PG[PG],MATCH(Table_RawData[[#This Row],[Date]],PG[Date],0))</f>
        <v>150.15</v>
      </c>
      <c r="H134">
        <f>INDEX(TLT[TLT],MATCH(Table_RawData[[#This Row],[Date]],TLT[Date],0))</f>
        <v>87.63</v>
      </c>
      <c r="I134">
        <f>INDEX(VGT[VGT],MATCH(Table_RawData[[#This Row],[Date]],VGT[Date],0))</f>
        <v>753.57</v>
      </c>
      <c r="J134">
        <f>INDEX(VNQ[VNQ],MATCH(Table_RawData[[#This Row],[Date]],VNQ[Date],0))</f>
        <v>90.37</v>
      </c>
      <c r="K134">
        <f>INDEX(VXUS[VXUS],MATCH(Table_RawData[[#This Row],[Date]],VXUS[Date],0))</f>
        <v>79.53</v>
      </c>
    </row>
    <row r="135" spans="1:11" x14ac:dyDescent="0.2">
      <c r="A135" s="1" t="s">
        <v>1306</v>
      </c>
      <c r="B135">
        <f>COUNT(Table_RawData[GLD])</f>
        <v>133</v>
      </c>
      <c r="C135">
        <f>COUNT(Table_RawData[XOM])</f>
        <v>133</v>
      </c>
      <c r="D135">
        <f>COUNT(Table_RawData[SPY])</f>
        <v>133</v>
      </c>
      <c r="E135">
        <f>COUNT(Table_RawData[JPM])</f>
        <v>133</v>
      </c>
      <c r="F135">
        <f>COUNT(Table_RawData[NVDA])</f>
        <v>133</v>
      </c>
      <c r="G135">
        <f>COUNT(Table_RawData[PG])</f>
        <v>133</v>
      </c>
      <c r="H135">
        <f>COUNT(Table_RawData[TLT])</f>
        <v>133</v>
      </c>
      <c r="I135">
        <f>COUNT(Table_RawData[VGT])</f>
        <v>133</v>
      </c>
      <c r="J135">
        <f>COUNT(Table_RawData[VNQ])</f>
        <v>133</v>
      </c>
      <c r="K135">
        <f>COUNT(Table_RawData[VXUS])</f>
        <v>133</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C6169-4FAB-4EB5-B191-8B2234A2BD9E}">
  <dimension ref="A1:K134"/>
  <sheetViews>
    <sheetView workbookViewId="0">
      <selection activeCell="C3" sqref="C3"/>
    </sheetView>
  </sheetViews>
  <sheetFormatPr defaultRowHeight="14.25" x14ac:dyDescent="0.2"/>
  <cols>
    <col min="1" max="1" width="9.875" bestFit="1" customWidth="1"/>
  </cols>
  <sheetData>
    <row r="1" spans="1:11" ht="18.75" thickBot="1" x14ac:dyDescent="0.3">
      <c r="A1" s="106" t="s">
        <v>1307</v>
      </c>
      <c r="B1" s="107"/>
      <c r="C1" s="107"/>
      <c r="D1" s="107"/>
      <c r="E1" s="107"/>
      <c r="F1" s="107"/>
      <c r="G1" s="107"/>
      <c r="H1" s="107"/>
      <c r="I1" s="107"/>
      <c r="J1" s="107"/>
      <c r="K1" s="108"/>
    </row>
    <row r="2" spans="1:11" ht="15.75" thickBot="1" x14ac:dyDescent="0.3">
      <c r="A2" s="30" t="s">
        <v>0</v>
      </c>
      <c r="B2" s="31" t="s">
        <v>139</v>
      </c>
      <c r="C2" s="31" t="s">
        <v>630</v>
      </c>
      <c r="D2" s="31" t="s">
        <v>273</v>
      </c>
      <c r="E2" s="31" t="s">
        <v>369</v>
      </c>
      <c r="F2" s="32" t="s">
        <v>503</v>
      </c>
      <c r="G2" s="31" t="s">
        <v>652</v>
      </c>
      <c r="H2" s="31" t="s">
        <v>783</v>
      </c>
      <c r="I2" s="31" t="s">
        <v>914</v>
      </c>
      <c r="J2" s="31" t="s">
        <v>1042</v>
      </c>
      <c r="K2" s="33" t="s">
        <v>1174</v>
      </c>
    </row>
    <row r="3" spans="1:11" x14ac:dyDescent="0.2">
      <c r="A3" s="13">
        <f>TimeLine!A3</f>
        <v>42036</v>
      </c>
      <c r="B3" s="14">
        <f>IFERROR((TimeLine!B3/TimeLine!B2)-1, NA())</f>
        <v>-5.9052247873633057E-2</v>
      </c>
      <c r="C3" s="14">
        <f>IFERROR((TimeLine!C3/TimeLine!C2)-1, NA())</f>
        <v>1.2811713566689642E-2</v>
      </c>
      <c r="D3" s="14">
        <f>IFERROR((TimeLine!D3/TimeLine!D2)-1, NA())</f>
        <v>5.6204562547004233E-2</v>
      </c>
      <c r="E3" s="14">
        <f>IFERROR((TimeLine!E3/TimeLine!E2)-1, NA())</f>
        <v>0.1268848841485839</v>
      </c>
      <c r="F3" s="14">
        <f>IFERROR((TimeLine!F3/TimeLine!F2)-1, NA())</f>
        <v>0.14583333333333348</v>
      </c>
      <c r="G3" s="14">
        <f>IFERROR((TimeLine!G3/TimeLine!G2)-1, NA())</f>
        <v>9.965594969747249E-3</v>
      </c>
      <c r="H3" s="14">
        <f>IFERROR((TimeLine!H3/TimeLine!H2)-1, NA())</f>
        <v>-6.3277408157361825E-2</v>
      </c>
      <c r="I3" s="14">
        <f>IFERROR((TimeLine!I3/TimeLine!I2)-1, NA())</f>
        <v>8.3325066957643079E-2</v>
      </c>
      <c r="J3" s="14">
        <f>IFERROR((TimeLine!J3/TimeLine!J2)-1, NA())</f>
        <v>-3.674176776429805E-2</v>
      </c>
      <c r="K3" s="14">
        <f>IFERROR((TimeLine!K3/TimeLine!K2)-1, NA())</f>
        <v>5.7767691355477657E-2</v>
      </c>
    </row>
    <row r="4" spans="1:11" x14ac:dyDescent="0.2">
      <c r="A4" s="13">
        <f>TimeLine!A4</f>
        <v>42064</v>
      </c>
      <c r="B4" s="14">
        <f>IFERROR((TimeLine!B4/TimeLine!B3)-1, NA())</f>
        <v>-2.1522038567493129E-2</v>
      </c>
      <c r="C4" s="14">
        <f>IFERROR((TimeLine!C4/TimeLine!C3)-1, NA())</f>
        <v>-3.9981929071606137E-2</v>
      </c>
      <c r="D4" s="14">
        <f>IFERROR((TimeLine!D4/TimeLine!D3)-1, NA())</f>
        <v>-2.0079749359156907E-2</v>
      </c>
      <c r="E4" s="14">
        <f>IFERROR((TimeLine!E4/TimeLine!E3)-1, NA())</f>
        <v>-1.1422976501305526E-2</v>
      </c>
      <c r="F4" s="14">
        <f>IFERROR((TimeLine!F4/TimeLine!F3)-1, NA())</f>
        <v>-5.4545454545454564E-2</v>
      </c>
      <c r="G4" s="14">
        <f>IFERROR((TimeLine!G4/TimeLine!G3)-1, NA())</f>
        <v>-3.7472101491835996E-2</v>
      </c>
      <c r="H4" s="14">
        <f>IFERROR((TimeLine!H4/TimeLine!H3)-1, NA())</f>
        <v>8.9554543349030791E-3</v>
      </c>
      <c r="I4" s="14">
        <f>IFERROR((TimeLine!I4/TimeLine!I3)-1, NA())</f>
        <v>-2.4631444006959047E-2</v>
      </c>
      <c r="J4" s="14">
        <f>IFERROR((TimeLine!J4/TimeLine!J3)-1, NA())</f>
        <v>1.1275038982847541E-2</v>
      </c>
      <c r="K4" s="14">
        <f>IFERROR((TimeLine!K4/TimeLine!K3)-1, NA())</f>
        <v>-1.7944216890969367E-2</v>
      </c>
    </row>
    <row r="5" spans="1:11" x14ac:dyDescent="0.2">
      <c r="A5" s="13">
        <f>TimeLine!A5</f>
        <v>42095</v>
      </c>
      <c r="B5" s="14">
        <f>IFERROR((TimeLine!B5/TimeLine!B4)-1, NA())</f>
        <v>-1.671652296322379E-3</v>
      </c>
      <c r="C5" s="14">
        <f>IFERROR((TimeLine!C5/TimeLine!C4)-1, NA())</f>
        <v>2.7882352941176469E-2</v>
      </c>
      <c r="D5" s="14">
        <f>IFERROR((TimeLine!D5/TimeLine!D4)-1, NA())</f>
        <v>9.8338419803323252E-3</v>
      </c>
      <c r="E5" s="14">
        <f>IFERROR((TimeLine!E5/TimeLine!E4)-1, NA())</f>
        <v>4.4239022779795301E-2</v>
      </c>
      <c r="F5" s="14">
        <f>IFERROR((TimeLine!F5/TimeLine!F4)-1, NA())</f>
        <v>5.7692307692307709E-2</v>
      </c>
      <c r="G5" s="14">
        <f>IFERROR((TimeLine!G5/TimeLine!G4)-1, NA())</f>
        <v>-2.9655845740785836E-2</v>
      </c>
      <c r="H5" s="14">
        <f>IFERROR((TimeLine!H5/TimeLine!H4)-1, NA())</f>
        <v>-3.6269033590940358E-2</v>
      </c>
      <c r="I5" s="14">
        <f>IFERROR((TimeLine!I5/TimeLine!I4)-1, NA())</f>
        <v>1.2861434472399624E-2</v>
      </c>
      <c r="J5" s="14">
        <f>IFERROR((TimeLine!J5/TimeLine!J4)-1, NA())</f>
        <v>-5.8474676788044189E-2</v>
      </c>
      <c r="K5" s="14">
        <f>IFERROR((TimeLine!K5/TimeLine!K4)-1, NA())</f>
        <v>4.8063555114200573E-2</v>
      </c>
    </row>
    <row r="6" spans="1:11" x14ac:dyDescent="0.2">
      <c r="A6" s="13">
        <f>TimeLine!A6</f>
        <v>42125</v>
      </c>
      <c r="B6" s="14">
        <f>IFERROR((TimeLine!B6/TimeLine!B5)-1, NA())</f>
        <v>5.5521283158543877E-3</v>
      </c>
      <c r="C6" s="14">
        <f>IFERROR((TimeLine!C6/TimeLine!C5)-1, NA())</f>
        <v>-2.4836900537942075E-2</v>
      </c>
      <c r="D6" s="14">
        <f>IFERROR((TimeLine!D6/TimeLine!D5)-1, NA())</f>
        <v>1.2856183440468127E-2</v>
      </c>
      <c r="E6" s="14">
        <f>IFERROR((TimeLine!E6/TimeLine!E5)-1, NA())</f>
        <v>3.9835599114764531E-2</v>
      </c>
      <c r="F6" s="14">
        <f>IFERROR((TimeLine!F6/TimeLine!F5)-1, NA())</f>
        <v>0</v>
      </c>
      <c r="G6" s="14">
        <f>IFERROR((TimeLine!G6/TimeLine!G5)-1, NA())</f>
        <v>-1.4086278455540224E-2</v>
      </c>
      <c r="H6" s="14">
        <f>IFERROR((TimeLine!H6/TimeLine!H5)-1, NA())</f>
        <v>-2.5724493846764673E-2</v>
      </c>
      <c r="I6" s="14">
        <f>IFERROR((TimeLine!I6/TimeLine!I5)-1, NA())</f>
        <v>2.4932801927889603E-2</v>
      </c>
      <c r="J6" s="14">
        <f>IFERROR((TimeLine!J6/TimeLine!J5)-1, NA())</f>
        <v>-3.023431594860071E-3</v>
      </c>
      <c r="K6" s="14">
        <f>IFERROR((TimeLine!K6/TimeLine!K5)-1, NA())</f>
        <v>-9.0960773166572917E-3</v>
      </c>
    </row>
    <row r="7" spans="1:11" x14ac:dyDescent="0.2">
      <c r="A7" s="13">
        <f>TimeLine!A7</f>
        <v>42156</v>
      </c>
      <c r="B7" s="14">
        <f>IFERROR((TimeLine!B7/TimeLine!B6)-1, NA())</f>
        <v>-1.5162138475021791E-2</v>
      </c>
      <c r="C7" s="14">
        <f>IFERROR((TimeLine!C7/TimeLine!C6)-1, NA())</f>
        <v>-2.3474178403755874E-2</v>
      </c>
      <c r="D7" s="14">
        <f>IFERROR((TimeLine!D7/TimeLine!D6)-1, NA())</f>
        <v>-2.5054466230936767E-2</v>
      </c>
      <c r="E7" s="14">
        <f>IFERROR((TimeLine!E7/TimeLine!E6)-1, NA())</f>
        <v>3.0100334448160515E-2</v>
      </c>
      <c r="F7" s="14">
        <f>IFERROR((TimeLine!F7/TimeLine!F6)-1, NA())</f>
        <v>-9.0909090909090939E-2</v>
      </c>
      <c r="G7" s="14">
        <f>IFERROR((TimeLine!G7/TimeLine!G6)-1, NA())</f>
        <v>-1.9135093761960542E-3</v>
      </c>
      <c r="H7" s="14">
        <f>IFERROR((TimeLine!H7/TimeLine!H6)-1, NA())</f>
        <v>-4.2783799201369099E-2</v>
      </c>
      <c r="I7" s="14">
        <f>IFERROR((TimeLine!I7/TimeLine!I6)-1, NA())</f>
        <v>-3.9338035811177341E-2</v>
      </c>
      <c r="J7" s="14">
        <f>IFERROR((TimeLine!J7/TimeLine!J6)-1, NA())</f>
        <v>-5.6229466767753422E-2</v>
      </c>
      <c r="K7" s="14">
        <f>IFERROR((TimeLine!K7/TimeLine!K6)-1, NA())</f>
        <v>-3.7483266398929072E-2</v>
      </c>
    </row>
    <row r="8" spans="1:11" x14ac:dyDescent="0.2">
      <c r="A8" s="13">
        <f>TimeLine!A8</f>
        <v>42186</v>
      </c>
      <c r="B8" s="14">
        <f>IFERROR((TimeLine!B8/TimeLine!B7)-1, NA())</f>
        <v>-6.6209842484648895E-2</v>
      </c>
      <c r="C8" s="14">
        <f>IFERROR((TimeLine!C8/TimeLine!C7)-1, NA())</f>
        <v>-4.7956730769230904E-2</v>
      </c>
      <c r="D8" s="14">
        <f>IFERROR((TimeLine!D8/TimeLine!D7)-1, NA())</f>
        <v>2.2589264027204292E-2</v>
      </c>
      <c r="E8" s="14">
        <f>IFERROR((TimeLine!E8/TimeLine!E7)-1, NA())</f>
        <v>1.1363636363636243E-2</v>
      </c>
      <c r="F8" s="14">
        <f>IFERROR((TimeLine!F8/TimeLine!F7)-1, NA())</f>
        <v>0</v>
      </c>
      <c r="G8" s="14">
        <f>IFERROR((TimeLine!G8/TimeLine!G7)-1, NA())</f>
        <v>-1.9683026584866981E-2</v>
      </c>
      <c r="H8" s="14">
        <f>IFERROR((TimeLine!H8/TimeLine!H7)-1, NA())</f>
        <v>4.3163630171973555E-2</v>
      </c>
      <c r="I8" s="14">
        <f>IFERROR((TimeLine!I8/TimeLine!I7)-1, NA())</f>
        <v>2.2686623364397862E-2</v>
      </c>
      <c r="J8" s="14">
        <f>IFERROR((TimeLine!J8/TimeLine!J7)-1, NA())</f>
        <v>5.77051814165217E-2</v>
      </c>
      <c r="K8" s="14">
        <f>IFERROR((TimeLine!K8/TimeLine!K7)-1, NA())</f>
        <v>-5.5632823365786566E-3</v>
      </c>
    </row>
    <row r="9" spans="1:11" x14ac:dyDescent="0.2">
      <c r="A9" s="13">
        <f>TimeLine!A9</f>
        <v>42217</v>
      </c>
      <c r="B9" s="14">
        <f>IFERROR((TimeLine!B9/TimeLine!B8)-1, NA())</f>
        <v>3.7072333936910118E-2</v>
      </c>
      <c r="C9" s="14">
        <f>IFERROR((TimeLine!C9/TimeLine!C8)-1, NA())</f>
        <v>-5.0119934351723239E-2</v>
      </c>
      <c r="D9" s="14">
        <f>IFERROR((TimeLine!D9/TimeLine!D8)-1, NA())</f>
        <v>-6.0950118764845684E-2</v>
      </c>
      <c r="E9" s="14">
        <f>IFERROR((TimeLine!E9/TimeLine!E8)-1, NA())</f>
        <v>-6.4643221946592777E-2</v>
      </c>
      <c r="F9" s="14">
        <f>IFERROR((TimeLine!F9/TimeLine!F8)-1, NA())</f>
        <v>0.12000000000000011</v>
      </c>
      <c r="G9" s="14">
        <f>IFERROR((TimeLine!G9/TimeLine!G8)-1, NA())</f>
        <v>-7.8617992177314244E-2</v>
      </c>
      <c r="H9" s="14">
        <f>IFERROR((TimeLine!H9/TimeLine!H8)-1, NA())</f>
        <v>-9.0590059577246862E-3</v>
      </c>
      <c r="I9" s="14">
        <f>IFERROR((TimeLine!I9/TimeLine!I8)-1, NA())</f>
        <v>-5.7989690721649501E-2</v>
      </c>
      <c r="J9" s="14">
        <f>IFERROR((TimeLine!J9/TimeLine!J8)-1, NA())</f>
        <v>-6.2911392405063271E-2</v>
      </c>
      <c r="K9" s="14">
        <f>IFERROR((TimeLine!K9/TimeLine!K8)-1, NA())</f>
        <v>-7.4325674325674274E-2</v>
      </c>
    </row>
    <row r="10" spans="1:11" x14ac:dyDescent="0.2">
      <c r="A10" s="13">
        <f>TimeLine!A10</f>
        <v>42248</v>
      </c>
      <c r="B10" s="14">
        <f>IFERROR((TimeLine!B10/TimeLine!B9)-1, NA())</f>
        <v>-1.8011394964160932E-2</v>
      </c>
      <c r="C10" s="14">
        <f>IFERROR((TimeLine!C10/TimeLine!C9)-1, NA())</f>
        <v>-1.1828814460393411E-2</v>
      </c>
      <c r="D10" s="14">
        <f>IFERROR((TimeLine!D10/TimeLine!D9)-1, NA())</f>
        <v>-3.0555977133606471E-2</v>
      </c>
      <c r="E10" s="14">
        <f>IFERROR((TimeLine!E10/TimeLine!E9)-1, NA())</f>
        <v>-4.8829953198127884E-2</v>
      </c>
      <c r="F10" s="14">
        <f>IFERROR((TimeLine!F10/TimeLine!F9)-1, NA())</f>
        <v>0.10714285714285698</v>
      </c>
      <c r="G10" s="14">
        <f>IFERROR((TimeLine!G10/TimeLine!G9)-1, NA())</f>
        <v>1.7970850431583418E-2</v>
      </c>
      <c r="H10" s="14">
        <f>IFERROR((TimeLine!H10/TimeLine!H9)-1, NA())</f>
        <v>1.7460056003953284E-2</v>
      </c>
      <c r="I10" s="14">
        <f>IFERROR((TimeLine!I10/TimeLine!I9)-1, NA())</f>
        <v>-2.2864959937463403E-2</v>
      </c>
      <c r="J10" s="14">
        <f>IFERROR((TimeLine!J10/TimeLine!J9)-1, NA())</f>
        <v>2.0397136296096186E-2</v>
      </c>
      <c r="K10" s="14">
        <f>IFERROR((TimeLine!K10/TimeLine!K9)-1, NA())</f>
        <v>-4.3384416145046401E-2</v>
      </c>
    </row>
    <row r="11" spans="1:11" x14ac:dyDescent="0.2">
      <c r="A11" s="13">
        <f>TimeLine!A11</f>
        <v>42278</v>
      </c>
      <c r="B11" s="14">
        <f>IFERROR((TimeLine!B11/TimeLine!B10)-1, NA())</f>
        <v>2.2833614074490027E-2</v>
      </c>
      <c r="C11" s="14">
        <f>IFERROR((TimeLine!C11/TimeLine!C10)-1, NA())</f>
        <v>0.11284465366509755</v>
      </c>
      <c r="D11" s="14">
        <f>IFERROR((TimeLine!D11/TimeLine!D10)-1, NA())</f>
        <v>8.5059750560976921E-2</v>
      </c>
      <c r="E11" s="14">
        <f>IFERROR((TimeLine!E11/TimeLine!E10)-1, NA())</f>
        <v>5.3796949319337317E-2</v>
      </c>
      <c r="F11" s="14">
        <f>IFERROR((TimeLine!F11/TimeLine!F10)-1, NA())</f>
        <v>0.14516129032258052</v>
      </c>
      <c r="G11" s="14">
        <f>IFERROR((TimeLine!G11/TimeLine!G10)-1, NA())</f>
        <v>6.1718098415346034E-2</v>
      </c>
      <c r="H11" s="14">
        <f>IFERROR((TimeLine!H11/TimeLine!H10)-1, NA())</f>
        <v>-6.1518536506395272E-3</v>
      </c>
      <c r="I11" s="14">
        <f>IFERROR((TimeLine!I11/TimeLine!I10)-1, NA())</f>
        <v>0.10460000000000003</v>
      </c>
      <c r="J11" s="14">
        <f>IFERROR((TimeLine!J11/TimeLine!J10)-1, NA())</f>
        <v>5.7585385226370134E-2</v>
      </c>
      <c r="K11" s="14">
        <f>IFERROR((TimeLine!K11/TimeLine!K10)-1, NA())</f>
        <v>6.25E-2</v>
      </c>
    </row>
    <row r="12" spans="1:11" x14ac:dyDescent="0.2">
      <c r="A12" s="13">
        <f>TimeLine!A12</f>
        <v>42309</v>
      </c>
      <c r="B12" s="14">
        <f>IFERROR((TimeLine!B12/TimeLine!B11)-1, NA())</f>
        <v>-6.7520585544373235E-2</v>
      </c>
      <c r="C12" s="14">
        <f>IFERROR((TimeLine!C12/TimeLine!C11)-1, NA())</f>
        <v>-1.3052936910804891E-2</v>
      </c>
      <c r="D12" s="14">
        <f>IFERROR((TimeLine!D12/TimeLine!D11)-1, NA())</f>
        <v>3.655076227576437E-3</v>
      </c>
      <c r="E12" s="14">
        <f>IFERROR((TimeLine!E12/TimeLine!E11)-1, NA())</f>
        <v>3.7821011673151883E-2</v>
      </c>
      <c r="F12" s="14">
        <f>IFERROR((TimeLine!F12/TimeLine!F11)-1, NA())</f>
        <v>0.11267605633802824</v>
      </c>
      <c r="G12" s="14">
        <f>IFERROR((TimeLine!G12/TimeLine!G11)-1, NA())</f>
        <v>-2.01623461639171E-2</v>
      </c>
      <c r="H12" s="14">
        <f>IFERROR((TimeLine!H12/TimeLine!H11)-1, NA())</f>
        <v>-1.0832383124287359E-2</v>
      </c>
      <c r="I12" s="14">
        <f>IFERROR((TimeLine!I12/TimeLine!I11)-1, NA())</f>
        <v>1.1859496650371115E-2</v>
      </c>
      <c r="J12" s="14">
        <f>IFERROR((TimeLine!J12/TimeLine!J11)-1, NA())</f>
        <v>-6.2586055826762133E-3</v>
      </c>
      <c r="K12" s="14">
        <f>IFERROR((TimeLine!K12/TimeLine!K11)-1, NA())</f>
        <v>-1.3166277341261523E-2</v>
      </c>
    </row>
    <row r="13" spans="1:11" x14ac:dyDescent="0.2">
      <c r="A13" s="13">
        <f>TimeLine!A13</f>
        <v>42339</v>
      </c>
      <c r="B13" s="14">
        <f>IFERROR((TimeLine!B13/TimeLine!B12)-1, NA())</f>
        <v>-4.5133437990582115E-3</v>
      </c>
      <c r="C13" s="14">
        <f>IFERROR((TimeLine!C13/TimeLine!C12)-1, NA())</f>
        <v>-4.5432280186137541E-2</v>
      </c>
      <c r="D13" s="14">
        <f>IFERROR((TimeLine!D13/TimeLine!D12)-1, NA())</f>
        <v>-2.3096458862427505E-2</v>
      </c>
      <c r="E13" s="14">
        <f>IFERROR((TimeLine!E13/TimeLine!E12)-1, NA())</f>
        <v>-9.7480503899221027E-3</v>
      </c>
      <c r="F13" s="14">
        <f>IFERROR((TimeLine!F13/TimeLine!F12)-1, NA())</f>
        <v>3.7974683544303778E-2</v>
      </c>
      <c r="G13" s="14">
        <f>IFERROR((TimeLine!G13/TimeLine!G12)-1, NA())</f>
        <v>6.106360235168351E-2</v>
      </c>
      <c r="H13" s="14">
        <f>IFERROR((TimeLine!H13/TimeLine!H12)-1, NA())</f>
        <v>-7.1634417455743726E-3</v>
      </c>
      <c r="I13" s="14">
        <f>IFERROR((TimeLine!I13/TimeLine!I12)-1, NA())</f>
        <v>-3.1135367272076442E-2</v>
      </c>
      <c r="J13" s="14">
        <f>IFERROR((TimeLine!J13/TimeLine!J12)-1, NA())</f>
        <v>4.282655246252709E-3</v>
      </c>
      <c r="K13" s="14">
        <f>IFERROR((TimeLine!K13/TimeLine!K12)-1, NA())</f>
        <v>-2.9266193242952432E-2</v>
      </c>
    </row>
    <row r="14" spans="1:11" x14ac:dyDescent="0.2">
      <c r="A14" s="13">
        <f>TimeLine!A14</f>
        <v>42370</v>
      </c>
      <c r="B14" s="14">
        <f>IFERROR((TimeLine!B14/TimeLine!B13)-1, NA())</f>
        <v>5.410999408633943E-2</v>
      </c>
      <c r="C14" s="14">
        <f>IFERROR((TimeLine!C14/TimeLine!C13)-1, NA())</f>
        <v>-1.2828736369469018E-3</v>
      </c>
      <c r="D14" s="14">
        <f>IFERROR((TimeLine!D14/TimeLine!D13)-1, NA())</f>
        <v>-4.9786628733997196E-2</v>
      </c>
      <c r="E14" s="14">
        <f>IFERROR((TimeLine!E14/TimeLine!E13)-1, NA())</f>
        <v>-9.8894441920339249E-2</v>
      </c>
      <c r="F14" s="14">
        <f>IFERROR((TimeLine!F14/TimeLine!F13)-1, NA())</f>
        <v>-0.1097560975609756</v>
      </c>
      <c r="G14" s="14">
        <f>IFERROR((TimeLine!G14/TimeLine!G13)-1, NA())</f>
        <v>2.8711749149981092E-2</v>
      </c>
      <c r="H14" s="14">
        <f>IFERROR((TimeLine!H14/TimeLine!H13)-1, NA())</f>
        <v>5.57306352628959E-2</v>
      </c>
      <c r="I14" s="14">
        <f>IFERROR((TimeLine!I14/TimeLine!I13)-1, NA())</f>
        <v>-5.8731184781604995E-2</v>
      </c>
      <c r="J14" s="14">
        <f>IFERROR((TimeLine!J14/TimeLine!J13)-1, NA())</f>
        <v>-3.4365985200050297E-2</v>
      </c>
      <c r="K14" s="14">
        <f>IFERROR((TimeLine!K14/TimeLine!K13)-1, NA())</f>
        <v>-5.4533362890711645E-2</v>
      </c>
    </row>
    <row r="15" spans="1:11" x14ac:dyDescent="0.2">
      <c r="A15" s="13">
        <f>TimeLine!A15</f>
        <v>42401</v>
      </c>
      <c r="B15" s="14">
        <f>IFERROR((TimeLine!B15/TimeLine!B14)-1, NA())</f>
        <v>0.10930341280972411</v>
      </c>
      <c r="C15" s="14">
        <f>IFERROR((TimeLine!C15/TimeLine!C14)-1, NA())</f>
        <v>2.9543994861914058E-2</v>
      </c>
      <c r="D15" s="14">
        <f>IFERROR((TimeLine!D15/TimeLine!D14)-1, NA())</f>
        <v>-8.2593433822009121E-4</v>
      </c>
      <c r="E15" s="14">
        <f>IFERROR((TimeLine!E15/TimeLine!E14)-1, NA())</f>
        <v>-5.3781512605042048E-2</v>
      </c>
      <c r="F15" s="14">
        <f>IFERROR((TimeLine!F15/TimeLine!F14)-1, NA())</f>
        <v>6.8493150684931559E-2</v>
      </c>
      <c r="G15" s="14">
        <f>IFERROR((TimeLine!G15/TimeLine!G14)-1, NA())</f>
        <v>-1.713796058269057E-2</v>
      </c>
      <c r="H15" s="14">
        <f>IFERROR((TimeLine!H15/TimeLine!H14)-1, NA())</f>
        <v>2.8908091123330593E-2</v>
      </c>
      <c r="I15" s="14">
        <f>IFERROR((TimeLine!I15/TimeLine!I14)-1, NA())</f>
        <v>-9.7125478269401988E-3</v>
      </c>
      <c r="J15" s="14">
        <f>IFERROR((TimeLine!J15/TimeLine!J14)-1, NA())</f>
        <v>-3.6368359527211291E-3</v>
      </c>
      <c r="K15" s="14">
        <f>IFERROR((TimeLine!K15/TimeLine!K14)-1, NA())</f>
        <v>-2.4618991793669331E-2</v>
      </c>
    </row>
    <row r="16" spans="1:11" x14ac:dyDescent="0.2">
      <c r="A16" s="13">
        <f>TimeLine!A16</f>
        <v>42430</v>
      </c>
      <c r="B16" s="14">
        <f>IFERROR((TimeLine!B16/TimeLine!B15)-1, NA())</f>
        <v>-8.4288604180714488E-3</v>
      </c>
      <c r="C16" s="14">
        <f>IFERROR((TimeLine!C16/TimeLine!C15)-1, NA())</f>
        <v>4.2919525888958088E-2</v>
      </c>
      <c r="D16" s="14">
        <f>IFERROR((TimeLine!D16/TimeLine!D15)-1, NA())</f>
        <v>6.1789625955775973E-2</v>
      </c>
      <c r="E16" s="14">
        <f>IFERROR((TimeLine!E16/TimeLine!E15)-1, NA())</f>
        <v>5.1865008880994656E-2</v>
      </c>
      <c r="F16" s="14">
        <f>IFERROR((TimeLine!F16/TimeLine!F15)-1, NA())</f>
        <v>0.14102564102564097</v>
      </c>
      <c r="G16" s="14">
        <f>IFERROR((TimeLine!G16/TimeLine!G15)-1, NA())</f>
        <v>2.5158799352347661E-2</v>
      </c>
      <c r="H16" s="14">
        <f>IFERROR((TimeLine!H16/TimeLine!H15)-1, NA())</f>
        <v>-2.8248587570619543E-3</v>
      </c>
      <c r="I16" s="14">
        <f>IFERROR((TimeLine!I16/TimeLine!I15)-1, NA())</f>
        <v>8.5100059441252318E-2</v>
      </c>
      <c r="J16" s="14">
        <f>IFERROR((TimeLine!J16/TimeLine!J15)-1, NA())</f>
        <v>9.2426020075609516E-2</v>
      </c>
      <c r="K16" s="14">
        <f>IFERROR((TimeLine!K16/TimeLine!K15)-1, NA())</f>
        <v>7.9807692307692246E-2</v>
      </c>
    </row>
    <row r="17" spans="1:11" x14ac:dyDescent="0.2">
      <c r="A17" s="13">
        <f>TimeLine!A17</f>
        <v>42461</v>
      </c>
      <c r="B17" s="14">
        <f>IFERROR((TimeLine!B17/TimeLine!B16)-1, NA())</f>
        <v>5.1088065283917183E-2</v>
      </c>
      <c r="C17" s="14">
        <f>IFERROR((TimeLine!C17/TimeLine!C16)-1, NA())</f>
        <v>5.7542768273717071E-2</v>
      </c>
      <c r="D17" s="14">
        <f>IFERROR((TimeLine!D17/TimeLine!D16)-1, NA())</f>
        <v>3.9412222654728879E-3</v>
      </c>
      <c r="E17" s="14">
        <f>IFERROR((TimeLine!E17/TimeLine!E16)-1, NA())</f>
        <v>6.7207024653833214E-2</v>
      </c>
      <c r="F17" s="14">
        <f>IFERROR((TimeLine!F17/TimeLine!F16)-1, NA())</f>
        <v>0</v>
      </c>
      <c r="G17" s="14">
        <f>IFERROR((TimeLine!G17/TimeLine!G16)-1, NA())</f>
        <v>-2.6606730652411592E-2</v>
      </c>
      <c r="H17" s="14">
        <f>IFERROR((TimeLine!H17/TimeLine!H16)-1, NA())</f>
        <v>-9.4173493606922731E-3</v>
      </c>
      <c r="I17" s="14">
        <f>IFERROR((TimeLine!I17/TimeLine!I16)-1, NA())</f>
        <v>-4.6745183967862758E-2</v>
      </c>
      <c r="J17" s="14">
        <f>IFERROR((TimeLine!J17/TimeLine!J16)-1, NA())</f>
        <v>-2.350835322195699E-2</v>
      </c>
      <c r="K17" s="14">
        <f>IFERROR((TimeLine!K17/TimeLine!K16)-1, NA())</f>
        <v>2.1593944790739172E-2</v>
      </c>
    </row>
    <row r="18" spans="1:11" x14ac:dyDescent="0.2">
      <c r="A18" s="13">
        <f>TimeLine!A18</f>
        <v>42491</v>
      </c>
      <c r="B18" s="14">
        <f>IFERROR((TimeLine!B18/TimeLine!B17)-1, NA())</f>
        <v>-6.13829357056207E-2</v>
      </c>
      <c r="C18" s="14">
        <f>IFERROR((TimeLine!C18/TimeLine!C17)-1, NA())</f>
        <v>7.0135746606334592E-3</v>
      </c>
      <c r="D18" s="14">
        <f>IFERROR((TimeLine!D18/TimeLine!D17)-1, NA())</f>
        <v>1.7011583385838192E-2</v>
      </c>
      <c r="E18" s="14">
        <f>IFERROR((TimeLine!E18/TimeLine!E17)-1, NA())</f>
        <v>3.2753164556961867E-2</v>
      </c>
      <c r="F18" s="14">
        <f>IFERROR((TimeLine!F18/TimeLine!F17)-1, NA())</f>
        <v>0.31460674157303359</v>
      </c>
      <c r="G18" s="14">
        <f>IFERROR((TimeLine!G18/TimeLine!G17)-1, NA())</f>
        <v>1.1482775836245684E-2</v>
      </c>
      <c r="H18" s="14">
        <f>IFERROR((TimeLine!H18/TimeLine!H17)-1, NA())</f>
        <v>6.0287525119802066E-3</v>
      </c>
      <c r="I18" s="14">
        <f>IFERROR((TimeLine!I18/TimeLine!I17)-1, NA())</f>
        <v>5.3443156785748513E-2</v>
      </c>
      <c r="J18" s="14">
        <f>IFERROR((TimeLine!J18/TimeLine!J17)-1, NA())</f>
        <v>2.248564096297212E-2</v>
      </c>
      <c r="K18" s="14">
        <f>IFERROR((TimeLine!K18/TimeLine!K17)-1, NA())</f>
        <v>-9.8060579646982449E-3</v>
      </c>
    </row>
    <row r="19" spans="1:11" x14ac:dyDescent="0.2">
      <c r="A19" s="13">
        <f>TimeLine!A19</f>
        <v>42522</v>
      </c>
      <c r="B19" s="14">
        <f>IFERROR((TimeLine!B19/TimeLine!B18)-1, NA())</f>
        <v>8.9694985352403833E-2</v>
      </c>
      <c r="C19" s="14">
        <f>IFERROR((TimeLine!C19/TimeLine!C18)-1, NA())</f>
        <v>5.3021792855538097E-2</v>
      </c>
      <c r="D19" s="14">
        <f>IFERROR((TimeLine!D19/TimeLine!D18)-1, NA())</f>
        <v>-1.7632481890964558E-3</v>
      </c>
      <c r="E19" s="14">
        <f>IFERROR((TimeLine!E19/TimeLine!E18)-1, NA())</f>
        <v>-4.7954649915734615E-2</v>
      </c>
      <c r="F19" s="14">
        <f>IFERROR((TimeLine!F19/TimeLine!F18)-1, NA())</f>
        <v>8.5470085470085166E-3</v>
      </c>
      <c r="G19" s="14">
        <f>IFERROR((TimeLine!G19/TimeLine!G18)-1, NA())</f>
        <v>4.4792694965449131E-2</v>
      </c>
      <c r="H19" s="14">
        <f>IFERROR((TimeLine!H19/TimeLine!H18)-1, NA())</f>
        <v>6.714812538414261E-2</v>
      </c>
      <c r="I19" s="14">
        <f>IFERROR((TimeLine!I19/TimeLine!I18)-1, NA())</f>
        <v>-2.6366033275752265E-2</v>
      </c>
      <c r="J19" s="14">
        <f>IFERROR((TimeLine!J19/TimeLine!J18)-1, NA())</f>
        <v>5.9758575355563615E-2</v>
      </c>
      <c r="K19" s="14">
        <f>IFERROR((TimeLine!K19/TimeLine!K18)-1, NA())</f>
        <v>-2.1126760563380254E-2</v>
      </c>
    </row>
    <row r="20" spans="1:11" x14ac:dyDescent="0.2">
      <c r="A20" s="13">
        <f>TimeLine!A20</f>
        <v>42552</v>
      </c>
      <c r="B20" s="14">
        <f>IFERROR((TimeLine!B20/TimeLine!B19)-1, NA())</f>
        <v>1.9846603937692553E-2</v>
      </c>
      <c r="C20" s="14">
        <f>IFERROR((TimeLine!C20/TimeLine!C19)-1, NA())</f>
        <v>-5.1098783870279441E-2</v>
      </c>
      <c r="D20" s="14">
        <f>IFERROR((TimeLine!D20/TimeLine!D19)-1, NA())</f>
        <v>3.6520742827135244E-2</v>
      </c>
      <c r="E20" s="14">
        <f>IFERROR((TimeLine!E20/TimeLine!E19)-1, NA())</f>
        <v>2.9449629868039784E-2</v>
      </c>
      <c r="F20" s="14">
        <f>IFERROR((TimeLine!F20/TimeLine!F19)-1, NA())</f>
        <v>0.21186440677966112</v>
      </c>
      <c r="G20" s="14">
        <f>IFERROR((TimeLine!G20/TimeLine!G19)-1, NA())</f>
        <v>1.086571394826974E-2</v>
      </c>
      <c r="H20" s="14">
        <f>IFERROR((TimeLine!H20/TimeLine!H19)-1, NA())</f>
        <v>1.9150467962562923E-2</v>
      </c>
      <c r="I20" s="14">
        <f>IFERROR((TimeLine!I20/TimeLine!I19)-1, NA())</f>
        <v>7.5730693808945704E-2</v>
      </c>
      <c r="J20" s="14">
        <f>IFERROR((TimeLine!J20/TimeLine!J19)-1, NA())</f>
        <v>4.2629976316679752E-2</v>
      </c>
      <c r="K20" s="14">
        <f>IFERROR((TimeLine!K20/TimeLine!K19)-1, NA())</f>
        <v>4.5188848920863389E-2</v>
      </c>
    </row>
    <row r="21" spans="1:11" x14ac:dyDescent="0.2">
      <c r="A21" s="13">
        <f>TimeLine!A21</f>
        <v>42583</v>
      </c>
      <c r="B21" s="14">
        <f>IFERROR((TimeLine!B21/TimeLine!B20)-1, NA())</f>
        <v>-3.2563188091176865E-2</v>
      </c>
      <c r="C21" s="14">
        <f>IFERROR((TimeLine!C21/TimeLine!C20)-1, NA())</f>
        <v>-2.0348510399100683E-2</v>
      </c>
      <c r="D21" s="14">
        <f>IFERROR((TimeLine!D21/TimeLine!D20)-1, NA())</f>
        <v>1.1974944731023562E-3</v>
      </c>
      <c r="E21" s="14">
        <f>IFERROR((TimeLine!E21/TimeLine!E20)-1, NA())</f>
        <v>5.5182116617164212E-2</v>
      </c>
      <c r="F21" s="14">
        <f>IFERROR((TimeLine!F21/TimeLine!F20)-1, NA())</f>
        <v>6.9930069930070005E-2</v>
      </c>
      <c r="G21" s="14">
        <f>IFERROR((TimeLine!G21/TimeLine!G20)-1, NA())</f>
        <v>2.0095805584764648E-2</v>
      </c>
      <c r="H21" s="14">
        <f>IFERROR((TimeLine!H21/TimeLine!H20)-1, NA())</f>
        <v>-1.1938400678157657E-2</v>
      </c>
      <c r="I21" s="14">
        <f>IFERROR((TimeLine!I21/TimeLine!I20)-1, NA())</f>
        <v>2.3350694444444375E-2</v>
      </c>
      <c r="J21" s="14">
        <f>IFERROR((TimeLine!J21/TimeLine!J20)-1, NA())</f>
        <v>-3.764196863169289E-2</v>
      </c>
      <c r="K21" s="14">
        <f>IFERROR((TimeLine!K21/TimeLine!K20)-1, NA())</f>
        <v>4.5171004517101654E-3</v>
      </c>
    </row>
    <row r="22" spans="1:11" x14ac:dyDescent="0.2">
      <c r="A22" s="13">
        <f>TimeLine!A22</f>
        <v>42614</v>
      </c>
      <c r="B22" s="14">
        <f>IFERROR((TimeLine!B22/TimeLine!B21)-1, NA())</f>
        <v>6.8921301490623144E-3</v>
      </c>
      <c r="C22" s="14">
        <f>IFERROR((TimeLine!C22/TimeLine!C21)-1, NA())</f>
        <v>1.6066100527887262E-3</v>
      </c>
      <c r="D22" s="14">
        <f>IFERROR((TimeLine!D22/TimeLine!D21)-1, NA())</f>
        <v>-4.9682583494341515E-3</v>
      </c>
      <c r="E22" s="14">
        <f>IFERROR((TimeLine!E22/TimeLine!E21)-1, NA())</f>
        <v>-1.3481481481481428E-2</v>
      </c>
      <c r="F22" s="14">
        <f>IFERROR((TimeLine!F22/TimeLine!F21)-1, NA())</f>
        <v>0.11764705882352944</v>
      </c>
      <c r="G22" s="14">
        <f>IFERROR((TimeLine!G22/TimeLine!G21)-1, NA())</f>
        <v>2.7946397892566699E-2</v>
      </c>
      <c r="H22" s="14">
        <f>IFERROR((TimeLine!H22/TimeLine!H21)-1, NA())</f>
        <v>-1.6872810466862176E-2</v>
      </c>
      <c r="I22" s="14">
        <f>IFERROR((TimeLine!I22/TimeLine!I21)-1, NA())</f>
        <v>2.1036559504622909E-2</v>
      </c>
      <c r="J22" s="14">
        <f>IFERROR((TimeLine!J22/TimeLine!J21)-1, NA())</f>
        <v>-2.5064628526469623E-2</v>
      </c>
      <c r="K22" s="14">
        <f>IFERROR((TimeLine!K22/TimeLine!K21)-1, NA())</f>
        <v>1.0920770877944186E-2</v>
      </c>
    </row>
    <row r="23" spans="1:11" x14ac:dyDescent="0.2">
      <c r="A23" s="13">
        <f>TimeLine!A23</f>
        <v>42644</v>
      </c>
      <c r="B23" s="14">
        <f>IFERROR((TimeLine!B23/TimeLine!B22)-1, NA())</f>
        <v>-2.9449219993632592E-2</v>
      </c>
      <c r="C23" s="14">
        <f>IFERROR((TimeLine!C23/TimeLine!C22)-1, NA())</f>
        <v>-4.5371219065078017E-2</v>
      </c>
      <c r="D23" s="14">
        <f>IFERROR((TimeLine!D23/TimeLine!D22)-1, NA())</f>
        <v>-1.7337031900138689E-2</v>
      </c>
      <c r="E23" s="14">
        <f>IFERROR((TimeLine!E23/TimeLine!E22)-1, NA())</f>
        <v>4.0096110527106266E-2</v>
      </c>
      <c r="F23" s="14">
        <f>IFERROR((TimeLine!F23/TimeLine!F22)-1, NA())</f>
        <v>4.0935672514619936E-2</v>
      </c>
      <c r="G23" s="14">
        <f>IFERROR((TimeLine!G23/TimeLine!G22)-1, NA())</f>
        <v>-3.2869080779944326E-2</v>
      </c>
      <c r="H23" s="14">
        <f>IFERROR((TimeLine!H23/TimeLine!H22)-1, NA())</f>
        <v>-4.5523961893680354E-2</v>
      </c>
      <c r="I23" s="14">
        <f>IFERROR((TimeLine!I23/TimeLine!I22)-1, NA())</f>
        <v>-5.4000166154357654E-3</v>
      </c>
      <c r="J23" s="14">
        <f>IFERROR((TimeLine!J23/TimeLine!J22)-1, NA())</f>
        <v>-5.7412958266082392E-2</v>
      </c>
      <c r="K23" s="14">
        <f>IFERROR((TimeLine!K23/TimeLine!K22)-1, NA())</f>
        <v>-1.9063757678457915E-2</v>
      </c>
    </row>
    <row r="24" spans="1:11" x14ac:dyDescent="0.2">
      <c r="A24" s="13">
        <f>TimeLine!A24</f>
        <v>42675</v>
      </c>
      <c r="B24" s="14">
        <f>IFERROR((TimeLine!B24/TimeLine!B23)-1, NA())</f>
        <v>-8.3565688043300002E-2</v>
      </c>
      <c r="C24" s="14">
        <f>IFERROR((TimeLine!C24/TimeLine!C23)-1, NA())</f>
        <v>4.776764282285173E-2</v>
      </c>
      <c r="D24" s="14">
        <f>IFERROR((TimeLine!D24/TimeLine!D23)-1, NA())</f>
        <v>3.683839096683128E-2</v>
      </c>
      <c r="E24" s="14">
        <f>IFERROR((TimeLine!E24/TimeLine!E23)-1, NA())</f>
        <v>0.15752237943979197</v>
      </c>
      <c r="F24" s="14">
        <f>IFERROR((TimeLine!F24/TimeLine!F23)-1, NA())</f>
        <v>0.297752808988764</v>
      </c>
      <c r="G24" s="14">
        <f>IFERROR((TimeLine!G24/TimeLine!G23)-1, NA())</f>
        <v>-5.0000000000000044E-2</v>
      </c>
      <c r="H24" s="14">
        <f>IFERROR((TimeLine!H24/TimeLine!H23)-1, NA())</f>
        <v>-8.3885714285714341E-2</v>
      </c>
      <c r="I24" s="14">
        <f>IFERROR((TimeLine!I24/TimeLine!I23)-1, NA())</f>
        <v>5.2622786501836938E-3</v>
      </c>
      <c r="J24" s="14">
        <f>IFERROR((TimeLine!J24/TimeLine!J23)-1, NA())</f>
        <v>-1.6756360078277965E-2</v>
      </c>
      <c r="K24" s="14">
        <f>IFERROR((TimeLine!K24/TimeLine!K23)-1, NA())</f>
        <v>-2.0082055711509339E-2</v>
      </c>
    </row>
    <row r="25" spans="1:11" x14ac:dyDescent="0.2">
      <c r="A25" s="13">
        <f>TimeLine!A25</f>
        <v>42705</v>
      </c>
      <c r="B25" s="14">
        <f>IFERROR((TimeLine!B25/TimeLine!B24)-1, NA())</f>
        <v>-1.9149888143176752E-2</v>
      </c>
      <c r="C25" s="14">
        <f>IFERROR((TimeLine!C25/TimeLine!C24)-1, NA())</f>
        <v>3.3906071019473183E-2</v>
      </c>
      <c r="D25" s="14">
        <f>IFERROR((TimeLine!D25/TimeLine!D24)-1, NA())</f>
        <v>1.4293493057446316E-2</v>
      </c>
      <c r="E25" s="14">
        <f>IFERROR((TimeLine!E25/TimeLine!E24)-1, NA())</f>
        <v>7.6337782212797967E-2</v>
      </c>
      <c r="F25" s="14">
        <f>IFERROR((TimeLine!F25/TimeLine!F24)-1, NA())</f>
        <v>0.1558441558441559</v>
      </c>
      <c r="G25" s="14">
        <f>IFERROR((TimeLine!G25/TimeLine!G24)-1, NA())</f>
        <v>1.9645888915837961E-2</v>
      </c>
      <c r="H25" s="14">
        <f>IFERROR((TimeLine!H25/TimeLine!H24)-1, NA())</f>
        <v>-9.2315369261477542E-3</v>
      </c>
      <c r="I25" s="14">
        <f>IFERROR((TimeLine!I25/TimeLine!I24)-1, NA())</f>
        <v>9.5554632322394362E-3</v>
      </c>
      <c r="J25" s="14">
        <f>IFERROR((TimeLine!J25/TimeLine!J24)-1, NA())</f>
        <v>2.6620226396318003E-2</v>
      </c>
      <c r="K25" s="14">
        <f>IFERROR((TimeLine!K25/TimeLine!K24)-1, NA())</f>
        <v>1.1018069634200156E-2</v>
      </c>
    </row>
    <row r="26" spans="1:11" x14ac:dyDescent="0.2">
      <c r="A26" s="13">
        <f>TimeLine!A26</f>
        <v>42736</v>
      </c>
      <c r="B26" s="14">
        <f>IFERROR((TimeLine!B26/TimeLine!B25)-1, NA())</f>
        <v>5.4192135754036919E-2</v>
      </c>
      <c r="C26" s="14">
        <f>IFERROR((TimeLine!C26/TimeLine!C25)-1, NA())</f>
        <v>-7.0573897629071625E-2</v>
      </c>
      <c r="D26" s="14">
        <f>IFERROR((TimeLine!D26/TimeLine!D25)-1, NA())</f>
        <v>1.7894689750816539E-2</v>
      </c>
      <c r="E26" s="14">
        <f>IFERROR((TimeLine!E26/TimeLine!E25)-1, NA())</f>
        <v>-1.9237455093290223E-2</v>
      </c>
      <c r="F26" s="14">
        <f>IFERROR((TimeLine!F26/TimeLine!F25)-1, NA())</f>
        <v>2.2471910112359605E-2</v>
      </c>
      <c r="G26" s="14">
        <f>IFERROR((TimeLine!G26/TimeLine!G25)-1, NA())</f>
        <v>4.186489058039955E-2</v>
      </c>
      <c r="H26" s="14">
        <f>IFERROR((TimeLine!H26/TimeLine!H25)-1, NA())</f>
        <v>8.1423654830856673E-3</v>
      </c>
      <c r="I26" s="14">
        <f>IFERROR((TimeLine!I26/TimeLine!I25)-1, NA())</f>
        <v>4.312757201646078E-2</v>
      </c>
      <c r="J26" s="14">
        <f>IFERROR((TimeLine!J26/TimeLine!J25)-1, NA())</f>
        <v>-1.938688961589663E-3</v>
      </c>
      <c r="K26" s="14">
        <f>IFERROR((TimeLine!K26/TimeLine!K25)-1, NA())</f>
        <v>4.0758500435919665E-2</v>
      </c>
    </row>
    <row r="27" spans="1:11" x14ac:dyDescent="0.2">
      <c r="A27" s="13">
        <f>TimeLine!A27</f>
        <v>42767</v>
      </c>
      <c r="B27" s="14">
        <f>IFERROR((TimeLine!B27/TimeLine!B26)-1, NA())</f>
        <v>3.1847684984855018E-2</v>
      </c>
      <c r="C27" s="14">
        <f>IFERROR((TimeLine!C27/TimeLine!C26)-1, NA())</f>
        <v>-3.0635355823101729E-2</v>
      </c>
      <c r="D27" s="14">
        <f>IFERROR((TimeLine!D27/TimeLine!D26)-1, NA())</f>
        <v>3.9291521997099288E-2</v>
      </c>
      <c r="E27" s="14">
        <f>IFERROR((TimeLine!E27/TimeLine!E26)-1, NA())</f>
        <v>7.0778683681909538E-2</v>
      </c>
      <c r="F27" s="14">
        <f>IFERROR((TimeLine!F27/TimeLine!F26)-1, NA())</f>
        <v>-6.9597069597069572E-2</v>
      </c>
      <c r="G27" s="14">
        <f>IFERROR((TimeLine!G27/TimeLine!G26)-1, NA())</f>
        <v>3.9611872146118721E-2</v>
      </c>
      <c r="H27" s="14">
        <f>IFERROR((TimeLine!H27/TimeLine!H26)-1, NA())</f>
        <v>1.3655287260616156E-2</v>
      </c>
      <c r="I27" s="14">
        <f>IFERROR((TimeLine!I27/TimeLine!I26)-1, NA())</f>
        <v>4.9392456998579748E-2</v>
      </c>
      <c r="J27" s="14">
        <f>IFERROR((TimeLine!J27/TimeLine!J26)-1, NA())</f>
        <v>3.5085589413621499E-2</v>
      </c>
      <c r="K27" s="14">
        <f>IFERROR((TimeLine!K27/TimeLine!K26)-1, NA())</f>
        <v>1.3403141361256532E-2</v>
      </c>
    </row>
    <row r="28" spans="1:11" x14ac:dyDescent="0.2">
      <c r="A28" s="13">
        <f>TimeLine!A28</f>
        <v>42795</v>
      </c>
      <c r="B28" s="14">
        <f>IFERROR((TimeLine!B28/TimeLine!B27)-1, NA())</f>
        <v>-4.2774469512707469E-3</v>
      </c>
      <c r="C28" s="14">
        <f>IFERROR((TimeLine!C28/TimeLine!C27)-1, NA())</f>
        <v>8.4849975405805189E-3</v>
      </c>
      <c r="D28" s="14">
        <f>IFERROR((TimeLine!D28/TimeLine!D27)-1, NA())</f>
        <v>-3.0870723559013324E-3</v>
      </c>
      <c r="E28" s="14">
        <f>IFERROR((TimeLine!E28/TimeLine!E27)-1, NA())</f>
        <v>-3.0677554623703363E-2</v>
      </c>
      <c r="F28" s="14">
        <f>IFERROR((TimeLine!F28/TimeLine!F27)-1, NA())</f>
        <v>7.0866141732283561E-2</v>
      </c>
      <c r="G28" s="14">
        <f>IFERROR((TimeLine!G28/TimeLine!G27)-1, NA())</f>
        <v>-1.3396288569232473E-2</v>
      </c>
      <c r="H28" s="14">
        <f>IFERROR((TimeLine!H28/TimeLine!H27)-1, NA())</f>
        <v>-8.4606538524725217E-3</v>
      </c>
      <c r="I28" s="14">
        <f>IFERROR((TimeLine!I28/TimeLine!I27)-1, NA())</f>
        <v>1.9774436090225445E-2</v>
      </c>
      <c r="J28" s="14">
        <f>IFERROR((TimeLine!J28/TimeLine!J27)-1, NA())</f>
        <v>-3.131597466572833E-2</v>
      </c>
      <c r="K28" s="14">
        <f>IFERROR((TimeLine!K28/TimeLine!K27)-1, NA())</f>
        <v>2.6658400495970236E-2</v>
      </c>
    </row>
    <row r="29" spans="1:11" x14ac:dyDescent="0.2">
      <c r="A29" s="13">
        <f>TimeLine!A29</f>
        <v>42826</v>
      </c>
      <c r="B29" s="14">
        <f>IFERROR((TimeLine!B29/TimeLine!B28)-1, NA())</f>
        <v>1.7267520215633381E-2</v>
      </c>
      <c r="C29" s="14">
        <f>IFERROR((TimeLine!C29/TimeLine!C28)-1, NA())</f>
        <v>-4.3897085721253948E-3</v>
      </c>
      <c r="D29" s="14">
        <f>IFERROR((TimeLine!D29/TimeLine!D28)-1, NA())</f>
        <v>9.9261898701958895E-3</v>
      </c>
      <c r="E29" s="14">
        <f>IFERROR((TimeLine!E29/TimeLine!E28)-1, NA())</f>
        <v>-9.5628415300547109E-3</v>
      </c>
      <c r="F29" s="14">
        <f>IFERROR((TimeLine!F29/TimeLine!F28)-1, NA())</f>
        <v>-4.0441176470588314E-2</v>
      </c>
      <c r="G29" s="14">
        <f>IFERROR((TimeLine!G29/TimeLine!G28)-1, NA())</f>
        <v>-2.8046744574290461E-2</v>
      </c>
      <c r="H29" s="14">
        <f>IFERROR((TimeLine!H29/TimeLine!H28)-1, NA())</f>
        <v>1.3586281169745584E-2</v>
      </c>
      <c r="I29" s="14">
        <f>IFERROR((TimeLine!I29/TimeLine!I28)-1, NA())</f>
        <v>2.3372410233724272E-2</v>
      </c>
      <c r="J29" s="14">
        <f>IFERROR((TimeLine!J29/TimeLine!J28)-1, NA())</f>
        <v>2.4216006780481969E-3</v>
      </c>
      <c r="K29" s="14">
        <f>IFERROR((TimeLine!K29/TimeLine!K28)-1, NA())</f>
        <v>2.0531400966183666E-2</v>
      </c>
    </row>
    <row r="30" spans="1:11" x14ac:dyDescent="0.2">
      <c r="A30" s="13">
        <f>TimeLine!A30</f>
        <v>42856</v>
      </c>
      <c r="B30" s="14">
        <f>IFERROR((TimeLine!B30/TimeLine!B29)-1, NA())</f>
        <v>-1.2420303055393767E-3</v>
      </c>
      <c r="C30" s="14">
        <f>IFERROR((TimeLine!C30/TimeLine!C29)-1, NA())</f>
        <v>-1.4084507042253613E-2</v>
      </c>
      <c r="D30" s="14">
        <f>IFERROR((TimeLine!D30/TimeLine!D29)-1, NA())</f>
        <v>1.4112903225806495E-2</v>
      </c>
      <c r="E30" s="14">
        <f>IFERROR((TimeLine!E30/TimeLine!E29)-1, NA())</f>
        <v>-5.5747126436781591E-2</v>
      </c>
      <c r="F30" s="14">
        <f>IFERROR((TimeLine!F30/TimeLine!F29)-1, NA())</f>
        <v>0.3831417624521074</v>
      </c>
      <c r="G30" s="14">
        <f>IFERROR((TimeLine!G30/TimeLine!G29)-1, NA())</f>
        <v>8.7026222374899653E-3</v>
      </c>
      <c r="H30" s="14">
        <f>IFERROR((TimeLine!H30/TimeLine!H29)-1, NA())</f>
        <v>1.6755210461790071E-2</v>
      </c>
      <c r="I30" s="14">
        <f>IFERROR((TimeLine!I30/TimeLine!I29)-1, NA())</f>
        <v>4.4092219020172685E-2</v>
      </c>
      <c r="J30" s="14">
        <f>IFERROR((TimeLine!J30/TimeLine!J29)-1, NA())</f>
        <v>-7.2472520835851206E-3</v>
      </c>
      <c r="K30" s="14">
        <f>IFERROR((TimeLine!K30/TimeLine!K29)-1, NA())</f>
        <v>2.9585798816567976E-2</v>
      </c>
    </row>
    <row r="31" spans="1:11" x14ac:dyDescent="0.2">
      <c r="A31" s="13">
        <f>TimeLine!A31</f>
        <v>42887</v>
      </c>
      <c r="B31" s="14">
        <f>IFERROR((TimeLine!B31/TimeLine!B30)-1, NA())</f>
        <v>-2.155529762891728E-2</v>
      </c>
      <c r="C31" s="14">
        <f>IFERROR((TimeLine!C31/TimeLine!C30)-1, NA())</f>
        <v>2.8571428571428914E-3</v>
      </c>
      <c r="D31" s="14">
        <f>IFERROR((TimeLine!D31/TimeLine!D30)-1, NA())</f>
        <v>1.4910536779324524E-3</v>
      </c>
      <c r="E31" s="14">
        <f>IFERROR((TimeLine!E31/TimeLine!E30)-1, NA())</f>
        <v>0.11259890444309195</v>
      </c>
      <c r="F31" s="14">
        <f>IFERROR((TimeLine!F31/TimeLine!F30)-1, NA())</f>
        <v>0</v>
      </c>
      <c r="G31" s="14">
        <f>IFERROR((TimeLine!G31/TimeLine!G30)-1, NA())</f>
        <v>-1.0670904756499011E-2</v>
      </c>
      <c r="H31" s="14">
        <f>IFERROR((TimeLine!H31/TimeLine!H30)-1, NA())</f>
        <v>5.7877813504823017E-3</v>
      </c>
      <c r="I31" s="14">
        <f>IFERROR((TimeLine!I31/TimeLine!I30)-1, NA())</f>
        <v>-2.8153463980126858E-2</v>
      </c>
      <c r="J31" s="14">
        <f>IFERROR((TimeLine!J31/TimeLine!J30)-1, NA())</f>
        <v>1.2653607494829133E-2</v>
      </c>
      <c r="K31" s="14">
        <f>IFERROR((TimeLine!K31/TimeLine!K30)-1, NA())</f>
        <v>-4.4061302681993597E-3</v>
      </c>
    </row>
    <row r="32" spans="1:11" x14ac:dyDescent="0.2">
      <c r="A32" s="13">
        <f>TimeLine!A32</f>
        <v>42917</v>
      </c>
      <c r="B32" s="14">
        <f>IFERROR((TimeLine!B32/TimeLine!B31)-1, NA())</f>
        <v>2.313167259786475E-2</v>
      </c>
      <c r="C32" s="14">
        <f>IFERROR((TimeLine!C32/TimeLine!C31)-1, NA())</f>
        <v>-8.5470085470085166E-3</v>
      </c>
      <c r="D32" s="14">
        <f>IFERROR((TimeLine!D32/TimeLine!D31)-1, NA())</f>
        <v>2.0554177005789986E-2</v>
      </c>
      <c r="E32" s="14">
        <f>IFERROR((TimeLine!E32/TimeLine!E31)-1, NA())</f>
        <v>4.3763676148795838E-3</v>
      </c>
      <c r="F32" s="14">
        <f>IFERROR((TimeLine!F32/TimeLine!F31)-1, NA())</f>
        <v>0.12465373961218829</v>
      </c>
      <c r="G32" s="14">
        <f>IFERROR((TimeLine!G32/TimeLine!G31)-1, NA())</f>
        <v>4.2111302352266122E-2</v>
      </c>
      <c r="H32" s="14">
        <f>IFERROR((TimeLine!H32/TimeLine!H31)-1, NA())</f>
        <v>-8.6317135549871526E-3</v>
      </c>
      <c r="I32" s="14">
        <f>IFERROR((TimeLine!I32/TimeLine!I31)-1, NA())</f>
        <v>4.1323487645555268E-2</v>
      </c>
      <c r="J32" s="14">
        <f>IFERROR((TimeLine!J32/TimeLine!J31)-1, NA())</f>
        <v>1.2375345428331075E-2</v>
      </c>
      <c r="K32" s="14">
        <f>IFERROR((TimeLine!K32/TimeLine!K31)-1, NA())</f>
        <v>3.3673273042139629E-2</v>
      </c>
    </row>
    <row r="33" spans="1:11" x14ac:dyDescent="0.2">
      <c r="A33" s="13">
        <f>TimeLine!A33</f>
        <v>42948</v>
      </c>
      <c r="B33" s="14">
        <f>IFERROR((TimeLine!B33/TimeLine!B32)-1, NA())</f>
        <v>4.1987577639751583E-2</v>
      </c>
      <c r="C33" s="14">
        <f>IFERROR((TimeLine!C33/TimeLine!C32)-1, NA())</f>
        <v>-4.6351824087956128E-2</v>
      </c>
      <c r="D33" s="14">
        <f>IFERROR((TimeLine!D33/TimeLine!D32)-1, NA())</f>
        <v>2.9176966405966009E-3</v>
      </c>
      <c r="E33" s="14">
        <f>IFERROR((TimeLine!E33/TimeLine!E32)-1, NA())</f>
        <v>-9.9128540305010171E-3</v>
      </c>
      <c r="F33" s="14">
        <f>IFERROR((TimeLine!F33/TimeLine!F32)-1, NA())</f>
        <v>4.4334975369458185E-2</v>
      </c>
      <c r="G33" s="14">
        <f>IFERROR((TimeLine!G33/TimeLine!G32)-1, NA())</f>
        <v>1.5965646333406802E-2</v>
      </c>
      <c r="H33" s="14">
        <f>IFERROR((TimeLine!H33/TimeLine!H32)-1, NA())</f>
        <v>3.1844566268945496E-2</v>
      </c>
      <c r="I33" s="14">
        <f>IFERROR((TimeLine!I33/TimeLine!I32)-1, NA())</f>
        <v>3.109232237828996E-2</v>
      </c>
      <c r="J33" s="14">
        <f>IFERROR((TimeLine!J33/TimeLine!J32)-1, NA())</f>
        <v>-2.6109660574412663E-3</v>
      </c>
      <c r="K33" s="14">
        <f>IFERROR((TimeLine!K33/TimeLine!K32)-1, NA())</f>
        <v>5.398361876396196E-3</v>
      </c>
    </row>
    <row r="34" spans="1:11" x14ac:dyDescent="0.2">
      <c r="A34" s="13">
        <f>TimeLine!A34</f>
        <v>42979</v>
      </c>
      <c r="B34" s="14">
        <f>IFERROR((TimeLine!B34/TimeLine!B33)-1, NA())</f>
        <v>-3.3698934986488571E-2</v>
      </c>
      <c r="C34" s="14">
        <f>IFERROR((TimeLine!C34/TimeLine!C33)-1, NA())</f>
        <v>7.4020699593868811E-2</v>
      </c>
      <c r="D34" s="14">
        <f>IFERROR((TimeLine!D34/TimeLine!D33)-1, NA())</f>
        <v>1.5111721685724611E-2</v>
      </c>
      <c r="E34" s="14">
        <f>IFERROR((TimeLine!E34/TimeLine!E33)-1, NA())</f>
        <v>5.0830674441632695E-2</v>
      </c>
      <c r="F34" s="14">
        <f>IFERROR((TimeLine!F34/TimeLine!F33)-1, NA())</f>
        <v>5.4245283018867774E-2</v>
      </c>
      <c r="G34" s="14">
        <f>IFERROR((TimeLine!G34/TimeLine!G33)-1, NA())</f>
        <v>-1.3980708789422258E-2</v>
      </c>
      <c r="H34" s="14">
        <f>IFERROR((TimeLine!H34/TimeLine!H33)-1, NA())</f>
        <v>-2.5236346589577185E-2</v>
      </c>
      <c r="I34" s="14">
        <f>IFERROR((TimeLine!I34/TimeLine!I33)-1, NA())</f>
        <v>5.0919190583256224E-3</v>
      </c>
      <c r="J34" s="14">
        <f>IFERROR((TimeLine!J34/TimeLine!J33)-1, NA())</f>
        <v>-1.1304140885292746E-2</v>
      </c>
      <c r="K34" s="14">
        <f>IFERROR((TimeLine!K34/TimeLine!K33)-1, NA())</f>
        <v>1.3330864654693464E-2</v>
      </c>
    </row>
    <row r="35" spans="1:11" x14ac:dyDescent="0.2">
      <c r="A35" s="13">
        <f>TimeLine!A35</f>
        <v>43009</v>
      </c>
      <c r="B35" s="14">
        <f>IFERROR((TimeLine!B35/TimeLine!B34)-1, NA())</f>
        <v>-7.4847836815264968E-3</v>
      </c>
      <c r="C35" s="14">
        <f>IFERROR((TimeLine!C35/TimeLine!C34)-1, NA())</f>
        <v>1.6711393022688315E-2</v>
      </c>
      <c r="D35" s="14">
        <f>IFERROR((TimeLine!D35/TimeLine!D34)-1, NA())</f>
        <v>2.356406480117812E-2</v>
      </c>
      <c r="E35" s="14">
        <f>IFERROR((TimeLine!E35/TimeLine!E34)-1, NA())</f>
        <v>5.3397549994764981E-2</v>
      </c>
      <c r="F35" s="14">
        <f>IFERROR((TimeLine!F35/TimeLine!F34)-1, NA())</f>
        <v>0.15659955257270708</v>
      </c>
      <c r="G35" s="14">
        <f>IFERROR((TimeLine!G35/TimeLine!G34)-1, NA())</f>
        <v>-5.1000219828533755E-2</v>
      </c>
      <c r="H35" s="14">
        <f>IFERROR((TimeLine!H35/TimeLine!H34)-1, NA())</f>
        <v>-2.4046168643796495E-3</v>
      </c>
      <c r="I35" s="14">
        <f>IFERROR((TimeLine!I35/TimeLine!I34)-1, NA())</f>
        <v>7.3952233699585257E-2</v>
      </c>
      <c r="J35" s="14">
        <f>IFERROR((TimeLine!J35/TimeLine!J34)-1, NA())</f>
        <v>-1.0711276928631608E-2</v>
      </c>
      <c r="K35" s="14">
        <f>IFERROR((TimeLine!K35/TimeLine!K34)-1, NA())</f>
        <v>2.0281381326512138E-2</v>
      </c>
    </row>
    <row r="36" spans="1:11" x14ac:dyDescent="0.2">
      <c r="A36" s="13">
        <f>TimeLine!A36</f>
        <v>43040</v>
      </c>
      <c r="B36" s="14">
        <f>IFERROR((TimeLine!B36/TimeLine!B35)-1, NA())</f>
        <v>3.5634374741029262E-3</v>
      </c>
      <c r="C36" s="14">
        <f>IFERROR((TimeLine!C36/TimeLine!C35)-1, NA())</f>
        <v>-7.1985602879409694E-4</v>
      </c>
      <c r="D36" s="14">
        <f>IFERROR((TimeLine!D36/TimeLine!D35)-1, NA())</f>
        <v>3.0565817616177382E-2</v>
      </c>
      <c r="E36" s="14">
        <f>IFERROR((TimeLine!E36/TimeLine!E35)-1, NA())</f>
        <v>3.8862936089851807E-2</v>
      </c>
      <c r="F36" s="14">
        <f>IFERROR((TimeLine!F36/TimeLine!F35)-1, NA())</f>
        <v>-2.9013539651837617E-2</v>
      </c>
      <c r="G36" s="14">
        <f>IFERROR((TimeLine!G36/TimeLine!G35)-1, NA())</f>
        <v>4.227472782024555E-2</v>
      </c>
      <c r="H36" s="14">
        <f>IFERROR((TimeLine!H36/TimeLine!H35)-1, NA())</f>
        <v>5.30290856500093E-3</v>
      </c>
      <c r="I36" s="14">
        <f>IFERROR((TimeLine!I36/TimeLine!I35)-1, NA())</f>
        <v>1.0904858175580401E-2</v>
      </c>
      <c r="J36" s="14">
        <f>IFERROR((TimeLine!J36/TimeLine!J35)-1, NA())</f>
        <v>2.6642335766423386E-2</v>
      </c>
      <c r="K36" s="14">
        <f>IFERROR((TimeLine!K36/TimeLine!K35)-1, NA())</f>
        <v>6.26790830945545E-3</v>
      </c>
    </row>
    <row r="37" spans="1:11" x14ac:dyDescent="0.2">
      <c r="A37" s="13">
        <f>TimeLine!A37</f>
        <v>43070</v>
      </c>
      <c r="B37" s="14">
        <f>IFERROR((TimeLine!B37/TimeLine!B36)-1, NA())</f>
        <v>2.1056977704376534E-2</v>
      </c>
      <c r="C37" s="14">
        <f>IFERROR((TimeLine!C37/TimeLine!C36)-1, NA())</f>
        <v>4.2021851362707974E-3</v>
      </c>
      <c r="D37" s="14">
        <f>IFERROR((TimeLine!D37/TimeLine!D36)-1, NA())</f>
        <v>6.9808686464662983E-3</v>
      </c>
      <c r="E37" s="14">
        <f>IFERROR((TimeLine!E37/TimeLine!E36)-1, NA())</f>
        <v>2.3153463451971001E-2</v>
      </c>
      <c r="F37" s="14">
        <f>IFERROR((TimeLine!F37/TimeLine!F36)-1, NA())</f>
        <v>-3.5856573705179251E-2</v>
      </c>
      <c r="G37" s="14">
        <f>IFERROR((TimeLine!G37/TimeLine!G36)-1, NA())</f>
        <v>2.1002333592621492E-2</v>
      </c>
      <c r="H37" s="14">
        <f>IFERROR((TimeLine!H37/TimeLine!H36)-1, NA())</f>
        <v>1.3906649616368227E-2</v>
      </c>
      <c r="I37" s="14">
        <f>IFERROR((TimeLine!I37/TimeLine!I36)-1, NA())</f>
        <v>-1.6968668565541245E-3</v>
      </c>
      <c r="J37" s="14">
        <f>IFERROR((TimeLine!J37/TimeLine!J36)-1, NA())</f>
        <v>-1.670814077497329E-2</v>
      </c>
      <c r="K37" s="14">
        <f>IFERROR((TimeLine!K37/TimeLine!K36)-1, NA())</f>
        <v>1.1033991813490074E-2</v>
      </c>
    </row>
    <row r="38" spans="1:11" x14ac:dyDescent="0.2">
      <c r="A38" s="13">
        <f>TimeLine!A38</f>
        <v>43101</v>
      </c>
      <c r="B38" s="14">
        <f>IFERROR((TimeLine!B38/TimeLine!B37)-1, NA())</f>
        <v>3.2349373230893708E-2</v>
      </c>
      <c r="C38" s="14">
        <f>IFERROR((TimeLine!C38/TimeLine!C37)-1, NA())</f>
        <v>4.3758967001434668E-2</v>
      </c>
      <c r="D38" s="14">
        <f>IFERROR((TimeLine!D38/TimeLine!D37)-1, NA())</f>
        <v>5.6359139623772592E-2</v>
      </c>
      <c r="E38" s="14">
        <f>IFERROR((TimeLine!E38/TimeLine!E37)-1, NA())</f>
        <v>8.1634561436319419E-2</v>
      </c>
      <c r="F38" s="14">
        <f>IFERROR((TimeLine!F38/TimeLine!F37)-1, NA())</f>
        <v>0.26859504132231393</v>
      </c>
      <c r="G38" s="14">
        <f>IFERROR((TimeLine!G38/TimeLine!G37)-1, NA())</f>
        <v>-6.0296038310840183E-2</v>
      </c>
      <c r="H38" s="14">
        <f>IFERROR((TimeLine!H38/TimeLine!H37)-1, NA())</f>
        <v>-3.2555573072678534E-2</v>
      </c>
      <c r="I38" s="14">
        <f>IFERROR((TimeLine!I38/TimeLine!I37)-1, NA())</f>
        <v>7.5517513506950795E-2</v>
      </c>
      <c r="J38" s="14">
        <f>IFERROR((TimeLine!J38/TimeLine!J37)-1, NA())</f>
        <v>-4.2540371173776848E-2</v>
      </c>
      <c r="K38" s="14">
        <f>IFERROR((TimeLine!K38/TimeLine!K37)-1, NA())</f>
        <v>5.720823798626995E-2</v>
      </c>
    </row>
    <row r="39" spans="1:11" x14ac:dyDescent="0.2">
      <c r="A39" s="13">
        <f>TimeLine!A39</f>
        <v>43132</v>
      </c>
      <c r="B39" s="14">
        <f>IFERROR((TimeLine!B39/TimeLine!B38)-1, NA())</f>
        <v>-2.0759890325107722E-2</v>
      </c>
      <c r="C39" s="14">
        <f>IFERROR((TimeLine!C39/TimeLine!C38)-1, NA())</f>
        <v>-0.13241695303550982</v>
      </c>
      <c r="D39" s="14">
        <f>IFERROR((TimeLine!D39/TimeLine!D38)-1, NA())</f>
        <v>-3.6360411493437383E-2</v>
      </c>
      <c r="E39" s="14">
        <f>IFERROR((TimeLine!E39/TimeLine!E38)-1, NA())</f>
        <v>-1.4696982795885383E-3</v>
      </c>
      <c r="F39" s="14">
        <f>IFERROR((TimeLine!F39/TimeLine!F38)-1, NA())</f>
        <v>-1.4657980456026065E-2</v>
      </c>
      <c r="G39" s="14">
        <f>IFERROR((TimeLine!G39/TimeLine!G38)-1, NA())</f>
        <v>-9.0572156590224773E-2</v>
      </c>
      <c r="H39" s="14">
        <f>IFERROR((TimeLine!H39/TimeLine!H38)-1, NA())</f>
        <v>-3.2428908987207739E-2</v>
      </c>
      <c r="I39" s="14">
        <f>IFERROR((TimeLine!I39/TimeLine!I38)-1, NA())</f>
        <v>9.5953039453644529E-4</v>
      </c>
      <c r="J39" s="14">
        <f>IFERROR((TimeLine!J39/TimeLine!J38)-1, NA())</f>
        <v>-7.6777847702957924E-2</v>
      </c>
      <c r="K39" s="14">
        <f>IFERROR((TimeLine!K39/TimeLine!K38)-1, NA())</f>
        <v>-5.2447552447552503E-2</v>
      </c>
    </row>
    <row r="40" spans="1:11" x14ac:dyDescent="0.2">
      <c r="A40" s="13">
        <f>TimeLine!A40</f>
        <v>43160</v>
      </c>
      <c r="B40" s="14">
        <f>IFERROR((TimeLine!B40/TimeLine!B39)-1, NA())</f>
        <v>6.3200000000001033E-3</v>
      </c>
      <c r="C40" s="14">
        <f>IFERROR((TimeLine!C40/TimeLine!C39)-1, NA())</f>
        <v>-1.4919461315024973E-2</v>
      </c>
      <c r="D40" s="14">
        <f>IFERROR((TimeLine!D40/TimeLine!D39)-1, NA())</f>
        <v>-3.1290263206331659E-2</v>
      </c>
      <c r="E40" s="14">
        <f>IFERROR((TimeLine!E40/TimeLine!E39)-1, NA())</f>
        <v>-4.7878787878787854E-2</v>
      </c>
      <c r="F40" s="14">
        <f>IFERROR((TimeLine!F40/TimeLine!F39)-1, NA())</f>
        <v>-4.2975206611570171E-2</v>
      </c>
      <c r="G40" s="14">
        <f>IFERROR((TimeLine!G40/TimeLine!G39)-1, NA())</f>
        <v>9.679062659195159E-3</v>
      </c>
      <c r="H40" s="14">
        <f>IFERROR((TimeLine!H40/TimeLine!H39)-1, NA())</f>
        <v>2.6526315789473731E-2</v>
      </c>
      <c r="I40" s="14">
        <f>IFERROR((TimeLine!I40/TimeLine!I39)-1, NA())</f>
        <v>-3.5750535694146879E-2</v>
      </c>
      <c r="J40" s="14">
        <f>IFERROR((TimeLine!J40/TimeLine!J39)-1, NA())</f>
        <v>2.8902522154055976E-2</v>
      </c>
      <c r="K40" s="14">
        <f>IFERROR((TimeLine!K40/TimeLine!K39)-1, NA())</f>
        <v>-6.3257775434897301E-3</v>
      </c>
    </row>
    <row r="41" spans="1:11" x14ac:dyDescent="0.2">
      <c r="A41" s="13">
        <f>TimeLine!A41</f>
        <v>43191</v>
      </c>
      <c r="B41" s="14">
        <f>IFERROR((TimeLine!B41/TimeLine!B40)-1, NA())</f>
        <v>-9.5397090388743555E-3</v>
      </c>
      <c r="C41" s="14">
        <f>IFERROR((TimeLine!C41/TimeLine!C40)-1, NA())</f>
        <v>4.2085511325559599E-2</v>
      </c>
      <c r="D41" s="14">
        <f>IFERROR((TimeLine!D41/TimeLine!D40)-1, NA())</f>
        <v>5.1681550446514013E-3</v>
      </c>
      <c r="E41" s="14">
        <f>IFERROR((TimeLine!E41/TimeLine!E40)-1, NA())</f>
        <v>-1.0821133036282626E-2</v>
      </c>
      <c r="F41" s="14">
        <f>IFERROR((TimeLine!F41/TimeLine!F40)-1, NA())</f>
        <v>-2.9360967184801412E-2</v>
      </c>
      <c r="G41" s="14">
        <f>IFERROR((TimeLine!G41/TimeLine!G40)-1, NA())</f>
        <v>-8.7537840565085734E-2</v>
      </c>
      <c r="H41" s="14">
        <f>IFERROR((TimeLine!H41/TimeLine!H40)-1, NA())</f>
        <v>-2.2969647251845915E-2</v>
      </c>
      <c r="I41" s="14">
        <f>IFERROR((TimeLine!I41/TimeLine!I40)-1, NA())</f>
        <v>-2.3391812865491968E-4</v>
      </c>
      <c r="J41" s="14">
        <f>IFERROR((TimeLine!J41/TimeLine!J40)-1, NA())</f>
        <v>8.2151848416589512E-3</v>
      </c>
      <c r="K41" s="14">
        <f>IFERROR((TimeLine!K41/TimeLine!K40)-1, NA())</f>
        <v>4.5977011494253706E-3</v>
      </c>
    </row>
    <row r="42" spans="1:11" x14ac:dyDescent="0.2">
      <c r="A42" s="13">
        <f>TimeLine!A42</f>
        <v>43221</v>
      </c>
      <c r="B42" s="14">
        <f>IFERROR((TimeLine!B42/TimeLine!B41)-1, NA())</f>
        <v>-1.1959226262139855E-2</v>
      </c>
      <c r="C42" s="14">
        <f>IFERROR((TimeLine!C42/TimeLine!C41)-1, NA())</f>
        <v>4.4887459807073871E-2</v>
      </c>
      <c r="D42" s="14">
        <f>IFERROR((TimeLine!D42/TimeLine!D41)-1, NA())</f>
        <v>2.4309099844996407E-2</v>
      </c>
      <c r="E42" s="14">
        <f>IFERROR((TimeLine!E42/TimeLine!E41)-1, NA())</f>
        <v>-1.6271373414230572E-2</v>
      </c>
      <c r="F42" s="14">
        <f>IFERROR((TimeLine!F42/TimeLine!F41)-1, NA())</f>
        <v>0.12099644128113884</v>
      </c>
      <c r="G42" s="14">
        <f>IFERROR((TimeLine!G42/TimeLine!G41)-1, NA())</f>
        <v>1.147359690351113E-2</v>
      </c>
      <c r="H42" s="14">
        <f>IFERROR((TimeLine!H42/TimeLine!H41)-1, NA())</f>
        <v>1.7800167926112609E-2</v>
      </c>
      <c r="I42" s="14">
        <f>IFERROR((TimeLine!I42/TimeLine!I41)-1, NA())</f>
        <v>7.0484323818436945E-2</v>
      </c>
      <c r="J42" s="14">
        <f>IFERROR((TimeLine!J42/TimeLine!J41)-1, NA())</f>
        <v>3.6798528058877622E-2</v>
      </c>
      <c r="K42" s="14">
        <f>IFERROR((TimeLine!K42/TimeLine!K41)-1, NA())</f>
        <v>-1.6370357331455754E-2</v>
      </c>
    </row>
    <row r="43" spans="1:11" x14ac:dyDescent="0.2">
      <c r="A43" s="13">
        <f>TimeLine!A43</f>
        <v>43252</v>
      </c>
      <c r="B43" s="14">
        <f>IFERROR((TimeLine!B43/TimeLine!B42)-1, NA())</f>
        <v>-3.6149471974004754E-2</v>
      </c>
      <c r="C43" s="14">
        <f>IFERROR((TimeLine!C43/TimeLine!C42)-1, NA())</f>
        <v>1.8340718857705607E-2</v>
      </c>
      <c r="D43" s="14">
        <f>IFERROR((TimeLine!D43/TimeLine!D42)-1, NA())</f>
        <v>1.2548903816342882E-3</v>
      </c>
      <c r="E43" s="14">
        <f>IFERROR((TimeLine!E43/TimeLine!E42)-1, NA())</f>
        <v>-2.6259228109522526E-2</v>
      </c>
      <c r="F43" s="14">
        <f>IFERROR((TimeLine!F43/TimeLine!F42)-1, NA())</f>
        <v>-6.0317460317460325E-2</v>
      </c>
      <c r="G43" s="14">
        <f>IFERROR((TimeLine!G43/TimeLine!G42)-1, NA())</f>
        <v>6.683066830668305E-2</v>
      </c>
      <c r="H43" s="14">
        <f>IFERROR((TimeLine!H43/TimeLine!H42)-1, NA())</f>
        <v>4.1247318924269027E-3</v>
      </c>
      <c r="I43" s="14">
        <f>IFERROR((TimeLine!I43/TimeLine!I42)-1, NA())</f>
        <v>-8.7973334790447666E-3</v>
      </c>
      <c r="J43" s="14">
        <f>IFERROR((TimeLine!J43/TimeLine!J42)-1, NA())</f>
        <v>3.2450247179617309E-2</v>
      </c>
      <c r="K43" s="14">
        <f>IFERROR((TimeLine!K43/TimeLine!K42)-1, NA())</f>
        <v>-3.1853972798854713E-2</v>
      </c>
    </row>
    <row r="44" spans="1:11" x14ac:dyDescent="0.2">
      <c r="A44" s="13">
        <f>TimeLine!A44</f>
        <v>43282</v>
      </c>
      <c r="B44" s="14">
        <f>IFERROR((TimeLine!B44/TimeLine!B43)-1, NA())</f>
        <v>-2.2418879056047336E-2</v>
      </c>
      <c r="C44" s="14">
        <f>IFERROR((TimeLine!C44/TimeLine!C43)-1, NA())</f>
        <v>-1.4746766590112426E-2</v>
      </c>
      <c r="D44" s="14">
        <f>IFERROR((TimeLine!D44/TimeLine!D43)-1, NA())</f>
        <v>3.7046593925095905E-2</v>
      </c>
      <c r="E44" s="14">
        <f>IFERROR((TimeLine!E44/TimeLine!E43)-1, NA())</f>
        <v>0.10316698656429946</v>
      </c>
      <c r="F44" s="14">
        <f>IFERROR((TimeLine!F44/TimeLine!F43)-1, NA())</f>
        <v>3.3783783783783772E-2</v>
      </c>
      <c r="G44" s="14">
        <f>IFERROR((TimeLine!G44/TimeLine!G43)-1, NA())</f>
        <v>3.6126056879323576E-2</v>
      </c>
      <c r="H44" s="14">
        <f>IFERROR((TimeLine!H44/TimeLine!H43)-1, NA())</f>
        <v>-1.6595465001643106E-2</v>
      </c>
      <c r="I44" s="14">
        <f>IFERROR((TimeLine!I44/TimeLine!I43)-1, NA())</f>
        <v>2.6240352811466305E-2</v>
      </c>
      <c r="J44" s="14">
        <f>IFERROR((TimeLine!J44/TimeLine!J43)-1, NA())</f>
        <v>6.0159607120933156E-3</v>
      </c>
      <c r="K44" s="14">
        <f>IFERROR((TimeLine!K44/TimeLine!K43)-1, NA())</f>
        <v>2.5508317929759716E-2</v>
      </c>
    </row>
    <row r="45" spans="1:11" x14ac:dyDescent="0.2">
      <c r="A45" s="13">
        <f>TimeLine!A45</f>
        <v>43313</v>
      </c>
      <c r="B45" s="14">
        <f>IFERROR((TimeLine!B45/TimeLine!B44)-1, NA())</f>
        <v>-2.1381153547719522E-2</v>
      </c>
      <c r="C45" s="14">
        <f>IFERROR((TimeLine!C45/TimeLine!C44)-1, NA())</f>
        <v>-1.643970065022704E-2</v>
      </c>
      <c r="D45" s="14">
        <f>IFERROR((TimeLine!D45/TimeLine!D44)-1, NA())</f>
        <v>3.1919809476415706E-2</v>
      </c>
      <c r="E45" s="14">
        <f>IFERROR((TimeLine!E45/TimeLine!E44)-1, NA())</f>
        <v>-3.2187907785994341E-3</v>
      </c>
      <c r="F45" s="14">
        <f>IFERROR((TimeLine!F45/TimeLine!F44)-1, NA())</f>
        <v>0.14705882352941169</v>
      </c>
      <c r="G45" s="14">
        <f>IFERROR((TimeLine!G45/TimeLine!G44)-1, NA())</f>
        <v>2.5593471810089197E-2</v>
      </c>
      <c r="H45" s="14">
        <f>IFERROR((TimeLine!H45/TimeLine!H44)-1, NA())</f>
        <v>1.0860484544695126E-2</v>
      </c>
      <c r="I45" s="14">
        <f>IFERROR((TimeLine!I45/TimeLine!I44)-1, NA())</f>
        <v>8.9385474860335323E-2</v>
      </c>
      <c r="J45" s="14">
        <f>IFERROR((TimeLine!J45/TimeLine!J44)-1, NA())</f>
        <v>2.5750549182328442E-2</v>
      </c>
      <c r="K45" s="14">
        <f>IFERROR((TimeLine!K45/TimeLine!K44)-1, NA())</f>
        <v>-2.3972602739726012E-2</v>
      </c>
    </row>
    <row r="46" spans="1:11" x14ac:dyDescent="0.2">
      <c r="A46" s="13">
        <f>TimeLine!A46</f>
        <v>43344</v>
      </c>
      <c r="B46" s="14">
        <f>IFERROR((TimeLine!B46/TimeLine!B45)-1, NA())</f>
        <v>-6.6073473702757957E-3</v>
      </c>
      <c r="C46" s="14">
        <f>IFERROR((TimeLine!C46/TimeLine!C45)-1, NA())</f>
        <v>6.0496445054259551E-2</v>
      </c>
      <c r="D46" s="14">
        <f>IFERROR((TimeLine!D46/TimeLine!D45)-1, NA())</f>
        <v>1.4122834211705015E-3</v>
      </c>
      <c r="E46" s="14">
        <f>IFERROR((TimeLine!E46/TimeLine!E45)-1, NA())</f>
        <v>-1.5185896316983749E-2</v>
      </c>
      <c r="F46" s="14">
        <f>IFERROR((TimeLine!F46/TimeLine!F45)-1, NA())</f>
        <v>1.4245014245015675E-3</v>
      </c>
      <c r="G46" s="14">
        <f>IFERROR((TimeLine!G46/TimeLine!G45)-1, NA())</f>
        <v>3.3755274261604296E-3</v>
      </c>
      <c r="H46" s="14">
        <f>IFERROR((TimeLine!H46/TimeLine!H45)-1, NA())</f>
        <v>-3.0826446280991737E-2</v>
      </c>
      <c r="I46" s="14">
        <f>IFERROR((TimeLine!I46/TimeLine!I45)-1, NA())</f>
        <v>-1.1834319526627946E-3</v>
      </c>
      <c r="J46" s="14">
        <f>IFERROR((TimeLine!J46/TimeLine!J45)-1, NA())</f>
        <v>-4.009518143961921E-2</v>
      </c>
      <c r="K46" s="14">
        <f>IFERROR((TimeLine!K46/TimeLine!K45)-1, NA())</f>
        <v>-2.7700831024930483E-3</v>
      </c>
    </row>
    <row r="47" spans="1:11" x14ac:dyDescent="0.2">
      <c r="A47" s="13">
        <f>TimeLine!A47</f>
        <v>43374</v>
      </c>
      <c r="B47" s="14">
        <f>IFERROR((TimeLine!B47/TimeLine!B46)-1, NA())</f>
        <v>2.1195459382759907E-2</v>
      </c>
      <c r="C47" s="14">
        <f>IFERROR((TimeLine!C47/TimeLine!C46)-1, NA())</f>
        <v>-6.2808750882145215E-2</v>
      </c>
      <c r="D47" s="14">
        <f>IFERROR((TimeLine!D47/TimeLine!D46)-1, NA())</f>
        <v>-6.9104292790313826E-2</v>
      </c>
      <c r="E47" s="14">
        <f>IFERROR((TimeLine!E47/TimeLine!E46)-1, NA())</f>
        <v>-3.3853243530662991E-2</v>
      </c>
      <c r="F47" s="14">
        <f>IFERROR((TimeLine!F47/TimeLine!F46)-1, NA())</f>
        <v>-0.25035561877667145</v>
      </c>
      <c r="G47" s="14">
        <f>IFERROR((TimeLine!G47/TimeLine!G46)-1, NA())</f>
        <v>6.5481196683887966E-2</v>
      </c>
      <c r="H47" s="14">
        <f>IFERROR((TimeLine!H47/TimeLine!H46)-1, NA())</f>
        <v>-3.1465848042977695E-2</v>
      </c>
      <c r="I47" s="14">
        <f>IFERROR((TimeLine!I47/TimeLine!I46)-1, NA())</f>
        <v>-8.4765007898894185E-2</v>
      </c>
      <c r="J47" s="14">
        <f>IFERROR((TimeLine!J47/TimeLine!J46)-1, NA())</f>
        <v>-2.9251363411006648E-2</v>
      </c>
      <c r="K47" s="14">
        <f>IFERROR((TimeLine!K47/TimeLine!K46)-1, NA())</f>
        <v>-8.5555555555555496E-2</v>
      </c>
    </row>
    <row r="48" spans="1:11" x14ac:dyDescent="0.2">
      <c r="A48" s="13">
        <f>TimeLine!A48</f>
        <v>43405</v>
      </c>
      <c r="B48" s="14">
        <f>IFERROR((TimeLine!B48/TimeLine!B47)-1, NA())</f>
        <v>3.3868866695614397E-3</v>
      </c>
      <c r="C48" s="14">
        <f>IFERROR((TimeLine!C48/TimeLine!C47)-1, NA())</f>
        <v>-2.2590361445784524E-3</v>
      </c>
      <c r="D48" s="14">
        <f>IFERROR((TimeLine!D48/TimeLine!D47)-1, NA())</f>
        <v>1.8549310867235658E-2</v>
      </c>
      <c r="E48" s="14">
        <f>IFERROR((TimeLine!E48/TimeLine!E47)-1, NA())</f>
        <v>1.9904604659695568E-2</v>
      </c>
      <c r="F48" s="14">
        <f>IFERROR((TimeLine!F48/TimeLine!F47)-1, NA())</f>
        <v>-0.22390891840607208</v>
      </c>
      <c r="G48" s="14">
        <f>IFERROR((TimeLine!G48/TimeLine!G47)-1, NA())</f>
        <v>6.5741993685160205E-2</v>
      </c>
      <c r="H48" s="14">
        <f>IFERROR((TimeLine!H48/TimeLine!H47)-1, NA())</f>
        <v>1.5407642190526483E-2</v>
      </c>
      <c r="I48" s="14">
        <f>IFERROR((TimeLine!I48/TimeLine!I47)-1, NA())</f>
        <v>-1.467177301904099E-2</v>
      </c>
      <c r="J48" s="14">
        <f>IFERROR((TimeLine!J48/TimeLine!J47)-1, NA())</f>
        <v>4.6731358529111588E-2</v>
      </c>
      <c r="K48" s="14">
        <f>IFERROR((TimeLine!K48/TimeLine!K47)-1, NA())</f>
        <v>1.6808424463345517E-2</v>
      </c>
    </row>
    <row r="49" spans="1:11" x14ac:dyDescent="0.2">
      <c r="A49" s="13">
        <f>TimeLine!A49</f>
        <v>43435</v>
      </c>
      <c r="B49" s="14">
        <f>IFERROR((TimeLine!B49/TimeLine!B48)-1, NA())</f>
        <v>4.9420114246148561E-2</v>
      </c>
      <c r="C49" s="14">
        <f>IFERROR((TimeLine!C49/TimeLine!C48)-1, NA())</f>
        <v>-0.14226415094339628</v>
      </c>
      <c r="D49" s="14">
        <f>IFERROR((TimeLine!D49/TimeLine!D48)-1, NA())</f>
        <v>-9.3343007436967107E-2</v>
      </c>
      <c r="E49" s="14">
        <f>IFERROR((TimeLine!E49/TimeLine!E48)-1, NA())</f>
        <v>-0.12204334922205229</v>
      </c>
      <c r="F49" s="14">
        <f>IFERROR((TimeLine!F49/TimeLine!F48)-1, NA())</f>
        <v>-0.18337408312958436</v>
      </c>
      <c r="G49" s="14">
        <f>IFERROR((TimeLine!G49/TimeLine!G48)-1, NA())</f>
        <v>-2.740450745952816E-2</v>
      </c>
      <c r="H49" s="14">
        <f>IFERROR((TimeLine!H49/TimeLine!H48)-1, NA())</f>
        <v>5.3585363738836378E-2</v>
      </c>
      <c r="I49" s="14">
        <f>IFERROR((TimeLine!I49/TimeLine!I48)-1, NA())</f>
        <v>-8.6713746099523648E-2</v>
      </c>
      <c r="J49" s="14">
        <f>IFERROR((TimeLine!J49/TimeLine!J48)-1, NA())</f>
        <v>-9.0387899487680001E-2</v>
      </c>
      <c r="K49" s="14">
        <f>IFERROR((TimeLine!K49/TimeLine!K48)-1, NA())</f>
        <v>-5.9549890460067756E-2</v>
      </c>
    </row>
    <row r="50" spans="1:11" x14ac:dyDescent="0.2">
      <c r="A50" s="13">
        <f>TimeLine!A50</f>
        <v>43466</v>
      </c>
      <c r="B50" s="14">
        <f>IFERROR((TimeLine!B50/TimeLine!B49)-1, NA())</f>
        <v>2.8865979381443196E-2</v>
      </c>
      <c r="C50" s="14">
        <f>IFERROR((TimeLine!C50/TimeLine!C49)-1, NA())</f>
        <v>7.4644376008212499E-2</v>
      </c>
      <c r="D50" s="14">
        <f>IFERROR((TimeLine!D50/TimeLine!D49)-1, NA())</f>
        <v>8.0065620998719611E-2</v>
      </c>
      <c r="E50" s="14">
        <f>IFERROR((TimeLine!E50/TimeLine!E49)-1, NA())</f>
        <v>6.023355869698821E-2</v>
      </c>
      <c r="F50" s="14">
        <f>IFERROR((TimeLine!F50/TimeLine!F49)-1, NA())</f>
        <v>7.4850299401197695E-2</v>
      </c>
      <c r="G50" s="14">
        <f>IFERROR((TimeLine!G50/TimeLine!G49)-1, NA())</f>
        <v>4.9499564838990429E-2</v>
      </c>
      <c r="H50" s="14">
        <f>IFERROR((TimeLine!H50/TimeLine!H49)-1, NA())</f>
        <v>3.7856966504814515E-3</v>
      </c>
      <c r="I50" s="14">
        <f>IFERROR((TimeLine!I50/TimeLine!I49)-1, NA())</f>
        <v>7.9901696337589145E-2</v>
      </c>
      <c r="J50" s="14">
        <f>IFERROR((TimeLine!J50/TimeLine!J49)-1, NA())</f>
        <v>0.11854633230521672</v>
      </c>
      <c r="K50" s="14">
        <f>IFERROR((TimeLine!K50/TimeLine!K49)-1, NA())</f>
        <v>7.6662431173231793E-2</v>
      </c>
    </row>
    <row r="51" spans="1:11" x14ac:dyDescent="0.2">
      <c r="A51" s="13">
        <f>TimeLine!A51</f>
        <v>43497</v>
      </c>
      <c r="B51" s="14">
        <f>IFERROR((TimeLine!B51/TimeLine!B50)-1, NA())</f>
        <v>-6.0921843687374855E-3</v>
      </c>
      <c r="C51" s="14">
        <f>IFERROR((TimeLine!C51/TimeLine!C50)-1, NA())</f>
        <v>7.8466157205240084E-2</v>
      </c>
      <c r="D51" s="14">
        <f>IFERROR((TimeLine!D51/TimeLine!D50)-1, NA())</f>
        <v>3.241581150668682E-2</v>
      </c>
      <c r="E51" s="14">
        <f>IFERROR((TimeLine!E51/TimeLine!E50)-1, NA())</f>
        <v>8.3091787439613096E-3</v>
      </c>
      <c r="F51" s="14">
        <f>IFERROR((TimeLine!F51/TimeLine!F50)-1, NA())</f>
        <v>7.5208913649025044E-2</v>
      </c>
      <c r="G51" s="14">
        <f>IFERROR((TimeLine!G51/TimeLine!G50)-1, NA())</f>
        <v>2.1561107079921094E-2</v>
      </c>
      <c r="H51" s="14">
        <f>IFERROR((TimeLine!H51/TimeLine!H50)-1, NA())</f>
        <v>-1.5987537919160522E-2</v>
      </c>
      <c r="I51" s="14">
        <f>IFERROR((TimeLine!I51/TimeLine!I50)-1, NA())</f>
        <v>7.3268206039076578E-2</v>
      </c>
      <c r="J51" s="14">
        <f>IFERROR((TimeLine!J51/TimeLine!J50)-1, NA())</f>
        <v>6.9536026855292477E-3</v>
      </c>
      <c r="K51" s="14">
        <f>IFERROR((TimeLine!K51/TimeLine!K50)-1, NA())</f>
        <v>1.6325727773406795E-2</v>
      </c>
    </row>
    <row r="52" spans="1:11" x14ac:dyDescent="0.2">
      <c r="A52" s="13">
        <f>TimeLine!A52</f>
        <v>43525</v>
      </c>
      <c r="B52" s="14">
        <f>IFERROR((TimeLine!B52/TimeLine!B51)-1, NA())</f>
        <v>-1.5969029760464437E-2</v>
      </c>
      <c r="C52" s="14">
        <f>IFERROR((TimeLine!C52/TimeLine!C51)-1, NA())</f>
        <v>2.2396558269011768E-2</v>
      </c>
      <c r="D52" s="14">
        <f>IFERROR((TimeLine!D52/TimeLine!D51)-1, NA())</f>
        <v>1.3635711209990076E-2</v>
      </c>
      <c r="E52" s="14">
        <f>IFERROR((TimeLine!E52/TimeLine!E51)-1, NA())</f>
        <v>-2.9992334227673445E-2</v>
      </c>
      <c r="F52" s="14">
        <f>IFERROR((TimeLine!F52/TimeLine!F51)-1, NA())</f>
        <v>0.16321243523316076</v>
      </c>
      <c r="G52" s="14">
        <f>IFERROR((TimeLine!G52/TimeLine!G51)-1, NA())</f>
        <v>5.580923389142578E-2</v>
      </c>
      <c r="H52" s="14">
        <f>IFERROR((TimeLine!H52/TimeLine!H51)-1, NA())</f>
        <v>5.3491084819196733E-2</v>
      </c>
      <c r="I52" s="14">
        <f>IFERROR((TimeLine!I52/TimeLine!I51)-1, NA())</f>
        <v>3.7598262308647046E-2</v>
      </c>
      <c r="J52" s="14">
        <f>IFERROR((TimeLine!J52/TimeLine!J51)-1, NA())</f>
        <v>3.476604357661639E-2</v>
      </c>
      <c r="K52" s="14">
        <f>IFERROR((TimeLine!K52/TimeLine!K51)-1, NA())</f>
        <v>4.4513257209211066E-3</v>
      </c>
    </row>
    <row r="53" spans="1:11" x14ac:dyDescent="0.2">
      <c r="A53" s="13">
        <f>TimeLine!A53</f>
        <v>43556</v>
      </c>
      <c r="B53" s="14">
        <f>IFERROR((TimeLine!B53/TimeLine!B52)-1, NA())</f>
        <v>-6.6388000983526041E-3</v>
      </c>
      <c r="C53" s="14">
        <f>IFERROR((TimeLine!C53/TimeLine!C52)-1, NA())</f>
        <v>-6.4356435643564414E-3</v>
      </c>
      <c r="D53" s="14">
        <f>IFERROR((TimeLine!D53/TimeLine!D52)-1, NA())</f>
        <v>4.0852449730954365E-2</v>
      </c>
      <c r="E53" s="14">
        <f>IFERROR((TimeLine!E53/TimeLine!E52)-1, NA())</f>
        <v>0.1463992887483947</v>
      </c>
      <c r="F53" s="14">
        <f>IFERROR((TimeLine!F53/TimeLine!F52)-1, NA())</f>
        <v>8.9086859688196629E-3</v>
      </c>
      <c r="G53" s="14">
        <f>IFERROR((TimeLine!G53/TimeLine!G52)-1, NA())</f>
        <v>2.3354156655454261E-2</v>
      </c>
      <c r="H53" s="14">
        <f>IFERROR((TimeLine!H53/TimeLine!H52)-1, NA())</f>
        <v>-2.2065801961404508E-2</v>
      </c>
      <c r="I53" s="14">
        <f>IFERROR((TimeLine!I53/TimeLine!I52)-1, NA())</f>
        <v>6.3699347056771272E-2</v>
      </c>
      <c r="J53" s="14">
        <f>IFERROR((TimeLine!J53/TimeLine!J52)-1, NA())</f>
        <v>-1.6108618110689532E-3</v>
      </c>
      <c r="K53" s="14">
        <f>IFERROR((TimeLine!K53/TimeLine!K52)-1, NA())</f>
        <v>2.7745664739884379E-2</v>
      </c>
    </row>
    <row r="54" spans="1:11" x14ac:dyDescent="0.2">
      <c r="A54" s="13">
        <f>TimeLine!A54</f>
        <v>43586</v>
      </c>
      <c r="B54" s="14">
        <f>IFERROR((TimeLine!B54/TimeLine!B53)-1, NA())</f>
        <v>1.7574257425742479E-2</v>
      </c>
      <c r="C54" s="14">
        <f>IFERROR((TimeLine!C54/TimeLine!C53)-1, NA())</f>
        <v>-0.11846038863976094</v>
      </c>
      <c r="D54" s="14">
        <f>IFERROR((TimeLine!D54/TimeLine!D53)-1, NA())</f>
        <v>-6.3771172029113643E-2</v>
      </c>
      <c r="E54" s="14">
        <f>IFERROR((TimeLine!E54/TimeLine!E53)-1, NA())</f>
        <v>-8.6945282205945773E-2</v>
      </c>
      <c r="F54" s="14">
        <f>IFERROR((TimeLine!F54/TimeLine!F53)-1, NA())</f>
        <v>-0.25165562913907291</v>
      </c>
      <c r="G54" s="14">
        <f>IFERROR((TimeLine!G54/TimeLine!G53)-1, NA())</f>
        <v>-3.3527422990232925E-2</v>
      </c>
      <c r="H54" s="14">
        <f>IFERROR((TimeLine!H54/TimeLine!H53)-1, NA())</f>
        <v>6.6154468257177523E-2</v>
      </c>
      <c r="I54" s="14">
        <f>IFERROR((TimeLine!I54/TimeLine!I53)-1, NA())</f>
        <v>-8.8796213860643736E-2</v>
      </c>
      <c r="J54" s="14">
        <f>IFERROR((TimeLine!J54/TimeLine!J53)-1, NA())</f>
        <v>1.3829664630633509E-3</v>
      </c>
      <c r="K54" s="14">
        <f>IFERROR((TimeLine!K54/TimeLine!K53)-1, NA())</f>
        <v>-5.418072740907387E-2</v>
      </c>
    </row>
    <row r="55" spans="1:11" x14ac:dyDescent="0.2">
      <c r="A55" s="13">
        <f>TimeLine!A55</f>
        <v>43617</v>
      </c>
      <c r="B55" s="14">
        <f>IFERROR((TimeLine!B55/TimeLine!B54)-1, NA())</f>
        <v>8.0029189978107373E-2</v>
      </c>
      <c r="C55" s="14">
        <f>IFERROR((TimeLine!C55/TimeLine!C54)-1, NA())</f>
        <v>8.280344778861104E-2</v>
      </c>
      <c r="D55" s="14">
        <f>IFERROR((TimeLine!D55/TimeLine!D54)-1, NA())</f>
        <v>6.4409488865477593E-2</v>
      </c>
      <c r="E55" s="14">
        <f>IFERROR((TimeLine!E55/TimeLine!E54)-1, NA())</f>
        <v>5.5115137787844493E-2</v>
      </c>
      <c r="F55" s="14">
        <f>IFERROR((TimeLine!F55/TimeLine!F54)-1, NA())</f>
        <v>0.21238938053097356</v>
      </c>
      <c r="G55" s="14">
        <f>IFERROR((TimeLine!G55/TimeLine!G54)-1, NA())</f>
        <v>6.5494121076669076E-2</v>
      </c>
      <c r="H55" s="14">
        <f>IFERROR((TimeLine!H55/TimeLine!H54)-1, NA())</f>
        <v>7.4338162785405615E-3</v>
      </c>
      <c r="I55" s="14">
        <f>IFERROR((TimeLine!I55/TimeLine!I54)-1, NA())</f>
        <v>8.4490383626452559E-2</v>
      </c>
      <c r="J55" s="14">
        <f>IFERROR((TimeLine!J55/TimeLine!J54)-1, NA())</f>
        <v>5.8694901599725124E-3</v>
      </c>
      <c r="K55" s="14">
        <f>IFERROR((TimeLine!K55/TimeLine!K54)-1, NA())</f>
        <v>4.5589692765113821E-2</v>
      </c>
    </row>
    <row r="56" spans="1:11" x14ac:dyDescent="0.2">
      <c r="A56" s="13">
        <f>TimeLine!A56</f>
        <v>43647</v>
      </c>
      <c r="B56" s="14">
        <f>IFERROR((TimeLine!B56/TimeLine!B55)-1, NA())</f>
        <v>7.5075075075314857E-5</v>
      </c>
      <c r="C56" s="14">
        <f>IFERROR((TimeLine!C56/TimeLine!C55)-1, NA())</f>
        <v>-2.9622863108443087E-2</v>
      </c>
      <c r="D56" s="14">
        <f>IFERROR((TimeLine!D56/TimeLine!D55)-1, NA())</f>
        <v>1.511945392491465E-2</v>
      </c>
      <c r="E56" s="14">
        <f>IFERROR((TimeLine!E56/TimeLine!E55)-1, NA())</f>
        <v>3.7567084078712121E-2</v>
      </c>
      <c r="F56" s="14">
        <f>IFERROR((TimeLine!F56/TimeLine!F55)-1, NA())</f>
        <v>2.6763990267639759E-2</v>
      </c>
      <c r="G56" s="14">
        <f>IFERROR((TimeLine!G56/TimeLine!G55)-1, NA())</f>
        <v>7.6516187870496966E-2</v>
      </c>
      <c r="H56" s="14">
        <f>IFERROR((TimeLine!H56/TimeLine!H55)-1, NA())</f>
        <v>6.0236427979809548E-4</v>
      </c>
      <c r="I56" s="14">
        <f>IFERROR((TimeLine!I56/TimeLine!I55)-1, NA())</f>
        <v>3.5373891602257235E-2</v>
      </c>
      <c r="J56" s="14">
        <f>IFERROR((TimeLine!J56/TimeLine!J55)-1, NA())</f>
        <v>1.7048054919908351E-2</v>
      </c>
      <c r="K56" s="14">
        <f>IFERROR((TimeLine!K56/TimeLine!K55)-1, NA())</f>
        <v>-1.9905213270142164E-2</v>
      </c>
    </row>
    <row r="57" spans="1:11" x14ac:dyDescent="0.2">
      <c r="A57" s="13">
        <f>TimeLine!A57</f>
        <v>43678</v>
      </c>
      <c r="B57" s="14">
        <f>IFERROR((TimeLine!B57/TimeLine!B56)-1, NA())</f>
        <v>7.9123188949778545E-2</v>
      </c>
      <c r="C57" s="14">
        <f>IFERROR((TimeLine!C57/TimeLine!C56)-1, NA())</f>
        <v>-7.907477138246366E-2</v>
      </c>
      <c r="D57" s="14">
        <f>IFERROR((TimeLine!D57/TimeLine!D56)-1, NA())</f>
        <v>-1.6743435430185305E-2</v>
      </c>
      <c r="E57" s="14">
        <f>IFERROR((TimeLine!E57/TimeLine!E56)-1, NA())</f>
        <v>-5.2931034482758599E-2</v>
      </c>
      <c r="F57" s="14">
        <f>IFERROR((TimeLine!F57/TimeLine!F56)-1, NA())</f>
        <v>-7.1090047393362887E-3</v>
      </c>
      <c r="G57" s="14">
        <f>IFERROR((TimeLine!G57/TimeLine!G56)-1, NA())</f>
        <v>1.8553032870213482E-2</v>
      </c>
      <c r="H57" s="14">
        <f>IFERROR((TimeLine!H57/TimeLine!H56)-1, NA())</f>
        <v>0.10828504778388148</v>
      </c>
      <c r="I57" s="14">
        <f>IFERROR((TimeLine!I57/TimeLine!I56)-1, NA())</f>
        <v>-2.1937256697961982E-2</v>
      </c>
      <c r="J57" s="14">
        <f>IFERROR((TimeLine!J57/TimeLine!J56)-1, NA())</f>
        <v>3.7462031724603495E-2</v>
      </c>
      <c r="K57" s="14">
        <f>IFERROR((TimeLine!K57/TimeLine!K56)-1, NA())</f>
        <v>-2.1663442940038746E-2</v>
      </c>
    </row>
    <row r="58" spans="1:11" x14ac:dyDescent="0.2">
      <c r="A58" s="13">
        <f>TimeLine!A58</f>
        <v>43709</v>
      </c>
      <c r="B58" s="14">
        <f>IFERROR((TimeLine!B58/TimeLine!B57)-1, NA())</f>
        <v>-3.3947826086956456E-2</v>
      </c>
      <c r="C58" s="14">
        <f>IFERROR((TimeLine!C58/TimeLine!C57)-1, NA())</f>
        <v>3.1103971962616717E-2</v>
      </c>
      <c r="D58" s="14">
        <f>IFERROR((TimeLine!D58/TimeLine!D57)-1, NA())</f>
        <v>1.4771755855701896E-2</v>
      </c>
      <c r="E58" s="14">
        <f>IFERROR((TimeLine!E58/TimeLine!E57)-1, NA())</f>
        <v>7.1272528672856383E-2</v>
      </c>
      <c r="F58" s="14">
        <f>IFERROR((TimeLine!F58/TimeLine!F57)-1, NA())</f>
        <v>3.8186157517899666E-2</v>
      </c>
      <c r="G58" s="14">
        <f>IFERROR((TimeLine!G58/TimeLine!G57)-1, NA())</f>
        <v>3.4517175413790069E-2</v>
      </c>
      <c r="H58" s="14">
        <f>IFERROR((TimeLine!H58/TimeLine!H57)-1, NA())</f>
        <v>-2.8517110266159662E-2</v>
      </c>
      <c r="I58" s="14">
        <f>IFERROR((TimeLine!I58/TimeLine!I57)-1, NA())</f>
        <v>9.3182243865892467E-3</v>
      </c>
      <c r="J58" s="14">
        <f>IFERROR((TimeLine!J58/TimeLine!J57)-1, NA())</f>
        <v>1.11689438299718E-2</v>
      </c>
      <c r="K58" s="14">
        <f>IFERROR((TimeLine!K58/TimeLine!K57)-1, NA())</f>
        <v>2.1352313167259718E-2</v>
      </c>
    </row>
    <row r="59" spans="1:11" x14ac:dyDescent="0.2">
      <c r="A59" s="13">
        <f>TimeLine!A59</f>
        <v>43739</v>
      </c>
      <c r="B59" s="14">
        <f>IFERROR((TimeLine!B59/TimeLine!B58)-1, NA())</f>
        <v>2.5635486426153875E-2</v>
      </c>
      <c r="C59" s="14">
        <f>IFERROR((TimeLine!C59/TimeLine!C58)-1, NA())</f>
        <v>-4.3053391870839897E-2</v>
      </c>
      <c r="D59" s="14">
        <f>IFERROR((TimeLine!D59/TimeLine!D58)-1, NA())</f>
        <v>2.2104660174546042E-2</v>
      </c>
      <c r="E59" s="14">
        <f>IFERROR((TimeLine!E59/TimeLine!E58)-1, NA())</f>
        <v>6.1432577109355124E-2</v>
      </c>
      <c r="F59" s="14">
        <f>IFERROR((TimeLine!F59/TimeLine!F58)-1, NA())</f>
        <v>0.15632183908045993</v>
      </c>
      <c r="G59" s="14">
        <f>IFERROR((TimeLine!G59/TimeLine!G58)-1, NA())</f>
        <v>1.045184113201536E-3</v>
      </c>
      <c r="H59" s="14">
        <f>IFERROR((TimeLine!H59/TimeLine!H58)-1, NA())</f>
        <v>-1.2859938495946355E-2</v>
      </c>
      <c r="I59" s="14">
        <f>IFERROR((TimeLine!I59/TimeLine!I58)-1, NA())</f>
        <v>3.7531895151936778E-2</v>
      </c>
      <c r="J59" s="14">
        <f>IFERROR((TimeLine!J59/TimeLine!J58)-1, NA())</f>
        <v>1.1260053619302823E-2</v>
      </c>
      <c r="K59" s="14">
        <f>IFERROR((TimeLine!K59/TimeLine!K58)-1, NA())</f>
        <v>3.4262485481997729E-2</v>
      </c>
    </row>
    <row r="60" spans="1:11" x14ac:dyDescent="0.2">
      <c r="A60" s="13">
        <f>TimeLine!A60</f>
        <v>43770</v>
      </c>
      <c r="B60" s="14">
        <f>IFERROR((TimeLine!B60/TimeLine!B59)-1, NA())</f>
        <v>-3.2085936951484872E-2</v>
      </c>
      <c r="C60" s="14">
        <f>IFERROR((TimeLine!C60/TimeLine!C59)-1, NA())</f>
        <v>8.2877016427409522E-3</v>
      </c>
      <c r="D60" s="14">
        <f>IFERROR((TimeLine!D60/TimeLine!D59)-1, NA())</f>
        <v>3.619819998021967E-2</v>
      </c>
      <c r="E60" s="14">
        <f>IFERROR((TimeLine!E60/TimeLine!E59)-1, NA())</f>
        <v>5.4755043227665556E-2</v>
      </c>
      <c r="F60" s="14">
        <f>IFERROR((TimeLine!F60/TimeLine!F59)-1, NA())</f>
        <v>7.753479125248508E-2</v>
      </c>
      <c r="G60" s="14">
        <f>IFERROR((TimeLine!G60/TimeLine!G59)-1, NA())</f>
        <v>-1.9677134366717586E-2</v>
      </c>
      <c r="H60" s="14">
        <f>IFERROR((TimeLine!H60/TimeLine!H59)-1, NA())</f>
        <v>-5.8057207589919946E-3</v>
      </c>
      <c r="I60" s="14">
        <f>IFERROR((TimeLine!I60/TimeLine!I59)-1, NA())</f>
        <v>5.5938114827401186E-2</v>
      </c>
      <c r="J60" s="14">
        <f>IFERROR((TimeLine!J60/TimeLine!J59)-1, NA())</f>
        <v>-1.3043478260869601E-2</v>
      </c>
      <c r="K60" s="14">
        <f>IFERROR((TimeLine!K60/TimeLine!K59)-1, NA())</f>
        <v>9.9195208684259573E-3</v>
      </c>
    </row>
    <row r="61" spans="1:11" x14ac:dyDescent="0.2">
      <c r="A61" s="13">
        <f>TimeLine!A61</f>
        <v>43800</v>
      </c>
      <c r="B61" s="14">
        <f>IFERROR((TimeLine!B61/TimeLine!B60)-1, NA())</f>
        <v>3.6558827796315141E-2</v>
      </c>
      <c r="C61" s="14">
        <f>IFERROR((TimeLine!C61/TimeLine!C60)-1, NA())</f>
        <v>2.4218405988551295E-2</v>
      </c>
      <c r="D61" s="14">
        <f>IFERROR((TimeLine!D61/TimeLine!D60)-1, NA())</f>
        <v>2.4020871114504905E-2</v>
      </c>
      <c r="E61" s="14">
        <f>IFERROR((TimeLine!E61/TimeLine!E60)-1, NA())</f>
        <v>5.7984213721918865E-2</v>
      </c>
      <c r="F61" s="14">
        <f>IFERROR((TimeLine!F61/TimeLine!F60)-1, NA())</f>
        <v>8.4870848708487046E-2</v>
      </c>
      <c r="G61" s="14">
        <f>IFERROR((TimeLine!G61/TimeLine!G60)-1, NA())</f>
        <v>2.3267245616909848E-2</v>
      </c>
      <c r="H61" s="14">
        <f>IFERROR((TimeLine!H61/TimeLine!H60)-1, NA())</f>
        <v>-3.5180173764421063E-2</v>
      </c>
      <c r="I61" s="14">
        <f>IFERROR((TimeLine!I61/TimeLine!I60)-1, NA())</f>
        <v>3.6840990895617098E-2</v>
      </c>
      <c r="J61" s="14">
        <f>IFERROR((TimeLine!J61/TimeLine!J60)-1, NA())</f>
        <v>-3.0084882346619324E-3</v>
      </c>
      <c r="K61" s="14">
        <f>IFERROR((TimeLine!K61/TimeLine!K60)-1, NA())</f>
        <v>3.2060785767235034E-2</v>
      </c>
    </row>
    <row r="62" spans="1:11" x14ac:dyDescent="0.2">
      <c r="A62" s="13">
        <f>TimeLine!A62</f>
        <v>43831</v>
      </c>
      <c r="B62" s="14">
        <f>IFERROR((TimeLine!B62/TimeLine!B61)-1, NA())</f>
        <v>4.4996501049685111E-2</v>
      </c>
      <c r="C62" s="14">
        <f>IFERROR((TimeLine!C62/TimeLine!C61)-1, NA())</f>
        <v>-0.10977357408999722</v>
      </c>
      <c r="D62" s="14">
        <f>IFERROR((TimeLine!D62/TimeLine!D61)-1, NA())</f>
        <v>-4.0390231777787111E-4</v>
      </c>
      <c r="E62" s="14">
        <f>IFERROR((TimeLine!E62/TimeLine!E61)-1, NA())</f>
        <v>-5.0502152080344254E-2</v>
      </c>
      <c r="F62" s="14">
        <f>IFERROR((TimeLine!F62/TimeLine!F61)-1, NA())</f>
        <v>5.1020408163264808E-3</v>
      </c>
      <c r="G62" s="14">
        <f>IFERROR((TimeLine!G62/TimeLine!G61)-1, NA())</f>
        <v>-2.2417934347478408E-3</v>
      </c>
      <c r="H62" s="14">
        <f>IFERROR((TimeLine!H62/TimeLine!H61)-1, NA())</f>
        <v>7.691172128727497E-2</v>
      </c>
      <c r="I62" s="14">
        <f>IFERROR((TimeLine!I62/TimeLine!I61)-1, NA())</f>
        <v>3.8104962221768401E-2</v>
      </c>
      <c r="J62" s="14">
        <f>IFERROR((TimeLine!J62/TimeLine!J61)-1, NA())</f>
        <v>1.2285806660200516E-2</v>
      </c>
      <c r="K62" s="14">
        <f>IFERROR((TimeLine!K62/TimeLine!K61)-1, NA())</f>
        <v>-3.393787035374396E-2</v>
      </c>
    </row>
    <row r="63" spans="1:11" x14ac:dyDescent="0.2">
      <c r="A63" s="13">
        <f>TimeLine!A63</f>
        <v>43862</v>
      </c>
      <c r="B63" s="14">
        <f>IFERROR((TimeLine!B63/TimeLine!B62)-1, NA())</f>
        <v>-6.3617491461863684E-3</v>
      </c>
      <c r="C63" s="14">
        <f>IFERROR((TimeLine!C63/TimeLine!C62)-1, NA())</f>
        <v>-0.17192530585962651</v>
      </c>
      <c r="D63" s="14">
        <f>IFERROR((TimeLine!D63/TimeLine!D62)-1, NA())</f>
        <v>-7.9165760109408567E-2</v>
      </c>
      <c r="E63" s="14">
        <f>IFERROR((TimeLine!E63/TimeLine!E62)-1, NA())</f>
        <v>-0.12277122997884571</v>
      </c>
      <c r="F63" s="14">
        <f>IFERROR((TimeLine!F63/TimeLine!F62)-1, NA())</f>
        <v>0.14213197969543145</v>
      </c>
      <c r="G63" s="14">
        <f>IFERROR((TimeLine!G63/TimeLine!G62)-1, NA())</f>
        <v>-9.1397849462365621E-2</v>
      </c>
      <c r="H63" s="14">
        <f>IFERROR((TimeLine!H63/TimeLine!H62)-1, NA())</f>
        <v>6.449623029472229E-2</v>
      </c>
      <c r="I63" s="14">
        <f>IFERROR((TimeLine!I63/TimeLine!I62)-1, NA())</f>
        <v>-7.2901093713116705E-2</v>
      </c>
      <c r="J63" s="14">
        <f>IFERROR((TimeLine!J63/TimeLine!J62)-1, NA())</f>
        <v>-7.0265091025231596E-2</v>
      </c>
      <c r="K63" s="14">
        <f>IFERROR((TimeLine!K63/TimeLine!K62)-1, NA())</f>
        <v>-6.5985130111524071E-2</v>
      </c>
    </row>
    <row r="64" spans="1:11" x14ac:dyDescent="0.2">
      <c r="A64" s="13">
        <f>TimeLine!A64</f>
        <v>43891</v>
      </c>
      <c r="B64" s="14">
        <f>IFERROR((TimeLine!B64/TimeLine!B63)-1, NA())</f>
        <v>-2.2240194096238008E-3</v>
      </c>
      <c r="C64" s="14">
        <f>IFERROR((TimeLine!C64/TimeLine!C63)-1, NA())</f>
        <v>-0.26185847589424571</v>
      </c>
      <c r="D64" s="14">
        <f>IFERROR((TimeLine!D64/TimeLine!D63)-1, NA())</f>
        <v>-0.129987173428745</v>
      </c>
      <c r="E64" s="14">
        <f>IFERROR((TimeLine!E64/TimeLine!E63)-1, NA())</f>
        <v>-0.22461458961329772</v>
      </c>
      <c r="F64" s="14">
        <f>IFERROR((TimeLine!F64/TimeLine!F63)-1, NA())</f>
        <v>-2.3703703703703671E-2</v>
      </c>
      <c r="G64" s="14">
        <f>IFERROR((TimeLine!G64/TimeLine!G63)-1, NA())</f>
        <v>-2.8526009008213449E-2</v>
      </c>
      <c r="H64" s="14">
        <f>IFERROR((TimeLine!H64/TimeLine!H63)-1, NA())</f>
        <v>6.2198184276607948E-2</v>
      </c>
      <c r="I64" s="14">
        <f>IFERROR((TimeLine!I64/TimeLine!I63)-1, NA())</f>
        <v>-0.10078506259282838</v>
      </c>
      <c r="J64" s="14">
        <f>IFERROR((TimeLine!J64/TimeLine!J63)-1, NA())</f>
        <v>-0.20016031146226965</v>
      </c>
      <c r="K64" s="14">
        <f>IFERROR((TimeLine!K64/TimeLine!K63)-1, NA())</f>
        <v>-0.16497512437810946</v>
      </c>
    </row>
    <row r="65" spans="1:11" x14ac:dyDescent="0.2">
      <c r="A65" s="13">
        <f>TimeLine!A65</f>
        <v>43922</v>
      </c>
      <c r="B65" s="14">
        <f>IFERROR((TimeLine!B65/TimeLine!B64)-1, NA())</f>
        <v>7.2610604525498168E-2</v>
      </c>
      <c r="C65" s="14">
        <f>IFERROR((TimeLine!C65/TimeLine!C64)-1, NA())</f>
        <v>0.22386094284961811</v>
      </c>
      <c r="D65" s="14">
        <f>IFERROR((TimeLine!D65/TimeLine!D64)-1, NA())</f>
        <v>0.12698351115421924</v>
      </c>
      <c r="E65" s="14">
        <f>IFERROR((TimeLine!E65/TimeLine!E64)-1, NA())</f>
        <v>6.36454515161613E-2</v>
      </c>
      <c r="F65" s="14">
        <f>IFERROR((TimeLine!F65/TimeLine!F64)-1, NA())</f>
        <v>0.109256449165402</v>
      </c>
      <c r="G65" s="14">
        <f>IFERROR((TimeLine!G65/TimeLine!G64)-1, NA())</f>
        <v>7.1545454545454579E-2</v>
      </c>
      <c r="H65" s="14">
        <f>IFERROR((TimeLine!H65/TimeLine!H64)-1, NA())</f>
        <v>1.0729223495181017E-2</v>
      </c>
      <c r="I65" s="14">
        <f>IFERROR((TimeLine!I65/TimeLine!I64)-1, NA())</f>
        <v>0.14204813591316645</v>
      </c>
      <c r="J65" s="14">
        <f>IFERROR((TimeLine!J65/TimeLine!J64)-1, NA())</f>
        <v>8.962061560486756E-2</v>
      </c>
      <c r="K65" s="14">
        <f>IFERROR((TimeLine!K65/TimeLine!K64)-1, NA())</f>
        <v>7.6024785510009574E-2</v>
      </c>
    </row>
    <row r="66" spans="1:11" x14ac:dyDescent="0.2">
      <c r="A66" s="13">
        <f>TimeLine!A66</f>
        <v>43952</v>
      </c>
      <c r="B66" s="14">
        <f>IFERROR((TimeLine!B66/TimeLine!B65)-1, NA())</f>
        <v>2.5881612090679962E-2</v>
      </c>
      <c r="C66" s="14">
        <f>IFERROR((TimeLine!C66/TimeLine!C65)-1, NA())</f>
        <v>-2.1519259737465046E-2</v>
      </c>
      <c r="D66" s="14">
        <f>IFERROR((TimeLine!D66/TimeLine!D65)-1, NA())</f>
        <v>4.7645276783255142E-2</v>
      </c>
      <c r="E66" s="14">
        <f>IFERROR((TimeLine!E66/TimeLine!E65)-1, NA())</f>
        <v>1.6186299081035971E-2</v>
      </c>
      <c r="F66" s="14">
        <f>IFERROR((TimeLine!F66/TimeLine!F65)-1, NA())</f>
        <v>0.21477428180574565</v>
      </c>
      <c r="G66" s="14">
        <f>IFERROR((TimeLine!G66/TimeLine!G65)-1, NA())</f>
        <v>-1.6543649783659964E-2</v>
      </c>
      <c r="H66" s="14">
        <f>IFERROR((TimeLine!H66/TimeLine!H65)-1, NA())</f>
        <v>-1.8891687657430767E-2</v>
      </c>
      <c r="I66" s="14">
        <f>IFERROR((TimeLine!I66/TimeLine!I65)-1, NA())</f>
        <v>7.8636363636363615E-2</v>
      </c>
      <c r="J66" s="14">
        <f>IFERROR((TimeLine!J66/TimeLine!J65)-1, NA())</f>
        <v>1.7343318880567615E-2</v>
      </c>
      <c r="K66" s="14">
        <f>IFERROR((TimeLine!K66/TimeLine!K65)-1, NA())</f>
        <v>5.0055370985603531E-2</v>
      </c>
    </row>
    <row r="67" spans="1:11" x14ac:dyDescent="0.2">
      <c r="A67" s="13">
        <f>TimeLine!A67</f>
        <v>43983</v>
      </c>
      <c r="B67" s="14">
        <f>IFERROR((TimeLine!B67/TimeLine!B66)-1, NA())</f>
        <v>2.7377079368976709E-2</v>
      </c>
      <c r="C67" s="14">
        <f>IFERROR((TimeLine!C67/TimeLine!C66)-1, NA())</f>
        <v>-1.6494391906751726E-2</v>
      </c>
      <c r="D67" s="14">
        <f>IFERROR((TimeLine!D67/TimeLine!D66)-1, NA())</f>
        <v>1.3275499474237673E-2</v>
      </c>
      <c r="E67" s="14">
        <f>IFERROR((TimeLine!E67/TimeLine!E66)-1, NA())</f>
        <v>-3.3398417428835647E-2</v>
      </c>
      <c r="F67" s="14">
        <f>IFERROR((TimeLine!F67/TimeLine!F66)-1, NA())</f>
        <v>6.9819819819819662E-2</v>
      </c>
      <c r="G67" s="14">
        <f>IFERROR((TimeLine!G67/TimeLine!G66)-1, NA())</f>
        <v>3.1487232574189061E-2</v>
      </c>
      <c r="H67" s="14">
        <f>IFERROR((TimeLine!H67/TimeLine!H66)-1, NA())</f>
        <v>2.0783666483281671E-3</v>
      </c>
      <c r="I67" s="14">
        <f>IFERROR((TimeLine!I67/TimeLine!I66)-1, NA())</f>
        <v>6.7731678351147462E-2</v>
      </c>
      <c r="J67" s="14">
        <f>IFERROR((TimeLine!J67/TimeLine!J66)-1, NA())</f>
        <v>1.4206379956089199E-2</v>
      </c>
      <c r="K67" s="14">
        <f>IFERROR((TimeLine!K67/TimeLine!K66)-1, NA())</f>
        <v>3.7122969837587227E-2</v>
      </c>
    </row>
    <row r="68" spans="1:11" x14ac:dyDescent="0.2">
      <c r="A68" s="13">
        <f>TimeLine!A68</f>
        <v>44013</v>
      </c>
      <c r="B68" s="14">
        <f>IFERROR((TimeLine!B68/TimeLine!B67)-1, NA())</f>
        <v>0.10790464240903397</v>
      </c>
      <c r="C68" s="14">
        <f>IFERROR((TimeLine!C68/TimeLine!C67)-1, NA())</f>
        <v>-5.903398926654746E-2</v>
      </c>
      <c r="D68" s="14">
        <f>IFERROR((TimeLine!D68/TimeLine!D67)-1, NA())</f>
        <v>5.8892203917498831E-2</v>
      </c>
      <c r="E68" s="14">
        <f>IFERROR((TimeLine!E68/TimeLine!E67)-1, NA())</f>
        <v>2.7429300446523586E-2</v>
      </c>
      <c r="F68" s="14">
        <f>IFERROR((TimeLine!F68/TimeLine!F67)-1, NA())</f>
        <v>0.11684210526315786</v>
      </c>
      <c r="G68" s="14">
        <f>IFERROR((TimeLine!G68/TimeLine!G67)-1, NA())</f>
        <v>9.659613615455398E-2</v>
      </c>
      <c r="H68" s="14">
        <f>IFERROR((TimeLine!H68/TimeLine!H67)-1, NA())</f>
        <v>4.3128164460440432E-2</v>
      </c>
      <c r="I68" s="14">
        <f>IFERROR((TimeLine!I68/TimeLine!I67)-1, NA())</f>
        <v>5.9416597897456125E-2</v>
      </c>
      <c r="J68" s="14">
        <f>IFERROR((TimeLine!J68/TimeLine!J67)-1, NA())</f>
        <v>3.6419202852413068E-2</v>
      </c>
      <c r="K68" s="14">
        <f>IFERROR((TimeLine!K68/TimeLine!K67)-1, NA())</f>
        <v>4.1488712629652147E-2</v>
      </c>
    </row>
    <row r="69" spans="1:11" x14ac:dyDescent="0.2">
      <c r="A69" s="13">
        <f>TimeLine!A69</f>
        <v>44044</v>
      </c>
      <c r="B69" s="14">
        <f>IFERROR((TimeLine!B69/TimeLine!B68)-1, NA())</f>
        <v>-3.2357223750202335E-3</v>
      </c>
      <c r="C69" s="14">
        <f>IFERROR((TimeLine!C69/TimeLine!C68)-1, NA())</f>
        <v>-5.0855513307984768E-2</v>
      </c>
      <c r="D69" s="14">
        <f>IFERROR((TimeLine!D69/TimeLine!D68)-1, NA())</f>
        <v>6.9796643390910296E-2</v>
      </c>
      <c r="E69" s="14">
        <f>IFERROR((TimeLine!E69/TimeLine!E68)-1, NA())</f>
        <v>3.6734271523178874E-2</v>
      </c>
      <c r="F69" s="14">
        <f>IFERROR((TimeLine!F69/TimeLine!F68)-1, NA())</f>
        <v>0.26013195098963249</v>
      </c>
      <c r="G69" s="14">
        <f>IFERROR((TimeLine!G69/TimeLine!G68)-1, NA())</f>
        <v>5.498779743746196E-2</v>
      </c>
      <c r="H69" s="14">
        <f>IFERROR((TimeLine!H69/TimeLine!H68)-1, NA())</f>
        <v>-5.15204678362573E-2</v>
      </c>
      <c r="I69" s="14">
        <f>IFERROR((TimeLine!I69/TimeLine!I68)-1, NA())</f>
        <v>0.11135570833474451</v>
      </c>
      <c r="J69" s="14">
        <f>IFERROR((TimeLine!J69/TimeLine!J68)-1, NA())</f>
        <v>4.4231478068559316E-3</v>
      </c>
      <c r="K69" s="14">
        <f>IFERROR((TimeLine!K69/TimeLine!K68)-1, NA())</f>
        <v>4.4327279828158428E-2</v>
      </c>
    </row>
    <row r="70" spans="1:11" x14ac:dyDescent="0.2">
      <c r="A70" s="13">
        <f>TimeLine!A70</f>
        <v>44075</v>
      </c>
      <c r="B70" s="14">
        <f>IFERROR((TimeLine!B70/TimeLine!B69)-1, NA())</f>
        <v>-4.171400746632048E-2</v>
      </c>
      <c r="C70" s="14">
        <f>IFERROR((TimeLine!C70/TimeLine!C69)-1, NA())</f>
        <v>-0.14046069103655479</v>
      </c>
      <c r="D70" s="14">
        <f>IFERROR((TimeLine!D70/TimeLine!D69)-1, NA())</f>
        <v>-4.1281383298502838E-2</v>
      </c>
      <c r="E70" s="14">
        <f>IFERROR((TimeLine!E70/TimeLine!E69)-1, NA())</f>
        <v>-3.9125661243637144E-2</v>
      </c>
      <c r="F70" s="14">
        <f>IFERROR((TimeLine!F70/TimeLine!F69)-1, NA())</f>
        <v>1.1967090501121991E-2</v>
      </c>
      <c r="G70" s="14">
        <f>IFERROR((TimeLine!G70/TimeLine!G69)-1, NA())</f>
        <v>4.7711993060073343E-3</v>
      </c>
      <c r="H70" s="14">
        <f>IFERROR((TimeLine!H70/TimeLine!H69)-1, NA())</f>
        <v>6.5972008138601712E-3</v>
      </c>
      <c r="I70" s="14">
        <f>IFERROR((TimeLine!I70/TimeLine!I69)-1, NA())</f>
        <v>-5.0891360658235518E-2</v>
      </c>
      <c r="J70" s="14">
        <f>IFERROR((TimeLine!J70/TimeLine!J69)-1, NA())</f>
        <v>-3.4128440366972601E-2</v>
      </c>
      <c r="K70" s="14">
        <f>IFERROR((TimeLine!K70/TimeLine!K69)-1, NA())</f>
        <v>-2.4495138369483804E-2</v>
      </c>
    </row>
    <row r="71" spans="1:11" x14ac:dyDescent="0.2">
      <c r="A71" s="13">
        <f>TimeLine!A71</f>
        <v>44105</v>
      </c>
      <c r="B71" s="14">
        <f>IFERROR((TimeLine!B71/TimeLine!B70)-1, NA())</f>
        <v>-5.1942186088528297E-3</v>
      </c>
      <c r="C71" s="14">
        <f>IFERROR((TimeLine!C71/TimeLine!C70)-1, NA())</f>
        <v>-4.9810661229245601E-2</v>
      </c>
      <c r="D71" s="14">
        <f>IFERROR((TimeLine!D71/TimeLine!D70)-1, NA())</f>
        <v>-2.4933560273522559E-2</v>
      </c>
      <c r="E71" s="14">
        <f>IFERROR((TimeLine!E71/TimeLine!E70)-1, NA())</f>
        <v>1.83857899657216E-2</v>
      </c>
      <c r="F71" s="14">
        <f>IFERROR((TimeLine!F71/TimeLine!F70)-1, NA())</f>
        <v>-7.3909830007391042E-2</v>
      </c>
      <c r="G71" s="14">
        <f>IFERROR((TimeLine!G71/TimeLine!G70)-1, NA())</f>
        <v>-1.3598100582775885E-2</v>
      </c>
      <c r="H71" s="14">
        <f>IFERROR((TimeLine!H71/TimeLine!H70)-1, NA())</f>
        <v>-3.4852382702437845E-2</v>
      </c>
      <c r="I71" s="14">
        <f>IFERROR((TimeLine!I71/TimeLine!I70)-1, NA())</f>
        <v>-4.3217209825011982E-2</v>
      </c>
      <c r="J71" s="14">
        <f>IFERROR((TimeLine!J71/TimeLine!J70)-1, NA())</f>
        <v>-3.0015197568388885E-2</v>
      </c>
      <c r="K71" s="14">
        <f>IFERROR((TimeLine!K71/TimeLine!K70)-1, NA())</f>
        <v>-2.3001725129384809E-2</v>
      </c>
    </row>
    <row r="72" spans="1:11" x14ac:dyDescent="0.2">
      <c r="A72" s="13">
        <f>TimeLine!A72</f>
        <v>44136</v>
      </c>
      <c r="B72" s="14">
        <f>IFERROR((TimeLine!B72/TimeLine!B71)-1, NA())</f>
        <v>-5.4086265607264483E-2</v>
      </c>
      <c r="C72" s="14">
        <f>IFERROR((TimeLine!C72/TimeLine!C71)-1, NA())</f>
        <v>0.16891477621091378</v>
      </c>
      <c r="D72" s="14">
        <f>IFERROR((TimeLine!D72/TimeLine!D71)-1, NA())</f>
        <v>0.10877687266491076</v>
      </c>
      <c r="E72" s="14">
        <f>IFERROR((TimeLine!E72/TimeLine!E71)-1, NA())</f>
        <v>0.20236638106895133</v>
      </c>
      <c r="F72" s="14">
        <f>IFERROR((TimeLine!F72/TimeLine!F71)-1, NA())</f>
        <v>6.9433359936153405E-2</v>
      </c>
      <c r="G72" s="14">
        <f>IFERROR((TimeLine!G72/TimeLine!G71)-1, NA())</f>
        <v>1.2910284463895083E-2</v>
      </c>
      <c r="H72" s="14">
        <f>IFERROR((TimeLine!H72/TimeLine!H71)-1, NA())</f>
        <v>1.5548645046645992E-2</v>
      </c>
      <c r="I72" s="14">
        <f>IFERROR((TimeLine!I72/TimeLine!I71)-1, NA())</f>
        <v>0.12530621832947397</v>
      </c>
      <c r="J72" s="14">
        <f>IFERROR((TimeLine!J72/TimeLine!J71)-1, NA())</f>
        <v>9.6748922835879325E-2</v>
      </c>
      <c r="K72" s="14">
        <f>IFERROR((TimeLine!K72/TimeLine!K71)-1, NA())</f>
        <v>0.12615263880714145</v>
      </c>
    </row>
    <row r="73" spans="1:11" x14ac:dyDescent="0.2">
      <c r="A73" s="13">
        <f>TimeLine!A73</f>
        <v>44166</v>
      </c>
      <c r="B73" s="14">
        <f>IFERROR((TimeLine!B73/TimeLine!B72)-1, NA())</f>
        <v>7.013859722805571E-2</v>
      </c>
      <c r="C73" s="14">
        <f>IFERROR((TimeLine!C73/TimeLine!C72)-1, NA())</f>
        <v>8.1038552321006874E-2</v>
      </c>
      <c r="D73" s="14">
        <f>IFERROR((TimeLine!D73/TimeLine!D72)-1, NA())</f>
        <v>3.2646522675799483E-2</v>
      </c>
      <c r="E73" s="14">
        <f>IFERROR((TimeLine!E73/TimeLine!E72)-1, NA())</f>
        <v>7.7960637936884902E-2</v>
      </c>
      <c r="F73" s="14">
        <f>IFERROR((TimeLine!F73/TimeLine!F72)-1, NA())</f>
        <v>-2.5373134328358193E-2</v>
      </c>
      <c r="G73" s="14">
        <f>IFERROR((TimeLine!G73/TimeLine!G72)-1, NA())</f>
        <v>1.9442644199609838E-3</v>
      </c>
      <c r="H73" s="14">
        <f>IFERROR((TimeLine!H73/TimeLine!H72)-1, NA())</f>
        <v>-1.4310711161104939E-2</v>
      </c>
      <c r="I73" s="14">
        <f>IFERROR((TimeLine!I73/TimeLine!I72)-1, NA())</f>
        <v>5.5050249008439467E-2</v>
      </c>
      <c r="J73" s="14">
        <f>IFERROR((TimeLine!J73/TimeLine!J72)-1, NA())</f>
        <v>1.1071428571428621E-2</v>
      </c>
      <c r="K73" s="14">
        <f>IFERROR((TimeLine!K73/TimeLine!K72)-1, NA())</f>
        <v>4.8083623693379707E-2</v>
      </c>
    </row>
    <row r="74" spans="1:11" x14ac:dyDescent="0.2">
      <c r="A74" s="13">
        <f>TimeLine!A74</f>
        <v>44197</v>
      </c>
      <c r="B74" s="14">
        <f>IFERROR((TimeLine!B74/TimeLine!B73)-1, NA())</f>
        <v>-3.2238169993272003E-2</v>
      </c>
      <c r="C74" s="14">
        <f>IFERROR((TimeLine!C74/TimeLine!C73)-1, NA())</f>
        <v>8.7821445900048589E-2</v>
      </c>
      <c r="D74" s="14">
        <f>IFERROR((TimeLine!D74/TimeLine!D73)-1, NA())</f>
        <v>-1.0190435433829026E-2</v>
      </c>
      <c r="E74" s="14">
        <f>IFERROR((TimeLine!E74/TimeLine!E73)-1, NA())</f>
        <v>1.2591485008263126E-2</v>
      </c>
      <c r="F74" s="14">
        <f>IFERROR((TimeLine!F74/TimeLine!F73)-1, NA())</f>
        <v>-5.3598774885145195E-3</v>
      </c>
      <c r="G74" s="14">
        <f>IFERROR((TimeLine!G74/TimeLine!G73)-1, NA())</f>
        <v>-7.855397441425882E-2</v>
      </c>
      <c r="H74" s="14">
        <f>IFERROR((TimeLine!H74/TimeLine!H73)-1, NA())</f>
        <v>-3.6327902111202626E-2</v>
      </c>
      <c r="I74" s="14">
        <f>IFERROR((TimeLine!I74/TimeLine!I73)-1, NA())</f>
        <v>-7.0380734333926886E-3</v>
      </c>
      <c r="J74" s="14">
        <f>IFERROR((TimeLine!J74/TimeLine!J73)-1, NA())</f>
        <v>3.5323207347204288E-4</v>
      </c>
      <c r="K74" s="14">
        <f>IFERROR((TimeLine!K74/TimeLine!K73)-1, NA())</f>
        <v>2.4933510638298628E-3</v>
      </c>
    </row>
    <row r="75" spans="1:11" x14ac:dyDescent="0.2">
      <c r="A75" s="13">
        <f>TimeLine!A75</f>
        <v>44228</v>
      </c>
      <c r="B75" s="14">
        <f>IFERROR((TimeLine!B75/TimeLine!B74)-1, NA())</f>
        <v>-6.2568796709344787E-2</v>
      </c>
      <c r="C75" s="14">
        <f>IFERROR((TimeLine!C75/TimeLine!C74)-1, NA())</f>
        <v>0.21253345227475462</v>
      </c>
      <c r="D75" s="14">
        <f>IFERROR((TimeLine!D75/TimeLine!D74)-1, NA())</f>
        <v>2.7805550301294391E-2</v>
      </c>
      <c r="E75" s="14">
        <f>IFERROR((TimeLine!E75/TimeLine!E74)-1, NA())</f>
        <v>0.14377865858397443</v>
      </c>
      <c r="F75" s="14">
        <f>IFERROR((TimeLine!F75/TimeLine!F74)-1, NA())</f>
        <v>5.5427251732101723E-2</v>
      </c>
      <c r="G75" s="14">
        <f>IFERROR((TimeLine!G75/TimeLine!G74)-1, NA())</f>
        <v>-3.6502612900709774E-2</v>
      </c>
      <c r="H75" s="14">
        <f>IFERROR((TimeLine!H75/TimeLine!H74)-1, NA())</f>
        <v>-5.8421052631578929E-2</v>
      </c>
      <c r="I75" s="14">
        <f>IFERROR((TimeLine!I75/TimeLine!I74)-1, NA())</f>
        <v>1.4802163393111245E-2</v>
      </c>
      <c r="J75" s="14">
        <f>IFERROR((TimeLine!J75/TimeLine!J74)-1, NA())</f>
        <v>3.425141242937868E-2</v>
      </c>
      <c r="K75" s="14">
        <f>IFERROR((TimeLine!K75/TimeLine!K74)-1, NA())</f>
        <v>2.3047587464765318E-2</v>
      </c>
    </row>
    <row r="76" spans="1:11" x14ac:dyDescent="0.2">
      <c r="A76" s="13">
        <f>TimeLine!A76</f>
        <v>44256</v>
      </c>
      <c r="B76" s="14">
        <f>IFERROR((TimeLine!B76/TimeLine!B75)-1, NA())</f>
        <v>-1.1433162350905302E-2</v>
      </c>
      <c r="C76" s="14">
        <f>IFERROR((TimeLine!C76/TimeLine!C75)-1, NA())</f>
        <v>2.6853043958065204E-2</v>
      </c>
      <c r="D76" s="14">
        <f>IFERROR((TimeLine!D76/TimeLine!D75)-1, NA())</f>
        <v>4.1986539068251005E-2</v>
      </c>
      <c r="E76" s="14">
        <f>IFERROR((TimeLine!E76/TimeLine!E75)-1, NA())</f>
        <v>3.4382007202554909E-2</v>
      </c>
      <c r="F76" s="14">
        <f>IFERROR((TimeLine!F76/TimeLine!F75)-1, NA())</f>
        <v>-2.6258205689277947E-2</v>
      </c>
      <c r="G76" s="14">
        <f>IFERROR((TimeLine!G76/TimeLine!G75)-1, NA())</f>
        <v>9.6332874605359109E-2</v>
      </c>
      <c r="H76" s="14">
        <f>IFERROR((TimeLine!H76/TimeLine!H75)-1, NA())</f>
        <v>-5.3591391839016289E-2</v>
      </c>
      <c r="I76" s="14">
        <f>IFERROR((TimeLine!I76/TimeLine!I75)-1, NA())</f>
        <v>5.5820476858345902E-3</v>
      </c>
      <c r="J76" s="14">
        <f>IFERROR((TimeLine!J76/TimeLine!J75)-1, NA())</f>
        <v>4.5407989074769395E-2</v>
      </c>
      <c r="K76" s="14">
        <f>IFERROR((TimeLine!K76/TimeLine!K75)-1, NA())</f>
        <v>1.620745542949753E-2</v>
      </c>
    </row>
    <row r="77" spans="1:11" x14ac:dyDescent="0.2">
      <c r="A77" s="13">
        <f>TimeLine!A77</f>
        <v>44287</v>
      </c>
      <c r="B77" s="14">
        <f>IFERROR((TimeLine!B77/TimeLine!B76)-1, NA())</f>
        <v>3.5633908477119114E-2</v>
      </c>
      <c r="C77" s="14">
        <f>IFERROR((TimeLine!C77/TimeLine!C76)-1, NA())</f>
        <v>2.5255239118753492E-2</v>
      </c>
      <c r="D77" s="14">
        <f>IFERROR((TimeLine!D77/TimeLine!D76)-1, NA())</f>
        <v>5.2910453410037084E-2</v>
      </c>
      <c r="E77" s="14">
        <f>IFERROR((TimeLine!E77/TimeLine!E76)-1, NA())</f>
        <v>1.0379031728305899E-2</v>
      </c>
      <c r="F77" s="14">
        <f>IFERROR((TimeLine!F77/TimeLine!F76)-1, NA())</f>
        <v>0.12434456928838955</v>
      </c>
      <c r="G77" s="14">
        <f>IFERROR((TimeLine!G77/TimeLine!G76)-1, NA())</f>
        <v>-1.4841615594772373E-2</v>
      </c>
      <c r="H77" s="14">
        <f>IFERROR((TimeLine!H77/TimeLine!H76)-1, NA())</f>
        <v>2.3551125876707157E-2</v>
      </c>
      <c r="I77" s="14">
        <f>IFERROR((TimeLine!I77/TimeLine!I76)-1, NA())</f>
        <v>5.1465870735585284E-2</v>
      </c>
      <c r="J77" s="14">
        <f>IFERROR((TimeLine!J77/TimeLine!J76)-1, NA())</f>
        <v>7.859786631831045E-2</v>
      </c>
      <c r="K77" s="14">
        <f>IFERROR((TimeLine!K77/TimeLine!K76)-1, NA())</f>
        <v>2.7751196172248749E-2</v>
      </c>
    </row>
    <row r="78" spans="1:11" x14ac:dyDescent="0.2">
      <c r="A78" s="13">
        <f>TimeLine!A78</f>
        <v>44317</v>
      </c>
      <c r="B78" s="14">
        <f>IFERROR((TimeLine!B78/TimeLine!B77)-1, NA())</f>
        <v>7.6783773994929305E-2</v>
      </c>
      <c r="C78" s="14">
        <f>IFERROR((TimeLine!C78/TimeLine!C77)-1, NA())</f>
        <v>1.9741439552760198E-2</v>
      </c>
      <c r="D78" s="14">
        <f>IFERROR((TimeLine!D78/TimeLine!D77)-1, NA())</f>
        <v>6.5660196501318158E-3</v>
      </c>
      <c r="E78" s="14">
        <f>IFERROR((TimeLine!E78/TimeLine!E77)-1, NA())</f>
        <v>6.7810935569859065E-2</v>
      </c>
      <c r="F78" s="14">
        <f>IFERROR((TimeLine!F78/TimeLine!F77)-1, NA())</f>
        <v>8.1945369753497532E-2</v>
      </c>
      <c r="G78" s="14">
        <f>IFERROR((TimeLine!G78/TimeLine!G77)-1, NA())</f>
        <v>1.0718033278369177E-2</v>
      </c>
      <c r="H78" s="14">
        <f>IFERROR((TimeLine!H78/TimeLine!H77)-1, NA())</f>
        <v>-1.4425851125215994E-3</v>
      </c>
      <c r="I78" s="14">
        <f>IFERROR((TimeLine!I78/TimeLine!I77)-1, NA())</f>
        <v>-1.2362710245662489E-2</v>
      </c>
      <c r="J78" s="14">
        <f>IFERROR((TimeLine!J78/TimeLine!J77)-1, NA())</f>
        <v>8.0742834073475045E-3</v>
      </c>
      <c r="K78" s="14">
        <f>IFERROR((TimeLine!K78/TimeLine!K77)-1, NA())</f>
        <v>3.0726256983240274E-2</v>
      </c>
    </row>
    <row r="79" spans="1:11" x14ac:dyDescent="0.2">
      <c r="A79" s="13">
        <f>TimeLine!A79</f>
        <v>44348</v>
      </c>
      <c r="B79" s="14">
        <f>IFERROR((TimeLine!B79/TimeLine!B78)-1, NA())</f>
        <v>-7.1476622939791512E-2</v>
      </c>
      <c r="C79" s="14">
        <f>IFERROR((TimeLine!C79/TimeLine!C78)-1, NA())</f>
        <v>8.0692136371423695E-2</v>
      </c>
      <c r="D79" s="14">
        <f>IFERROR((TimeLine!D79/TimeLine!D78)-1, NA())</f>
        <v>1.9093419674316658E-2</v>
      </c>
      <c r="E79" s="14">
        <f>IFERROR((TimeLine!E79/TimeLine!E78)-1, NA())</f>
        <v>-5.2971261568436567E-2</v>
      </c>
      <c r="F79" s="14">
        <f>IFERROR((TimeLine!F79/TimeLine!F78)-1, NA())</f>
        <v>0.23152709359605916</v>
      </c>
      <c r="G79" s="14">
        <f>IFERROR((TimeLine!G79/TimeLine!G78)-1, NA())</f>
        <v>5.9325176121616252E-4</v>
      </c>
      <c r="H79" s="14">
        <f>IFERROR((TimeLine!H79/TimeLine!H78)-1, NA())</f>
        <v>4.2689973995954977E-2</v>
      </c>
      <c r="I79" s="14">
        <f>IFERROR((TimeLine!I79/TimeLine!I78)-1, NA())</f>
        <v>7.1156119050177269E-2</v>
      </c>
      <c r="J79" s="14">
        <f>IFERROR((TimeLine!J79/TimeLine!J78)-1, NA())</f>
        <v>1.9122947537044466E-2</v>
      </c>
      <c r="K79" s="14">
        <f>IFERROR((TimeLine!K79/TimeLine!K78)-1, NA())</f>
        <v>-1.1141222523336269E-2</v>
      </c>
    </row>
    <row r="80" spans="1:11" x14ac:dyDescent="0.2">
      <c r="A80" s="13">
        <f>TimeLine!A80</f>
        <v>44378</v>
      </c>
      <c r="B80" s="14">
        <f>IFERROR((TimeLine!B80/TimeLine!B79)-1, NA())</f>
        <v>2.5297349513976997E-2</v>
      </c>
      <c r="C80" s="14">
        <f>IFERROR((TimeLine!C80/TimeLine!C79)-1, NA())</f>
        <v>-8.7349397590361422E-2</v>
      </c>
      <c r="D80" s="14">
        <f>IFERROR((TimeLine!D80/TimeLine!D79)-1, NA())</f>
        <v>2.4412465542213768E-2</v>
      </c>
      <c r="E80" s="14">
        <f>IFERROR((TimeLine!E80/TimeLine!E79)-1, NA())</f>
        <v>-2.417384595602412E-2</v>
      </c>
      <c r="F80" s="14">
        <f>IFERROR((TimeLine!F80/TimeLine!F79)-1, NA())</f>
        <v>-2.5000000000000022E-2</v>
      </c>
      <c r="G80" s="14">
        <f>IFERROR((TimeLine!G80/TimeLine!G79)-1, NA())</f>
        <v>5.410212702882955E-2</v>
      </c>
      <c r="H80" s="14">
        <f>IFERROR((TimeLine!H80/TimeLine!H79)-1, NA())</f>
        <v>3.581572566678215E-2</v>
      </c>
      <c r="I80" s="14">
        <f>IFERROR((TimeLine!I80/TimeLine!I79)-1, NA())</f>
        <v>3.370363868896864E-2</v>
      </c>
      <c r="J80" s="14">
        <f>IFERROR((TimeLine!J80/TimeLine!J79)-1, NA())</f>
        <v>4.4208664898319983E-2</v>
      </c>
      <c r="K80" s="14">
        <f>IFERROR((TimeLine!K80/TimeLine!K79)-1, NA())</f>
        <v>-1.1266747868453275E-2</v>
      </c>
    </row>
    <row r="81" spans="1:11" x14ac:dyDescent="0.2">
      <c r="A81" s="13">
        <f>TimeLine!A81</f>
        <v>44409</v>
      </c>
      <c r="B81" s="14">
        <f>IFERROR((TimeLine!B81/TimeLine!B80)-1, NA())</f>
        <v>-7.6551642916022899E-4</v>
      </c>
      <c r="C81" s="14">
        <f>IFERROR((TimeLine!C81/TimeLine!C80)-1, NA())</f>
        <v>-5.2978982108737194E-2</v>
      </c>
      <c r="D81" s="14">
        <f>IFERROR((TimeLine!D81/TimeLine!D80)-1, NA())</f>
        <v>2.9759868646097143E-2</v>
      </c>
      <c r="E81" s="14">
        <f>IFERROR((TimeLine!E81/TimeLine!E80)-1, NA())</f>
        <v>5.3827908815390568E-2</v>
      </c>
      <c r="F81" s="14">
        <f>IFERROR((TimeLine!F81/TimeLine!F80)-1, NA())</f>
        <v>0.14820512820512821</v>
      </c>
      <c r="G81" s="14">
        <f>IFERROR((TimeLine!G81/TimeLine!G80)-1, NA())</f>
        <v>1.1249384799267848E-3</v>
      </c>
      <c r="H81" s="14">
        <f>IFERROR((TimeLine!H81/TimeLine!H80)-1, NA())</f>
        <v>-4.6147672552167007E-3</v>
      </c>
      <c r="I81" s="14">
        <f>IFERROR((TimeLine!I81/TimeLine!I80)-1, NA())</f>
        <v>3.5103466679605067E-2</v>
      </c>
      <c r="J81" s="14">
        <f>IFERROR((TimeLine!J81/TimeLine!J80)-1, NA())</f>
        <v>2.15448301815786E-2</v>
      </c>
      <c r="K81" s="14">
        <f>IFERROR((TimeLine!K81/TimeLine!K80)-1, NA())</f>
        <v>1.4628888204496482E-2</v>
      </c>
    </row>
    <row r="82" spans="1:11" x14ac:dyDescent="0.2">
      <c r="A82" s="13">
        <f>TimeLine!A82</f>
        <v>44440</v>
      </c>
      <c r="B82" s="14">
        <f>IFERROR((TimeLine!B82/TimeLine!B81)-1, NA())</f>
        <v>-3.2235252519299928E-2</v>
      </c>
      <c r="C82" s="14">
        <f>IFERROR((TimeLine!C82/TimeLine!C81)-1, NA())</f>
        <v>7.8870139398385941E-2</v>
      </c>
      <c r="D82" s="14">
        <f>IFERROR((TimeLine!D82/TimeLine!D81)-1, NA())</f>
        <v>-4.9650101869076146E-2</v>
      </c>
      <c r="E82" s="14">
        <f>IFERROR((TimeLine!E82/TimeLine!E81)-1, NA())</f>
        <v>2.3382306970928468E-2</v>
      </c>
      <c r="F82" s="14">
        <f>IFERROR((TimeLine!F82/TimeLine!F81)-1, NA())</f>
        <v>-7.4586869138008161E-2</v>
      </c>
      <c r="G82" s="14">
        <f>IFERROR((TimeLine!G82/TimeLine!G81)-1, NA())</f>
        <v>-1.8189479598286207E-2</v>
      </c>
      <c r="H82" s="14">
        <f>IFERROR((TimeLine!H82/TimeLine!H81)-1, NA())</f>
        <v>-3.0303030303030387E-2</v>
      </c>
      <c r="I82" s="14">
        <f>IFERROR((TimeLine!I82/TimeLine!I81)-1, NA())</f>
        <v>-5.9505952938970652E-2</v>
      </c>
      <c r="J82" s="14">
        <f>IFERROR((TimeLine!J82/TimeLine!J81)-1, NA())</f>
        <v>-6.2626634739362697E-2</v>
      </c>
      <c r="K82" s="14">
        <f>IFERROR((TimeLine!K82/TimeLine!K81)-1, NA())</f>
        <v>-3.9915009864926465E-2</v>
      </c>
    </row>
    <row r="83" spans="1:11" x14ac:dyDescent="0.2">
      <c r="A83" s="13">
        <f>TimeLine!A83</f>
        <v>44470</v>
      </c>
      <c r="B83" s="14">
        <f>IFERROR((TimeLine!B83/TimeLine!B82)-1, NA())</f>
        <v>1.479722323712096E-2</v>
      </c>
      <c r="C83" s="14">
        <f>IFERROR((TimeLine!C83/TimeLine!C82)-1, NA())</f>
        <v>9.6055763345800793E-2</v>
      </c>
      <c r="D83" s="14">
        <f>IFERROR((TimeLine!D83/TimeLine!D82)-1, NA())</f>
        <v>7.016358297991343E-2</v>
      </c>
      <c r="E83" s="14">
        <f>IFERROR((TimeLine!E83/TimeLine!E82)-1, NA())</f>
        <v>3.7876473822469281E-2</v>
      </c>
      <c r="F83" s="14">
        <f>IFERROR((TimeLine!F83/TimeLine!F82)-1, NA())</f>
        <v>0.23407335907335924</v>
      </c>
      <c r="G83" s="14">
        <f>IFERROR((TimeLine!G83/TimeLine!G82)-1, NA())</f>
        <v>2.2818311874105879E-2</v>
      </c>
      <c r="H83" s="14">
        <f>IFERROR((TimeLine!H83/TimeLine!H82)-1, NA())</f>
        <v>2.3350886917960167E-2</v>
      </c>
      <c r="I83" s="14">
        <f>IFERROR((TimeLine!I83/TimeLine!I82)-1, NA())</f>
        <v>8.1910837548904825E-2</v>
      </c>
      <c r="J83" s="14">
        <f>IFERROR((TimeLine!J83/TimeLine!J82)-1, NA())</f>
        <v>7.1330320298683469E-2</v>
      </c>
      <c r="K83" s="14">
        <f>IFERROR((TimeLine!K83/TimeLine!K82)-1, NA())</f>
        <v>2.8770154916218704E-2</v>
      </c>
    </row>
    <row r="84" spans="1:11" x14ac:dyDescent="0.2">
      <c r="A84" s="13">
        <f>TimeLine!A84</f>
        <v>44501</v>
      </c>
      <c r="B84" s="14">
        <f>IFERROR((TimeLine!B84/TimeLine!B83)-1, NA())</f>
        <v>-6.9006900690069539E-3</v>
      </c>
      <c r="C84" s="14">
        <f>IFERROR((TimeLine!C84/TimeLine!C83)-1, NA())</f>
        <v>-7.1816348689312748E-2</v>
      </c>
      <c r="D84" s="14">
        <f>IFERROR((TimeLine!D84/TimeLine!D83)-1, NA())</f>
        <v>-8.0348394120849376E-3</v>
      </c>
      <c r="E84" s="14">
        <f>IFERROR((TimeLine!E84/TimeLine!E83)-1, NA())</f>
        <v>-6.5100947672022902E-2</v>
      </c>
      <c r="F84" s="14">
        <f>IFERROR((TimeLine!F84/TimeLine!F83)-1, NA())</f>
        <v>0.27806022682831433</v>
      </c>
      <c r="G84" s="14">
        <f>IFERROR((TimeLine!G84/TimeLine!G83)-1, NA())</f>
        <v>1.1119658717392955E-2</v>
      </c>
      <c r="H84" s="14">
        <f>IFERROR((TimeLine!H84/TimeLine!H83)-1, NA())</f>
        <v>2.6406662604103293E-2</v>
      </c>
      <c r="I84" s="14">
        <f>IFERROR((TimeLine!I84/TimeLine!I83)-1, NA())</f>
        <v>3.1163626312880055E-2</v>
      </c>
      <c r="J84" s="14">
        <f>IFERROR((TimeLine!J84/TimeLine!J83)-1, NA())</f>
        <v>-2.1093176815847547E-2</v>
      </c>
      <c r="K84" s="14">
        <f>IFERROR((TimeLine!K84/TimeLine!K83)-1, NA())</f>
        <v>-4.256299938537178E-2</v>
      </c>
    </row>
    <row r="85" spans="1:11" x14ac:dyDescent="0.2">
      <c r="A85" s="13">
        <f>TimeLine!A85</f>
        <v>44531</v>
      </c>
      <c r="B85" s="14">
        <f>IFERROR((TimeLine!B85/TimeLine!B84)-1, NA())</f>
        <v>3.2990936555891359E-2</v>
      </c>
      <c r="C85" s="14">
        <f>IFERROR((TimeLine!C85/TimeLine!C84)-1, NA())</f>
        <v>2.2560160427807396E-2</v>
      </c>
      <c r="D85" s="14">
        <f>IFERROR((TimeLine!D85/TimeLine!D84)-1, NA())</f>
        <v>4.2584950390727849E-2</v>
      </c>
      <c r="E85" s="14">
        <f>IFERROR((TimeLine!E85/TimeLine!E84)-1, NA())</f>
        <v>-3.0220990996664421E-3</v>
      </c>
      <c r="F85" s="14">
        <f>IFERROR((TimeLine!F85/TimeLine!F84)-1, NA())</f>
        <v>-0.10006119951040393</v>
      </c>
      <c r="G85" s="14">
        <f>IFERROR((TimeLine!G85/TimeLine!G84)-1, NA())</f>
        <v>0.13141513349010925</v>
      </c>
      <c r="H85" s="14">
        <f>IFERROR((TimeLine!H85/TimeLine!H84)-1, NA())</f>
        <v>-2.2428920113463979E-2</v>
      </c>
      <c r="I85" s="14">
        <f>IFERROR((TimeLine!I85/TimeLine!I84)-1, NA())</f>
        <v>2.3409055373137644E-2</v>
      </c>
      <c r="J85" s="14">
        <f>IFERROR((TimeLine!J85/TimeLine!J84)-1, NA())</f>
        <v>8.6846543001686483E-2</v>
      </c>
      <c r="K85" s="14">
        <f>IFERROR((TimeLine!K85/TimeLine!K84)-1, NA())</f>
        <v>2.0221473278767332E-2</v>
      </c>
    </row>
    <row r="86" spans="1:11" x14ac:dyDescent="0.2">
      <c r="A86" s="13">
        <f>TimeLine!A86</f>
        <v>44562</v>
      </c>
      <c r="B86" s="14">
        <f>IFERROR((TimeLine!B86/TimeLine!B85)-1, NA())</f>
        <v>-1.6787552643893311E-2</v>
      </c>
      <c r="C86" s="14">
        <f>IFERROR((TimeLine!C86/TimeLine!C85)-1, NA())</f>
        <v>0.24137931034482762</v>
      </c>
      <c r="D86" s="14">
        <f>IFERROR((TimeLine!D86/TimeLine!D85)-1, NA())</f>
        <v>-5.2741283476503198E-2</v>
      </c>
      <c r="E86" s="14">
        <f>IFERROR((TimeLine!E86/TimeLine!E85)-1, NA())</f>
        <v>-6.1572466056204589E-2</v>
      </c>
      <c r="F86" s="14">
        <f>IFERROR((TimeLine!F86/TimeLine!F85)-1, NA())</f>
        <v>-0.16729003740224424</v>
      </c>
      <c r="G86" s="14">
        <f>IFERROR((TimeLine!G86/TimeLine!G85)-1, NA())</f>
        <v>-1.9134368504707289E-2</v>
      </c>
      <c r="H86" s="14">
        <f>IFERROR((TimeLine!H86/TimeLine!H85)-1, NA())</f>
        <v>-3.9138943248532398E-2</v>
      </c>
      <c r="I86" s="14">
        <f>IFERROR((TimeLine!I86/TimeLine!I85)-1, NA())</f>
        <v>-7.83770216295262E-2</v>
      </c>
      <c r="J86" s="14">
        <f>IFERROR((TimeLine!J86/TimeLine!J85)-1, NA())</f>
        <v>-8.4216877855357364E-2</v>
      </c>
      <c r="K86" s="14">
        <f>IFERROR((TimeLine!K86/TimeLine!K85)-1, NA())</f>
        <v>-2.8315243039169324E-2</v>
      </c>
    </row>
    <row r="87" spans="1:11" x14ac:dyDescent="0.2">
      <c r="A87" s="13">
        <f>TimeLine!A87</f>
        <v>44593</v>
      </c>
      <c r="B87" s="14">
        <f>IFERROR((TimeLine!B87/TimeLine!B86)-1, NA())</f>
        <v>6.1217205068713199E-2</v>
      </c>
      <c r="C87" s="14">
        <f>IFERROR((TimeLine!C87/TimeLine!C86)-1, NA())</f>
        <v>3.2385466034755339E-2</v>
      </c>
      <c r="D87" s="14">
        <f>IFERROR((TimeLine!D87/TimeLine!D86)-1, NA())</f>
        <v>-2.9517014514014006E-2</v>
      </c>
      <c r="E87" s="14">
        <f>IFERROR((TimeLine!E87/TimeLine!E86)-1, NA())</f>
        <v>-4.5760430686406339E-2</v>
      </c>
      <c r="F87" s="14">
        <f>IFERROR((TimeLine!F87/TimeLine!F86)-1, NA())</f>
        <v>-4.083299305839061E-3</v>
      </c>
      <c r="G87" s="14">
        <f>IFERROR((TimeLine!G87/TimeLine!G86)-1, NA())</f>
        <v>-2.8420068557182931E-2</v>
      </c>
      <c r="H87" s="14">
        <f>IFERROR((TimeLine!H87/TimeLine!H86)-1, NA())</f>
        <v>-1.7697872041575802E-2</v>
      </c>
      <c r="I87" s="14">
        <f>IFERROR((TimeLine!I87/TimeLine!I86)-1, NA())</f>
        <v>-4.3456638090276001E-2</v>
      </c>
      <c r="J87" s="14">
        <f>IFERROR((TimeLine!J87/TimeLine!J86)-1, NA())</f>
        <v>-3.4826807228915513E-2</v>
      </c>
      <c r="K87" s="14">
        <f>IFERROR((TimeLine!K87/TimeLine!K86)-1, NA())</f>
        <v>-2.8492795855593389E-2</v>
      </c>
    </row>
    <row r="88" spans="1:11" x14ac:dyDescent="0.2">
      <c r="A88" s="13">
        <f>TimeLine!A88</f>
        <v>44621</v>
      </c>
      <c r="B88" s="14">
        <f>IFERROR((TimeLine!B88/TimeLine!B87)-1, NA())</f>
        <v>1.27256418881041E-2</v>
      </c>
      <c r="C88" s="14">
        <f>IFERROR((TimeLine!C88/TimeLine!C87)-1, NA())</f>
        <v>5.3175210405508766E-2</v>
      </c>
      <c r="D88" s="14">
        <f>IFERROR((TimeLine!D88/TimeLine!D87)-1, NA())</f>
        <v>3.4376932414172057E-2</v>
      </c>
      <c r="E88" s="14">
        <f>IFERROR((TimeLine!E88/TimeLine!E87)-1, NA())</f>
        <v>-3.8645980253878776E-2</v>
      </c>
      <c r="F88" s="14">
        <f>IFERROR((TimeLine!F88/TimeLine!F87)-1, NA())</f>
        <v>0.11890118901189006</v>
      </c>
      <c r="G88" s="14">
        <f>IFERROR((TimeLine!G88/TimeLine!G87)-1, NA())</f>
        <v>-1.9821669125665409E-2</v>
      </c>
      <c r="H88" s="14">
        <f>IFERROR((TimeLine!H88/TimeLine!H87)-1, NA())</f>
        <v>-5.5694573532565905E-2</v>
      </c>
      <c r="I88" s="14">
        <f>IFERROR((TimeLine!I88/TimeLine!I87)-1, NA())</f>
        <v>3.1120794236339844E-2</v>
      </c>
      <c r="J88" s="14">
        <f>IFERROR((TimeLine!J88/TimeLine!J87)-1, NA())</f>
        <v>5.6855861127364848E-2</v>
      </c>
      <c r="K88" s="14">
        <f>IFERROR((TimeLine!K88/TimeLine!K87)-1, NA())</f>
        <v>-4.4992501249790928E-3</v>
      </c>
    </row>
    <row r="89" spans="1:11" x14ac:dyDescent="0.2">
      <c r="A89" s="13">
        <f>TimeLine!A89</f>
        <v>44652</v>
      </c>
      <c r="B89" s="14">
        <f>IFERROR((TimeLine!B89/TimeLine!B88)-1, NA())</f>
        <v>-2.0703016883476422E-2</v>
      </c>
      <c r="C89" s="14">
        <f>IFERROR((TimeLine!C89/TimeLine!C88)-1, NA())</f>
        <v>3.220728901804093E-2</v>
      </c>
      <c r="D89" s="14">
        <f>IFERROR((TimeLine!D89/TimeLine!D88)-1, NA())</f>
        <v>-8.776901957311134E-2</v>
      </c>
      <c r="E89" s="14">
        <f>IFERROR((TimeLine!E89/TimeLine!E88)-1, NA())</f>
        <v>-0.12441314553990601</v>
      </c>
      <c r="F89" s="14">
        <f>IFERROR((TimeLine!F89/TimeLine!F88)-1, NA())</f>
        <v>-0.32026383290582627</v>
      </c>
      <c r="G89" s="14">
        <f>IFERROR((TimeLine!G89/TimeLine!G88)-1, NA())</f>
        <v>5.0719895287958172E-2</v>
      </c>
      <c r="H89" s="14">
        <f>IFERROR((TimeLine!H89/TimeLine!H88)-1, NA())</f>
        <v>-9.5623864324651753E-2</v>
      </c>
      <c r="I89" s="14">
        <f>IFERROR((TimeLine!I89/TimeLine!I88)-1, NA())</f>
        <v>-0.11832500960430281</v>
      </c>
      <c r="J89" s="14">
        <f>IFERROR((TimeLine!J89/TimeLine!J88)-1, NA())</f>
        <v>-4.0878471901817925E-2</v>
      </c>
      <c r="K89" s="14">
        <f>IFERROR((TimeLine!K89/TimeLine!K88)-1, NA())</f>
        <v>-6.4948108470036847E-2</v>
      </c>
    </row>
    <row r="90" spans="1:11" x14ac:dyDescent="0.2">
      <c r="A90" s="13">
        <f>TimeLine!A90</f>
        <v>44682</v>
      </c>
      <c r="B90" s="14">
        <f>IFERROR((TimeLine!B90/TimeLine!B89)-1, NA())</f>
        <v>-3.2615454185744186E-2</v>
      </c>
      <c r="C90" s="14">
        <f>IFERROR((TimeLine!C90/TimeLine!C89)-1, NA())</f>
        <v>0.12609970674486815</v>
      </c>
      <c r="D90" s="14">
        <f>IFERROR((TimeLine!D90/TimeLine!D89)-1, NA())</f>
        <v>2.257281553398105E-3</v>
      </c>
      <c r="E90" s="14">
        <f>IFERROR((TimeLine!E90/TimeLine!E89)-1, NA())</f>
        <v>0.10782506702412853</v>
      </c>
      <c r="F90" s="14">
        <f>IFERROR((TimeLine!F90/TimeLine!F89)-1, NA())</f>
        <v>6.4690026954179469E-3</v>
      </c>
      <c r="G90" s="14">
        <f>IFERROR((TimeLine!G90/TimeLine!G89)-1, NA())</f>
        <v>-7.8916225474930046E-2</v>
      </c>
      <c r="H90" s="14">
        <f>IFERROR((TimeLine!H90/TimeLine!H89)-1, NA())</f>
        <v>-2.4194223524487191E-2</v>
      </c>
      <c r="I90" s="14">
        <f>IFERROR((TimeLine!I90/TimeLine!I89)-1, NA())</f>
        <v>-1.6612200435729751E-2</v>
      </c>
      <c r="J90" s="14">
        <f>IFERROR((TimeLine!J90/TimeLine!J89)-1, NA())</f>
        <v>-4.685395420434868E-2</v>
      </c>
      <c r="K90" s="14">
        <f>IFERROR((TimeLine!K90/TimeLine!K89)-1, NA())</f>
        <v>1.5216612960973874E-2</v>
      </c>
    </row>
    <row r="91" spans="1:11" x14ac:dyDescent="0.2">
      <c r="A91" s="13">
        <f>TimeLine!A91</f>
        <v>44713</v>
      </c>
      <c r="B91" s="14">
        <f>IFERROR((TimeLine!B91/TimeLine!B90)-1, NA())</f>
        <v>-1.5659693817926756E-2</v>
      </c>
      <c r="C91" s="14">
        <f>IFERROR((TimeLine!C91/TimeLine!C90)-1, NA())</f>
        <v>-0.10791666666666666</v>
      </c>
      <c r="D91" s="14">
        <f>IFERROR((TimeLine!D91/TimeLine!D90)-1, NA())</f>
        <v>-8.6406897052769271E-2</v>
      </c>
      <c r="E91" s="14">
        <f>IFERROR((TimeLine!E91/TimeLine!E90)-1, NA())</f>
        <v>-0.14837782651440667</v>
      </c>
      <c r="F91" s="14">
        <f>IFERROR((TimeLine!F91/TimeLine!F90)-1, NA())</f>
        <v>-0.18800214247455815</v>
      </c>
      <c r="G91" s="14">
        <f>IFERROR((TimeLine!G91/TimeLine!G90)-1, NA())</f>
        <v>-2.765756018393295E-2</v>
      </c>
      <c r="H91" s="14">
        <f>IFERROR((TimeLine!H91/TimeLine!H90)-1, NA())</f>
        <v>-1.4498970487302643E-2</v>
      </c>
      <c r="I91" s="14">
        <f>IFERROR((TimeLine!I91/TimeLine!I90)-1, NA())</f>
        <v>-9.5679867072833047E-2</v>
      </c>
      <c r="J91" s="14">
        <f>IFERROR((TimeLine!J91/TimeLine!J90)-1, NA())</f>
        <v>-8.0347229231856221E-2</v>
      </c>
      <c r="K91" s="14">
        <f>IFERROR((TimeLine!K91/TimeLine!K90)-1, NA())</f>
        <v>-8.9931229060130513E-2</v>
      </c>
    </row>
    <row r="92" spans="1:11" x14ac:dyDescent="0.2">
      <c r="A92" s="13">
        <f>TimeLine!A92</f>
        <v>44743</v>
      </c>
      <c r="B92" s="14">
        <f>IFERROR((TimeLine!B92/TimeLine!B91)-1, NA())</f>
        <v>-2.5881514899679492E-2</v>
      </c>
      <c r="C92" s="14">
        <f>IFERROR((TimeLine!C92/TimeLine!C91)-1, NA())</f>
        <v>0.13183092013078013</v>
      </c>
      <c r="D92" s="14">
        <f>IFERROR((TimeLine!D92/TimeLine!D91)-1, NA())</f>
        <v>9.2087475149105424E-2</v>
      </c>
      <c r="E92" s="14">
        <f>IFERROR((TimeLine!E92/TimeLine!E91)-1, NA())</f>
        <v>2.4420566557144197E-2</v>
      </c>
      <c r="F92" s="14">
        <f>IFERROR((TimeLine!F92/TimeLine!F91)-1, NA())</f>
        <v>0.19788918205804751</v>
      </c>
      <c r="G92" s="14">
        <f>IFERROR((TimeLine!G92/TimeLine!G91)-1, NA())</f>
        <v>-3.3938382363168484E-2</v>
      </c>
      <c r="H92" s="14">
        <f>IFERROR((TimeLine!H92/TimeLine!H91)-1, NA())</f>
        <v>2.2286062505440851E-2</v>
      </c>
      <c r="I92" s="14">
        <f>IFERROR((TimeLine!I92/TimeLine!I91)-1, NA())</f>
        <v>0.13367018833256772</v>
      </c>
      <c r="J92" s="14">
        <f>IFERROR((TimeLine!J92/TimeLine!J91)-1, NA())</f>
        <v>8.6159587312040431E-2</v>
      </c>
      <c r="K92" s="14">
        <f>IFERROR((TimeLine!K92/TimeLine!K91)-1, NA())</f>
        <v>3.6427049021507507E-2</v>
      </c>
    </row>
    <row r="93" spans="1:11" x14ac:dyDescent="0.2">
      <c r="A93" s="13">
        <f>TimeLine!A93</f>
        <v>44774</v>
      </c>
      <c r="B93" s="14">
        <f>IFERROR((TimeLine!B93/TimeLine!B92)-1, NA())</f>
        <v>-2.9433272394881027E-2</v>
      </c>
      <c r="C93" s="14">
        <f>IFERROR((TimeLine!C93/TimeLine!C92)-1, NA())</f>
        <v>-1.3824409367584889E-2</v>
      </c>
      <c r="D93" s="14">
        <f>IFERROR((TimeLine!D93/TimeLine!D92)-1, NA())</f>
        <v>-4.0801961212650784E-2</v>
      </c>
      <c r="E93" s="14">
        <f>IFERROR((TimeLine!E93/TimeLine!E92)-1, NA())</f>
        <v>-1.4129680998613003E-2</v>
      </c>
      <c r="F93" s="14">
        <f>IFERROR((TimeLine!F93/TimeLine!F92)-1, NA())</f>
        <v>-0.16905286343612336</v>
      </c>
      <c r="G93" s="14">
        <f>IFERROR((TimeLine!G93/TimeLine!G92)-1, NA())</f>
        <v>-6.9829385933337651E-3</v>
      </c>
      <c r="H93" s="14">
        <f>IFERROR((TimeLine!H93/TimeLine!H92)-1, NA())</f>
        <v>-4.7262198756706231E-2</v>
      </c>
      <c r="I93" s="14">
        <f>IFERROR((TimeLine!I93/TimeLine!I92)-1, NA())</f>
        <v>-5.6509994597514934E-2</v>
      </c>
      <c r="J93" s="14">
        <f>IFERROR((TimeLine!J93/TimeLine!J92)-1, NA())</f>
        <v>-6.0125303152788856E-2</v>
      </c>
      <c r="K93" s="14">
        <f>IFERROR((TimeLine!K93/TimeLine!K92)-1, NA())</f>
        <v>-4.4868199663488428E-2</v>
      </c>
    </row>
    <row r="94" spans="1:11" x14ac:dyDescent="0.2">
      <c r="A94" s="13">
        <f>TimeLine!A94</f>
        <v>44805</v>
      </c>
      <c r="B94" s="14">
        <f>IFERROR((TimeLine!B94/TimeLine!B93)-1, NA())</f>
        <v>-2.8881773089721952E-2</v>
      </c>
      <c r="C94" s="14">
        <f>IFERROR((TimeLine!C94/TimeLine!C93)-1, NA())</f>
        <v>-8.6619939324197093E-2</v>
      </c>
      <c r="D94" s="14">
        <f>IFERROR((TimeLine!D94/TimeLine!D93)-1, NA())</f>
        <v>-9.6158712485449716E-2</v>
      </c>
      <c r="E94" s="14">
        <f>IFERROR((TimeLine!E94/TimeLine!E93)-1, NA())</f>
        <v>-8.1157126527741208E-2</v>
      </c>
      <c r="F94" s="14">
        <f>IFERROR((TimeLine!F94/TimeLine!F93)-1, NA())</f>
        <v>-0.19549370444002645</v>
      </c>
      <c r="G94" s="14">
        <f>IFERROR((TimeLine!G94/TimeLine!G93)-1, NA())</f>
        <v>-8.4746991445555975E-2</v>
      </c>
      <c r="H94" s="14">
        <f>IFERROR((TimeLine!H94/TimeLine!H93)-1, NA())</f>
        <v>-8.4286735788344558E-2</v>
      </c>
      <c r="I94" s="14">
        <f>IFERROR((TimeLine!I94/TimeLine!I93)-1, NA())</f>
        <v>-0.1199896930829133</v>
      </c>
      <c r="J94" s="14">
        <f>IFERROR((TimeLine!J94/TimeLine!J93)-1, NA())</f>
        <v>-0.13804967207827123</v>
      </c>
      <c r="K94" s="14">
        <f>IFERROR((TimeLine!K94/TimeLine!K93)-1, NA())</f>
        <v>-0.10412996672538655</v>
      </c>
    </row>
    <row r="95" spans="1:11" x14ac:dyDescent="0.2">
      <c r="A95" s="13">
        <f>TimeLine!A95</f>
        <v>44835</v>
      </c>
      <c r="B95" s="14">
        <f>IFERROR((TimeLine!B95/TimeLine!B94)-1, NA())</f>
        <v>-1.7844443007693722E-2</v>
      </c>
      <c r="C95" s="14">
        <f>IFERROR((TimeLine!C95/TimeLine!C94)-1, NA())</f>
        <v>0.26915588134234336</v>
      </c>
      <c r="D95" s="14">
        <f>IFERROR((TimeLine!D95/TimeLine!D94)-1, NA())</f>
        <v>8.1275547343076182E-2</v>
      </c>
      <c r="E95" s="14">
        <f>IFERROR((TimeLine!E95/TimeLine!E94)-1, NA())</f>
        <v>0.20459330143540666</v>
      </c>
      <c r="F95" s="14">
        <f>IFERROR((TimeLine!F95/TimeLine!F94)-1, NA())</f>
        <v>0.1120263591433277</v>
      </c>
      <c r="G95" s="14">
        <f>IFERROR((TimeLine!G95/TimeLine!G94)-1, NA())</f>
        <v>6.669306930693053E-2</v>
      </c>
      <c r="H95" s="14">
        <f>IFERROR((TimeLine!H95/TimeLine!H94)-1, NA())</f>
        <v>-6.1883845778428537E-2</v>
      </c>
      <c r="I95" s="14">
        <f>IFERROR((TimeLine!I95/TimeLine!I94)-1, NA())</f>
        <v>7.4275303380290758E-2</v>
      </c>
      <c r="J95" s="14">
        <f>IFERROR((TimeLine!J95/TimeLine!J94)-1, NA())</f>
        <v>3.5050517649993784E-2</v>
      </c>
      <c r="K95" s="14">
        <f>IFERROR((TimeLine!K95/TimeLine!K94)-1, NA())</f>
        <v>3.4083460782171615E-2</v>
      </c>
    </row>
    <row r="96" spans="1:11" x14ac:dyDescent="0.2">
      <c r="A96" s="13">
        <f>TimeLine!A96</f>
        <v>44866</v>
      </c>
      <c r="B96" s="14">
        <f>IFERROR((TimeLine!B96/TimeLine!B95)-1, NA())</f>
        <v>8.4918701862945145E-2</v>
      </c>
      <c r="C96" s="14">
        <f>IFERROR((TimeLine!C96/TimeLine!C95)-1, NA())</f>
        <v>4.7829618265500251E-3</v>
      </c>
      <c r="D96" s="14">
        <f>IFERROR((TimeLine!D96/TimeLine!D95)-1, NA())</f>
        <v>5.5591517568162496E-2</v>
      </c>
      <c r="E96" s="14">
        <f>IFERROR((TimeLine!E96/TimeLine!E95)-1, NA())</f>
        <v>9.7712106768350848E-2</v>
      </c>
      <c r="F96" s="14">
        <f>IFERROR((TimeLine!F96/TimeLine!F95)-1, NA())</f>
        <v>0.25333333333333341</v>
      </c>
      <c r="G96" s="14">
        <f>IFERROR((TimeLine!G96/TimeLine!G95)-1, NA())</f>
        <v>0.10759634662508355</v>
      </c>
      <c r="H96" s="14">
        <f>IFERROR((TimeLine!H96/TimeLine!H95)-1, NA())</f>
        <v>6.887940901050893E-2</v>
      </c>
      <c r="I96" s="14">
        <f>IFERROR((TimeLine!I96/TimeLine!I95)-1, NA())</f>
        <v>5.3725015142338073E-2</v>
      </c>
      <c r="J96" s="14">
        <f>IFERROR((TimeLine!J96/TimeLine!J95)-1, NA())</f>
        <v>6.1460592913955114E-2</v>
      </c>
      <c r="K96" s="14">
        <f>IFERROR((TimeLine!K96/TimeLine!K95)-1, NA())</f>
        <v>0.13036129304880628</v>
      </c>
    </row>
    <row r="97" spans="1:11" x14ac:dyDescent="0.2">
      <c r="A97" s="13">
        <f>TimeLine!A97</f>
        <v>44896</v>
      </c>
      <c r="B97" s="14">
        <f>IFERROR((TimeLine!B97/TimeLine!B96)-1, NA())</f>
        <v>2.930647412171572E-2</v>
      </c>
      <c r="C97" s="14">
        <f>IFERROR((TimeLine!C97/TimeLine!C96)-1, NA())</f>
        <v>-9.3407580384409217E-3</v>
      </c>
      <c r="D97" s="14">
        <f>IFERROR((TimeLine!D97/TimeLine!D96)-1, NA())</f>
        <v>-6.1935832025117765E-2</v>
      </c>
      <c r="E97" s="14">
        <f>IFERROR((TimeLine!E97/TimeLine!E96)-1, NA())</f>
        <v>-2.9526704298740825E-2</v>
      </c>
      <c r="F97" s="14">
        <f>IFERROR((TimeLine!F97/TimeLine!F96)-1, NA())</f>
        <v>-0.13652482269503563</v>
      </c>
      <c r="G97" s="14">
        <f>IFERROR((TimeLine!G97/TimeLine!G96)-1, NA())</f>
        <v>1.6090104585679832E-2</v>
      </c>
      <c r="H97" s="14">
        <f>IFERROR((TimeLine!H97/TimeLine!H96)-1, NA())</f>
        <v>-3.0857587851649937E-2</v>
      </c>
      <c r="I97" s="14">
        <f>IFERROR((TimeLine!I97/TimeLine!I96)-1, NA())</f>
        <v>-8.1996896016554466E-2</v>
      </c>
      <c r="J97" s="14">
        <f>IFERROR((TimeLine!J97/TimeLine!J96)-1, NA())</f>
        <v>-6.3578564940962701E-2</v>
      </c>
      <c r="K97" s="14">
        <f>IFERROR((TimeLine!K97/TimeLine!K96)-1, NA())</f>
        <v>-3.3271028037383243E-2</v>
      </c>
    </row>
    <row r="98" spans="1:11" x14ac:dyDescent="0.2">
      <c r="A98" s="13">
        <f>TimeLine!A98</f>
        <v>44927</v>
      </c>
      <c r="B98" s="14">
        <f>IFERROR((TimeLine!B98/TimeLine!B97)-1, NA())</f>
        <v>5.7592548927139831E-2</v>
      </c>
      <c r="C98" s="14">
        <f>IFERROR((TimeLine!C98/TimeLine!C97)-1, NA())</f>
        <v>5.1767905711695539E-2</v>
      </c>
      <c r="D98" s="14">
        <f>IFERROR((TimeLine!D98/TimeLine!D97)-1, NA())</f>
        <v>6.2887325785111026E-2</v>
      </c>
      <c r="E98" s="14">
        <f>IFERROR((TimeLine!E98/TimeLine!E97)-1, NA())</f>
        <v>4.3698732289336517E-2</v>
      </c>
      <c r="F98" s="14">
        <f>IFERROR((TimeLine!F98/TimeLine!F97)-1, NA())</f>
        <v>0.33744010951403158</v>
      </c>
      <c r="G98" s="14">
        <f>IFERROR((TimeLine!G98/TimeLine!G97)-1, NA())</f>
        <v>-6.0570071258907454E-2</v>
      </c>
      <c r="H98" s="14">
        <f>IFERROR((TimeLine!H98/TimeLine!H97)-1, NA())</f>
        <v>7.6436319807151376E-2</v>
      </c>
      <c r="I98" s="14">
        <f>IFERROR((TimeLine!I98/TimeLine!I97)-1, NA())</f>
        <v>9.6960020036942929E-2</v>
      </c>
      <c r="J98" s="14">
        <f>IFERROR((TimeLine!J98/TimeLine!J97)-1, NA())</f>
        <v>0.10402521823472344</v>
      </c>
      <c r="K98" s="14">
        <f>IFERROR((TimeLine!K98/TimeLine!K97)-1, NA())</f>
        <v>8.681361175560709E-2</v>
      </c>
    </row>
    <row r="99" spans="1:11" x14ac:dyDescent="0.2">
      <c r="A99" s="13">
        <f>TimeLine!A99</f>
        <v>44958</v>
      </c>
      <c r="B99" s="14">
        <f>IFERROR((TimeLine!B99/TimeLine!B98)-1, NA())</f>
        <v>-5.3675937796109463E-2</v>
      </c>
      <c r="C99" s="14">
        <f>IFERROR((TimeLine!C99/TimeLine!C98)-1, NA())</f>
        <v>-5.2581673993621347E-2</v>
      </c>
      <c r="D99" s="14">
        <f>IFERROR((TimeLine!D99/TimeLine!D98)-1, NA())</f>
        <v>-2.514268844715617E-2</v>
      </c>
      <c r="E99" s="14">
        <f>IFERROR((TimeLine!E99/TimeLine!E98)-1, NA())</f>
        <v>2.422120605887379E-2</v>
      </c>
      <c r="F99" s="14">
        <f>IFERROR((TimeLine!F99/TimeLine!F98)-1, NA())</f>
        <v>0.18833162743091103</v>
      </c>
      <c r="G99" s="14">
        <f>IFERROR((TimeLine!G99/TimeLine!G98)-1, NA())</f>
        <v>-3.3853069251299273E-2</v>
      </c>
      <c r="H99" s="14">
        <f>IFERROR((TimeLine!H99/TimeLine!H98)-1, NA())</f>
        <v>-5.0947093403004629E-2</v>
      </c>
      <c r="I99" s="14">
        <f>IFERROR((TimeLine!I99/TimeLine!I98)-1, NA())</f>
        <v>4.9660368742507899E-3</v>
      </c>
      <c r="J99" s="14">
        <f>IFERROR((TimeLine!J99/TimeLine!J98)-1, NA())</f>
        <v>-5.8642653195695171E-2</v>
      </c>
      <c r="K99" s="14">
        <f>IFERROR((TimeLine!K99/TimeLine!K98)-1, NA())</f>
        <v>-4.2697028998398889E-2</v>
      </c>
    </row>
    <row r="100" spans="1:11" x14ac:dyDescent="0.2">
      <c r="A100" s="13">
        <f>TimeLine!A100</f>
        <v>44986</v>
      </c>
      <c r="B100" s="14">
        <f>IFERROR((TimeLine!B100/TimeLine!B99)-1, NA())</f>
        <v>7.9161267522676493E-2</v>
      </c>
      <c r="C100" s="14">
        <f>IFERROR((TimeLine!C100/TimeLine!C99)-1, NA())</f>
        <v>-2.2745882995177658E-3</v>
      </c>
      <c r="D100" s="14">
        <f>IFERROR((TimeLine!D100/TimeLine!D99)-1, NA())</f>
        <v>3.3134810477968957E-2</v>
      </c>
      <c r="E100" s="14">
        <f>IFERROR((TimeLine!E100/TimeLine!E99)-1, NA())</f>
        <v>-9.0966166724799402E-2</v>
      </c>
      <c r="F100" s="14">
        <f>IFERROR((TimeLine!F100/TimeLine!F99)-1, NA())</f>
        <v>0.19638242894056868</v>
      </c>
      <c r="G100" s="14">
        <f>IFERROR((TimeLine!G100/TimeLine!G99)-1, NA())</f>
        <v>8.0910148298924067E-2</v>
      </c>
      <c r="H100" s="14">
        <f>IFERROR((TimeLine!H100/TimeLine!H99)-1, NA())</f>
        <v>4.5816537213646757E-2</v>
      </c>
      <c r="I100" s="14">
        <f>IFERROR((TimeLine!I100/TimeLine!I99)-1, NA())</f>
        <v>9.4712029989776347E-2</v>
      </c>
      <c r="J100" s="14">
        <f>IFERROR((TimeLine!J100/TimeLine!J99)-1, NA())</f>
        <v>-3.1264582361175797E-2</v>
      </c>
      <c r="K100" s="14">
        <f>IFERROR((TimeLine!K100/TimeLine!K99)-1, NA())</f>
        <v>2.6017468871956773E-2</v>
      </c>
    </row>
    <row r="101" spans="1:11" x14ac:dyDescent="0.2">
      <c r="A101" s="13">
        <f>TimeLine!A101</f>
        <v>45017</v>
      </c>
      <c r="B101" s="14">
        <f>IFERROR((TimeLine!B101/TimeLine!B100)-1, NA())</f>
        <v>8.6235127169522752E-3</v>
      </c>
      <c r="C101" s="14">
        <f>IFERROR((TimeLine!C101/TimeLine!C100)-1, NA())</f>
        <v>7.9153747948203623E-2</v>
      </c>
      <c r="D101" s="14">
        <f>IFERROR((TimeLine!D101/TimeLine!D100)-1, NA())</f>
        <v>1.5974987176042399E-2</v>
      </c>
      <c r="E101" s="14">
        <f>IFERROR((TimeLine!E101/TimeLine!E100)-1, NA())</f>
        <v>6.0854884506177598E-2</v>
      </c>
      <c r="F101" s="14">
        <f>IFERROR((TimeLine!F101/TimeLine!F100)-1, NA())</f>
        <v>-1.0799136069115089E-3</v>
      </c>
      <c r="G101" s="14">
        <f>IFERROR((TimeLine!G101/TimeLine!G100)-1, NA())</f>
        <v>5.1718340170825217E-2</v>
      </c>
      <c r="H101" s="14">
        <f>IFERROR((TimeLine!H101/TimeLine!H100)-1, NA())</f>
        <v>8.4610322459321985E-4</v>
      </c>
      <c r="I101" s="14">
        <f>IFERROR((TimeLine!I101/TimeLine!I100)-1, NA())</f>
        <v>-2.8796015254105578E-3</v>
      </c>
      <c r="J101" s="14">
        <f>IFERROR((TimeLine!J101/TimeLine!J100)-1, NA())</f>
        <v>3.1310211946049549E-3</v>
      </c>
      <c r="K101" s="14">
        <f>IFERROR((TimeLine!K101/TimeLine!K100)-1, NA())</f>
        <v>1.8837167179858616E-2</v>
      </c>
    </row>
    <row r="102" spans="1:11" x14ac:dyDescent="0.2">
      <c r="A102" s="13">
        <f>TimeLine!A102</f>
        <v>45047</v>
      </c>
      <c r="B102" s="14">
        <f>IFERROR((TimeLine!B102/TimeLine!B101)-1, NA())</f>
        <v>-1.3419913419913554E-2</v>
      </c>
      <c r="C102" s="14">
        <f>IFERROR((TimeLine!C102/TimeLine!C101)-1, NA())</f>
        <v>-0.13655568700354903</v>
      </c>
      <c r="D102" s="14">
        <f>IFERROR((TimeLine!D102/TimeLine!D101)-1, NA())</f>
        <v>4.6161613733080031E-3</v>
      </c>
      <c r="E102" s="14">
        <f>IFERROR((TimeLine!E102/TimeLine!E101)-1, NA())</f>
        <v>-1.830150462962965E-2</v>
      </c>
      <c r="F102" s="14">
        <f>IFERROR((TimeLine!F102/TimeLine!F101)-1, NA())</f>
        <v>0.36324324324324309</v>
      </c>
      <c r="G102" s="14">
        <f>IFERROR((TimeLine!G102/TimeLine!G101)-1, NA())</f>
        <v>-8.8758153216523805E-2</v>
      </c>
      <c r="H102" s="14">
        <f>IFERROR((TimeLine!H102/TimeLine!H101)-1, NA())</f>
        <v>-3.2594401653203042E-2</v>
      </c>
      <c r="I102" s="14">
        <f>IFERROR((TimeLine!I102/TimeLine!I101)-1, NA())</f>
        <v>8.4608179831408004E-2</v>
      </c>
      <c r="J102" s="14">
        <f>IFERROR((TimeLine!J102/TimeLine!J101)-1, NA())</f>
        <v>-3.9615846338535432E-2</v>
      </c>
      <c r="K102" s="14">
        <f>IFERROR((TimeLine!K102/TimeLine!K101)-1, NA())</f>
        <v>-3.5022222222222177E-2</v>
      </c>
    </row>
    <row r="103" spans="1:11" x14ac:dyDescent="0.2">
      <c r="A103" s="13">
        <f>TimeLine!A103</f>
        <v>45078</v>
      </c>
      <c r="B103" s="14">
        <f>IFERROR((TimeLine!B103/TimeLine!B102)-1, NA())</f>
        <v>-2.2213690215006521E-2</v>
      </c>
      <c r="C103" s="14">
        <f>IFERROR((TimeLine!C103/TimeLine!C102)-1, NA())</f>
        <v>4.961832061068705E-2</v>
      </c>
      <c r="D103" s="14">
        <f>IFERROR((TimeLine!D103/TimeLine!D102)-1, NA())</f>
        <v>6.0859159985640732E-2</v>
      </c>
      <c r="E103" s="14">
        <f>IFERROR((TimeLine!E103/TimeLine!E102)-1, NA())</f>
        <v>7.1697000957924972E-2</v>
      </c>
      <c r="F103" s="14">
        <f>IFERROR((TimeLine!F103/TimeLine!F102)-1, NA())</f>
        <v>0.1181601903251388</v>
      </c>
      <c r="G103" s="14">
        <f>IFERROR((TimeLine!G103/TimeLine!G102)-1, NA())</f>
        <v>6.4842105263158034E-2</v>
      </c>
      <c r="H103" s="14">
        <f>IFERROR((TimeLine!H103/TimeLine!H102)-1, NA())</f>
        <v>-4.8548402757542242E-4</v>
      </c>
      <c r="I103" s="14">
        <f>IFERROR((TimeLine!I103/TimeLine!I102)-1, NA())</f>
        <v>6.0640951832661827E-2</v>
      </c>
      <c r="J103" s="14">
        <f>IFERROR((TimeLine!J103/TimeLine!J102)-1, NA())</f>
        <v>4.4499999999999984E-2</v>
      </c>
      <c r="K103" s="14">
        <f>IFERROR((TimeLine!K103/TimeLine!K102)-1, NA())</f>
        <v>3.3161385408990274E-2</v>
      </c>
    </row>
    <row r="104" spans="1:11" x14ac:dyDescent="0.2">
      <c r="A104" s="13">
        <f>TimeLine!A104</f>
        <v>45108</v>
      </c>
      <c r="B104" s="14">
        <f>IFERROR((TimeLine!B104/TimeLine!B103)-1, NA())</f>
        <v>2.2886632635889192E-2</v>
      </c>
      <c r="C104" s="14">
        <f>IFERROR((TimeLine!C104/TimeLine!C103)-1, NA())</f>
        <v>-9.3240093240187782E-5</v>
      </c>
      <c r="D104" s="14">
        <f>IFERROR((TimeLine!D104/TimeLine!D103)-1, NA())</f>
        <v>3.2733261144197945E-2</v>
      </c>
      <c r="E104" s="14">
        <f>IFERROR((TimeLine!E104/TimeLine!E103)-1, NA())</f>
        <v>8.6083608360836061E-2</v>
      </c>
      <c r="F104" s="14">
        <f>IFERROR((TimeLine!F104/TimeLine!F103)-1, NA())</f>
        <v>0.10472813238770695</v>
      </c>
      <c r="G104" s="14">
        <f>IFERROR((TimeLine!G104/TimeLine!G103)-1, NA())</f>
        <v>3.0051403716884195E-2</v>
      </c>
      <c r="H104" s="14">
        <f>IFERROR((TimeLine!H104/TimeLine!H103)-1, NA())</f>
        <v>-2.807460656693217E-2</v>
      </c>
      <c r="I104" s="14">
        <f>IFERROR((TimeLine!I104/TimeLine!I103)-1, NA())</f>
        <v>2.8609553102949103E-2</v>
      </c>
      <c r="J104" s="14">
        <f>IFERROR((TimeLine!J104/TimeLine!J103)-1, NA())</f>
        <v>2.0344662517951306E-2</v>
      </c>
      <c r="K104" s="14">
        <f>IFERROR((TimeLine!K104/TimeLine!K103)-1, NA())</f>
        <v>3.8873038516405112E-2</v>
      </c>
    </row>
    <row r="105" spans="1:11" x14ac:dyDescent="0.2">
      <c r="A105" s="13">
        <f>TimeLine!A105</f>
        <v>45139</v>
      </c>
      <c r="B105" s="14">
        <f>IFERROR((TimeLine!B105/TimeLine!B104)-1, NA())</f>
        <v>-1.2777625445571594E-2</v>
      </c>
      <c r="C105" s="14">
        <f>IFERROR((TimeLine!C105/TimeLine!C104)-1, NA())</f>
        <v>3.6833271167474813E-2</v>
      </c>
      <c r="D105" s="14">
        <f>IFERROR((TimeLine!D105/TimeLine!D104)-1, NA())</f>
        <v>-1.6251993272024312E-2</v>
      </c>
      <c r="E105" s="14">
        <f>IFERROR((TimeLine!E105/TimeLine!E104)-1, NA())</f>
        <v>-7.3626234489744258E-2</v>
      </c>
      <c r="F105" s="14">
        <f>IFERROR((TimeLine!F105/TimeLine!F104)-1, NA())</f>
        <v>5.6066766531136514E-2</v>
      </c>
      <c r="G105" s="14">
        <f>IFERROR((TimeLine!G105/TimeLine!G104)-1, NA())</f>
        <v>-1.2539987204094771E-2</v>
      </c>
      <c r="H105" s="14">
        <f>IFERROR((TimeLine!H105/TimeLine!H104)-1, NA())</f>
        <v>-3.4082958520739615E-2</v>
      </c>
      <c r="I105" s="14">
        <f>IFERROR((TimeLine!I105/TimeLine!I104)-1, NA())</f>
        <v>-2.1833293023460376E-2</v>
      </c>
      <c r="J105" s="14">
        <f>IFERROR((TimeLine!J105/TimeLine!J104)-1, NA())</f>
        <v>-3.3779028852920612E-2</v>
      </c>
      <c r="K105" s="14">
        <f>IFERROR((TimeLine!K105/TimeLine!K104)-1, NA())</f>
        <v>-4.3940954342602034E-2</v>
      </c>
    </row>
    <row r="106" spans="1:11" x14ac:dyDescent="0.2">
      <c r="A106" s="13">
        <f>TimeLine!A106</f>
        <v>45170</v>
      </c>
      <c r="B106" s="14">
        <f>IFERROR((TimeLine!B106/TimeLine!B105)-1, NA())</f>
        <v>-4.7605821575380625E-2</v>
      </c>
      <c r="C106" s="14">
        <f>IFERROR((TimeLine!C106/TimeLine!C105)-1, NA())</f>
        <v>5.7469196870222117E-2</v>
      </c>
      <c r="D106" s="14">
        <f>IFERROR((TimeLine!D106/TimeLine!D105)-1, NA())</f>
        <v>-5.0782724547574154E-2</v>
      </c>
      <c r="E106" s="14">
        <f>IFERROR((TimeLine!E106/TimeLine!E105)-1, NA())</f>
        <v>-8.952367935488259E-3</v>
      </c>
      <c r="F106" s="14">
        <f>IFERROR((TimeLine!F106/TimeLine!F105)-1, NA())</f>
        <v>-0.1185410334346505</v>
      </c>
      <c r="G106" s="14">
        <f>IFERROR((TimeLine!G106/TimeLine!G105)-1, NA())</f>
        <v>-5.4943630944667587E-2</v>
      </c>
      <c r="H106" s="14">
        <f>IFERROR((TimeLine!H106/TimeLine!H105)-1, NA())</f>
        <v>-8.2264072847682113E-2</v>
      </c>
      <c r="I106" s="14">
        <f>IFERROR((TimeLine!I106/TimeLine!I105)-1, NA())</f>
        <v>-6.7388958820356115E-2</v>
      </c>
      <c r="J106" s="14">
        <f>IFERROR((TimeLine!J106/TimeLine!J105)-1, NA())</f>
        <v>-8.1573197378004392E-2</v>
      </c>
      <c r="K106" s="14">
        <f>IFERROR((TimeLine!K106/TimeLine!K105)-1, NA())</f>
        <v>-3.9138240574506322E-2</v>
      </c>
    </row>
    <row r="107" spans="1:11" x14ac:dyDescent="0.2">
      <c r="A107" s="13">
        <f>TimeLine!A107</f>
        <v>45200</v>
      </c>
      <c r="B107" s="14">
        <f>IFERROR((TimeLine!B107/TimeLine!B106)-1, NA())</f>
        <v>7.3724117818606105E-2</v>
      </c>
      <c r="C107" s="14">
        <f>IFERROR((TimeLine!C107/TimeLine!C106)-1, NA())</f>
        <v>-9.9761864262629785E-2</v>
      </c>
      <c r="D107" s="14">
        <f>IFERROR((TimeLine!D107/TimeLine!D106)-1, NA())</f>
        <v>-2.1708617947038489E-2</v>
      </c>
      <c r="E107" s="14">
        <f>IFERROR((TimeLine!E107/TimeLine!E106)-1, NA())</f>
        <v>-4.1097779616604657E-2</v>
      </c>
      <c r="F107" s="14">
        <f>IFERROR((TimeLine!F107/TimeLine!F106)-1, NA())</f>
        <v>-6.2528735632183863E-2</v>
      </c>
      <c r="G107" s="14">
        <f>IFERROR((TimeLine!G107/TimeLine!G106)-1, NA())</f>
        <v>2.8589058000822565E-2</v>
      </c>
      <c r="H107" s="14">
        <f>IFERROR((TimeLine!H107/TimeLine!H106)-1, NA())</f>
        <v>-5.761641673243878E-2</v>
      </c>
      <c r="I107" s="14">
        <f>IFERROR((TimeLine!I107/TimeLine!I106)-1, NA())</f>
        <v>-1.7112557242708992E-2</v>
      </c>
      <c r="J107" s="14">
        <f>IFERROR((TimeLine!J107/TimeLine!J106)-1, NA())</f>
        <v>-3.6214644462067125E-2</v>
      </c>
      <c r="K107" s="14">
        <f>IFERROR((TimeLine!K107/TimeLine!K106)-1, NA())</f>
        <v>-3.3632286995515792E-2</v>
      </c>
    </row>
    <row r="108" spans="1:11" x14ac:dyDescent="0.2">
      <c r="A108" s="13">
        <f>TimeLine!A108</f>
        <v>45231</v>
      </c>
      <c r="B108" s="14">
        <f>IFERROR((TimeLine!B108/TimeLine!B107)-1, NA())</f>
        <v>2.5313705252865359E-2</v>
      </c>
      <c r="C108" s="14">
        <f>IFERROR((TimeLine!C108/TimeLine!C107)-1, NA())</f>
        <v>-2.938119981105336E-2</v>
      </c>
      <c r="D108" s="14">
        <f>IFERROR((TimeLine!D108/TimeLine!D107)-1, NA())</f>
        <v>9.1343854615016706E-2</v>
      </c>
      <c r="E108" s="14">
        <f>IFERROR((TimeLine!E108/TimeLine!E107)-1, NA())</f>
        <v>0.12239321156335392</v>
      </c>
      <c r="F108" s="14">
        <f>IFERROR((TimeLine!F108/TimeLine!F107)-1, NA())</f>
        <v>0.14688572829818547</v>
      </c>
      <c r="G108" s="14">
        <f>IFERROR((TimeLine!G108/TimeLine!G107)-1, NA())</f>
        <v>2.3262014263814024E-2</v>
      </c>
      <c r="H108" s="14">
        <f>IFERROR((TimeLine!H108/TimeLine!H107)-1, NA())</f>
        <v>9.5477386934673447E-2</v>
      </c>
      <c r="I108" s="14">
        <f>IFERROR((TimeLine!I108/TimeLine!I107)-1, NA())</f>
        <v>0.13298185384992633</v>
      </c>
      <c r="J108" s="14">
        <f>IFERROR((TimeLine!J108/TimeLine!J107)-1, NA())</f>
        <v>0.1208173340647285</v>
      </c>
      <c r="K108" s="14">
        <f>IFERROR((TimeLine!K108/TimeLine!K107)-1, NA())</f>
        <v>8.2366589327146134E-2</v>
      </c>
    </row>
    <row r="109" spans="1:11" x14ac:dyDescent="0.2">
      <c r="A109" s="13">
        <f>TimeLine!A109</f>
        <v>45261</v>
      </c>
      <c r="B109" s="14">
        <f>IFERROR((TimeLine!B109/TimeLine!B108)-1, NA())</f>
        <v>1.2821192052980157E-2</v>
      </c>
      <c r="C109" s="14">
        <f>IFERROR((TimeLine!C109/TimeLine!C108)-1, NA())</f>
        <v>-2.6863928362857559E-2</v>
      </c>
      <c r="D109" s="14">
        <f>IFERROR((TimeLine!D109/TimeLine!D108)-1, NA())</f>
        <v>4.1432953549517926E-2</v>
      </c>
      <c r="E109" s="14">
        <f>IFERROR((TimeLine!E109/TimeLine!E108)-1, NA())</f>
        <v>8.9825730394669234E-2</v>
      </c>
      <c r="F109" s="14">
        <f>IFERROR((TimeLine!F109/TimeLine!F108)-1, NA())</f>
        <v>5.8798375026726468E-2</v>
      </c>
      <c r="G109" s="14">
        <f>IFERROR((TimeLine!G109/TimeLine!G108)-1, NA())</f>
        <v>-4.5466388744137665E-2</v>
      </c>
      <c r="H109" s="14">
        <f>IFERROR((TimeLine!H109/TimeLine!H108)-1, NA())</f>
        <v>7.9947575360419298E-2</v>
      </c>
      <c r="I109" s="14">
        <f>IFERROR((TimeLine!I109/TimeLine!I108)-1, NA())</f>
        <v>4.7551024825227772E-2</v>
      </c>
      <c r="J109" s="14">
        <f>IFERROR((TimeLine!J109/TimeLine!J108)-1, NA())</f>
        <v>8.1120763489538561E-2</v>
      </c>
      <c r="K109" s="14">
        <f>IFERROR((TimeLine!K109/TimeLine!K108)-1, NA())</f>
        <v>3.5369774919614239E-2</v>
      </c>
    </row>
    <row r="110" spans="1:11" x14ac:dyDescent="0.2">
      <c r="A110" s="13">
        <f>TimeLine!A110</f>
        <v>45292</v>
      </c>
      <c r="B110" s="14">
        <f>IFERROR((TimeLine!B110/TimeLine!B109)-1, NA())</f>
        <v>-1.4228173876654315E-2</v>
      </c>
      <c r="C110" s="14">
        <f>IFERROR((TimeLine!C110/TimeLine!C109)-1, NA())</f>
        <v>2.8305661132226323E-2</v>
      </c>
      <c r="D110" s="14">
        <f>IFERROR((TimeLine!D110/TimeLine!D109)-1, NA())</f>
        <v>1.592644800235643E-2</v>
      </c>
      <c r="E110" s="14">
        <f>IFERROR((TimeLine!E110/TimeLine!E109)-1, NA())</f>
        <v>2.5044091710758387E-2</v>
      </c>
      <c r="F110" s="14">
        <f>IFERROR((TimeLine!F110/TimeLine!F109)-1, NA())</f>
        <v>0.2425282714054926</v>
      </c>
      <c r="G110" s="14">
        <f>IFERROR((TimeLine!G110/TimeLine!G109)-1, NA())</f>
        <v>7.233519858059223E-2</v>
      </c>
      <c r="H110" s="14">
        <f>IFERROR((TimeLine!H110/TimeLine!H109)-1, NA())</f>
        <v>-2.2451456310679574E-2</v>
      </c>
      <c r="I110" s="14">
        <f>IFERROR((TimeLine!I110/TimeLine!I109)-1, NA())</f>
        <v>2.0475206611570318E-2</v>
      </c>
      <c r="J110" s="14">
        <f>IFERROR((TimeLine!J110/TimeLine!J109)-1, NA())</f>
        <v>-5.0588501584427292E-2</v>
      </c>
      <c r="K110" s="14">
        <f>IFERROR((TimeLine!K110/TimeLine!K109)-1, NA())</f>
        <v>-1.7080745341614967E-2</v>
      </c>
    </row>
    <row r="111" spans="1:11" x14ac:dyDescent="0.2">
      <c r="A111" s="13">
        <f>TimeLine!A111</f>
        <v>45323</v>
      </c>
      <c r="B111" s="14">
        <f>IFERROR((TimeLine!B111/TimeLine!B110)-1, NA())</f>
        <v>4.5635447068188562E-3</v>
      </c>
      <c r="C111" s="14">
        <f>IFERROR((TimeLine!C111/TimeLine!C110)-1, NA())</f>
        <v>1.663262328567261E-2</v>
      </c>
      <c r="D111" s="14">
        <f>IFERROR((TimeLine!D111/TimeLine!D110)-1, NA())</f>
        <v>5.2186878727634278E-2</v>
      </c>
      <c r="E111" s="14">
        <f>IFERROR((TimeLine!E111/TimeLine!E110)-1, NA())</f>
        <v>6.710254645560898E-2</v>
      </c>
      <c r="F111" s="14">
        <f>IFERROR((TimeLine!F111/TimeLine!F110)-1, NA())</f>
        <v>0.28571428571428559</v>
      </c>
      <c r="G111" s="14">
        <f>IFERROR((TimeLine!G111/TimeLine!G110)-1, NA())</f>
        <v>1.1454753722795141E-2</v>
      </c>
      <c r="H111" s="14">
        <f>IFERROR((TimeLine!H111/TimeLine!H110)-1, NA())</f>
        <v>-2.5656941858059112E-2</v>
      </c>
      <c r="I111" s="14">
        <f>IFERROR((TimeLine!I111/TimeLine!I110)-1, NA())</f>
        <v>4.8348889473790679E-2</v>
      </c>
      <c r="J111" s="14">
        <f>IFERROR((TimeLine!J111/TimeLine!J110)-1, NA())</f>
        <v>1.9787817379902206E-2</v>
      </c>
      <c r="K111" s="14">
        <f>IFERROR((TimeLine!K111/TimeLine!K110)-1, NA())</f>
        <v>2.9138142882218832E-2</v>
      </c>
    </row>
    <row r="112" spans="1:11" x14ac:dyDescent="0.2">
      <c r="A112" s="13">
        <f>TimeLine!A112</f>
        <v>45352</v>
      </c>
      <c r="B112" s="14">
        <f>IFERROR((TimeLine!B112/TimeLine!B111)-1, NA())</f>
        <v>8.6683218002218565E-2</v>
      </c>
      <c r="C112" s="14">
        <f>IFERROR((TimeLine!C112/TimeLine!C111)-1, NA())</f>
        <v>0.11213164944508236</v>
      </c>
      <c r="D112" s="14">
        <f>IFERROR((TimeLine!D112/TimeLine!D111)-1, NA())</f>
        <v>2.9503227838135748E-2</v>
      </c>
      <c r="E112" s="14">
        <f>IFERROR((TimeLine!E112/TimeLine!E111)-1, NA())</f>
        <v>7.6534451252284308E-2</v>
      </c>
      <c r="F112" s="14">
        <f>IFERROR((TimeLine!F112/TimeLine!F111)-1, NA())</f>
        <v>0.14220705346985207</v>
      </c>
      <c r="G112" s="14">
        <f>IFERROR((TimeLine!G112/TimeLine!G111)-1, NA())</f>
        <v>2.0825468730338415E-2</v>
      </c>
      <c r="H112" s="14">
        <f>IFERROR((TimeLine!H112/TimeLine!H111)-1, NA())</f>
        <v>4.6719048630281534E-3</v>
      </c>
      <c r="I112" s="14">
        <f>IFERROR((TimeLine!I112/TimeLine!I111)-1, NA())</f>
        <v>1.2649915989107585E-2</v>
      </c>
      <c r="J112" s="14">
        <f>IFERROR((TimeLine!J112/TimeLine!J111)-1, NA())</f>
        <v>1.0870835768556519E-2</v>
      </c>
      <c r="K112" s="14">
        <f>IFERROR((TimeLine!K112/TimeLine!K111)-1, NA())</f>
        <v>2.8483711410540513E-2</v>
      </c>
    </row>
    <row r="113" spans="1:11" x14ac:dyDescent="0.2">
      <c r="A113" s="13">
        <f>TimeLine!A113</f>
        <v>45383</v>
      </c>
      <c r="B113" s="14">
        <f>IFERROR((TimeLine!B113/TimeLine!B112)-1, NA())</f>
        <v>2.9895002916585645E-2</v>
      </c>
      <c r="C113" s="14">
        <f>IFERROR((TimeLine!C113/TimeLine!C112)-1, NA())</f>
        <v>1.7463867859600857E-2</v>
      </c>
      <c r="D113" s="14">
        <f>IFERROR((TimeLine!D113/TimeLine!D112)-1, NA())</f>
        <v>-4.0319651289502434E-2</v>
      </c>
      <c r="E113" s="14">
        <f>IFERROR((TimeLine!E113/TimeLine!E112)-1, NA())</f>
        <v>-4.273589615576634E-2</v>
      </c>
      <c r="F113" s="14">
        <f>IFERROR((TimeLine!F113/TimeLine!F112)-1, NA())</f>
        <v>-4.3824701195219085E-2</v>
      </c>
      <c r="G113" s="14">
        <f>IFERROR((TimeLine!G113/TimeLine!G112)-1, NA())</f>
        <v>5.8551617873650041E-3</v>
      </c>
      <c r="H113" s="14">
        <f>IFERROR((TimeLine!H113/TimeLine!H112)-1, NA())</f>
        <v>-6.7638976960473496E-2</v>
      </c>
      <c r="I113" s="14">
        <f>IFERROR((TimeLine!I113/TimeLine!I112)-1, NA())</f>
        <v>-5.6470992104359796E-2</v>
      </c>
      <c r="J113" s="14">
        <f>IFERROR((TimeLine!J113/TimeLine!J112)-1, NA())</f>
        <v>-7.9440333024976884E-2</v>
      </c>
      <c r="K113" s="14">
        <f>IFERROR((TimeLine!K113/TimeLine!K112)-1, NA())</f>
        <v>-2.3217247097844118E-2</v>
      </c>
    </row>
    <row r="114" spans="1:11" x14ac:dyDescent="0.2">
      <c r="A114" s="13">
        <f>TimeLine!A114</f>
        <v>45413</v>
      </c>
      <c r="B114" s="14">
        <f>IFERROR((TimeLine!B114/TimeLine!B113)-1, NA())</f>
        <v>1.6189172605843183E-2</v>
      </c>
      <c r="C114" s="14">
        <f>IFERROR((TimeLine!C114/TimeLine!C113)-1, NA())</f>
        <v>-8.5397818550773108E-3</v>
      </c>
      <c r="D114" s="14">
        <f>IFERROR((TimeLine!D114/TimeLine!D113)-1, NA())</f>
        <v>5.0579704370691925E-2</v>
      </c>
      <c r="E114" s="14">
        <f>IFERROR((TimeLine!E114/TimeLine!E113)-1, NA())</f>
        <v>5.6795660790653901E-2</v>
      </c>
      <c r="F114" s="14">
        <f>IFERROR((TimeLine!F114/TimeLine!F113)-1, NA())</f>
        <v>0.26886574074074066</v>
      </c>
      <c r="G114" s="14">
        <f>IFERROR((TimeLine!G114/TimeLine!G113)-1, NA())</f>
        <v>8.210784313725572E-3</v>
      </c>
      <c r="H114" s="14">
        <f>IFERROR((TimeLine!H114/TimeLine!H113)-1, NA())</f>
        <v>2.5277714803899398E-2</v>
      </c>
      <c r="I114" s="14">
        <f>IFERROR((TimeLine!I114/TimeLine!I113)-1, NA())</f>
        <v>8.0609625452266798E-2</v>
      </c>
      <c r="J114" s="14">
        <f>IFERROR((TimeLine!J114/TimeLine!J113)-1, NA())</f>
        <v>4.5597286773018331E-2</v>
      </c>
      <c r="K114" s="14">
        <f>IFERROR((TimeLine!K114/TimeLine!K113)-1, NA())</f>
        <v>4.0237691001697939E-2</v>
      </c>
    </row>
    <row r="115" spans="1:11" x14ac:dyDescent="0.2">
      <c r="A115" s="13">
        <f>TimeLine!A115</f>
        <v>45444</v>
      </c>
      <c r="B115" s="14">
        <f>IFERROR((TimeLine!B115/TimeLine!B114)-1, NA())</f>
        <v>-1.3469577333953264E-3</v>
      </c>
      <c r="C115" s="14">
        <f>IFERROR((TimeLine!C115/TimeLine!C114)-1, NA())</f>
        <v>-1.8250042640286512E-2</v>
      </c>
      <c r="D115" s="14">
        <f>IFERROR((TimeLine!D115/TimeLine!D114)-1, NA())</f>
        <v>3.1951002142708296E-2</v>
      </c>
      <c r="E115" s="14">
        <f>IFERROR((TimeLine!E115/TimeLine!E114)-1, NA())</f>
        <v>-1.825988254453903E-3</v>
      </c>
      <c r="F115" s="14">
        <f>IFERROR((TimeLine!F115/TimeLine!F114)-1, NA())</f>
        <v>0.1268813281036214</v>
      </c>
      <c r="G115" s="14">
        <f>IFERROR((TimeLine!G115/TimeLine!G114)-1, NA())</f>
        <v>2.3094688221709792E-3</v>
      </c>
      <c r="H115" s="14">
        <f>IFERROR((TimeLine!H115/TimeLine!H114)-1, NA())</f>
        <v>1.4704256495301271E-2</v>
      </c>
      <c r="I115" s="14">
        <f>IFERROR((TimeLine!I115/TimeLine!I114)-1, NA())</f>
        <v>7.8524531901760231E-2</v>
      </c>
      <c r="J115" s="14">
        <f>IFERROR((TimeLine!J115/TimeLine!J114)-1, NA())</f>
        <v>6.2469966362326268E-3</v>
      </c>
      <c r="K115" s="14">
        <f>IFERROR((TimeLine!K115/TimeLine!K114)-1, NA())</f>
        <v>-1.5831565203199061E-2</v>
      </c>
    </row>
    <row r="116" spans="1:11" x14ac:dyDescent="0.2">
      <c r="A116" s="13">
        <f>TimeLine!A116</f>
        <v>45474</v>
      </c>
      <c r="B116" s="14">
        <f>IFERROR((TimeLine!B116/TimeLine!B115)-1, NA())</f>
        <v>5.3671922236175229E-2</v>
      </c>
      <c r="C116" s="14">
        <f>IFERROR((TimeLine!C116/TimeLine!C115)-1, NA())</f>
        <v>3.0142460041695518E-2</v>
      </c>
      <c r="D116" s="14">
        <f>IFERROR((TimeLine!D116/TimeLine!D115)-1, NA())</f>
        <v>1.2109073536437309E-2</v>
      </c>
      <c r="E116" s="14">
        <f>IFERROR((TimeLine!E116/TimeLine!E115)-1, NA())</f>
        <v>5.2111144071986581E-2</v>
      </c>
      <c r="F116" s="14">
        <f>IFERROR((TimeLine!F116/TimeLine!F115)-1, NA())</f>
        <v>-5.2776428687065002E-2</v>
      </c>
      <c r="G116" s="14">
        <f>IFERROR((TimeLine!G116/TimeLine!G115)-1, NA())</f>
        <v>-2.5224351200582085E-2</v>
      </c>
      <c r="H116" s="14">
        <f>IFERROR((TimeLine!H116/TimeLine!H115)-1, NA())</f>
        <v>3.3013728481150695E-2</v>
      </c>
      <c r="I116" s="14">
        <f>IFERROR((TimeLine!I116/TimeLine!I115)-1, NA())</f>
        <v>-1.4880591061239401E-2</v>
      </c>
      <c r="J116" s="14">
        <f>IFERROR((TimeLine!J116/TimeLine!J115)-1, NA())</f>
        <v>7.9393505253104069E-2</v>
      </c>
      <c r="K116" s="14">
        <f>IFERROR((TimeLine!K116/TimeLine!K115)-1, NA())</f>
        <v>2.6202321724709821E-2</v>
      </c>
    </row>
    <row r="117" spans="1:11" x14ac:dyDescent="0.2">
      <c r="A117" s="13">
        <f>TimeLine!A117</f>
        <v>45505</v>
      </c>
      <c r="B117" s="14">
        <f>IFERROR((TimeLine!B117/TimeLine!B116)-1, NA())</f>
        <v>2.0922533657029341E-2</v>
      </c>
      <c r="C117" s="14">
        <f>IFERROR((TimeLine!C117/TimeLine!C116)-1, NA())</f>
        <v>-5.4810692301205943E-3</v>
      </c>
      <c r="D117" s="14">
        <f>IFERROR((TimeLine!D117/TimeLine!D116)-1, NA())</f>
        <v>2.3365588860042585E-2</v>
      </c>
      <c r="E117" s="14">
        <f>IFERROR((TimeLine!E117/TimeLine!E116)-1, NA())</f>
        <v>5.6390977443609103E-2</v>
      </c>
      <c r="F117" s="14">
        <f>IFERROR((TimeLine!F117/TimeLine!F116)-1, NA())</f>
        <v>2.008203725858837E-2</v>
      </c>
      <c r="G117" s="14">
        <f>IFERROR((TimeLine!G117/TimeLine!G116)-1, NA())</f>
        <v>6.7056481711868621E-2</v>
      </c>
      <c r="H117" s="14">
        <f>IFERROR((TimeLine!H117/TimeLine!H116)-1, NA())</f>
        <v>1.7719649825967743E-2</v>
      </c>
      <c r="I117" s="14">
        <f>IFERROR((TimeLine!I117/TimeLine!I116)-1, NA())</f>
        <v>1.0492773014559642E-2</v>
      </c>
      <c r="J117" s="14">
        <f>IFERROR((TimeLine!J117/TimeLine!J116)-1, NA())</f>
        <v>5.2206614312576116E-2</v>
      </c>
      <c r="K117" s="14">
        <f>IFERROR((TimeLine!K117/TimeLine!K116)-1, NA())</f>
        <v>2.4078862314156346E-2</v>
      </c>
    </row>
    <row r="118" spans="1:11" x14ac:dyDescent="0.2">
      <c r="A118" s="13">
        <f>TimeLine!A118</f>
        <v>45536</v>
      </c>
      <c r="B118" s="14">
        <f>IFERROR((TimeLine!B118/TimeLine!B117)-1, NA())</f>
        <v>5.0888494963033493E-2</v>
      </c>
      <c r="C118" s="14">
        <f>IFERROR((TimeLine!C118/TimeLine!C117)-1, NA())</f>
        <v>-6.10479905036454E-3</v>
      </c>
      <c r="D118" s="14">
        <f>IFERROR((TimeLine!D118/TimeLine!D117)-1, NA())</f>
        <v>1.7882486517172946E-2</v>
      </c>
      <c r="E118" s="14">
        <f>IFERROR((TimeLine!E118/TimeLine!E117)-1, NA())</f>
        <v>-6.2010676156583622E-2</v>
      </c>
      <c r="F118" s="14">
        <f>IFERROR((TimeLine!F118/TimeLine!F117)-1, NA())</f>
        <v>1.7341040462427681E-2</v>
      </c>
      <c r="G118" s="14">
        <f>IFERROR((TimeLine!G118/TimeLine!G117)-1, NA())</f>
        <v>9.6770432552173435E-3</v>
      </c>
      <c r="H118" s="14">
        <f>IFERROR((TimeLine!H118/TimeLine!H117)-1, NA())</f>
        <v>1.6685666908487828E-2</v>
      </c>
      <c r="I118" s="14">
        <f>IFERROR((TimeLine!I118/TimeLine!I117)-1, NA())</f>
        <v>2.186525428158248E-2</v>
      </c>
      <c r="J118" s="14">
        <f>IFERROR((TimeLine!J118/TimeLine!J117)-1, NA())</f>
        <v>2.4072322085567199E-2</v>
      </c>
      <c r="K118" s="14">
        <f>IFERROR((TimeLine!K118/TimeLine!K117)-1, NA())</f>
        <v>2.1619062647940668E-2</v>
      </c>
    </row>
    <row r="119" spans="1:11" x14ac:dyDescent="0.2">
      <c r="A119" s="13">
        <f>TimeLine!A119</f>
        <v>45566</v>
      </c>
      <c r="B119" s="14">
        <f>IFERROR((TimeLine!B119/TimeLine!B118)-1, NA())</f>
        <v>4.2993499547436809E-2</v>
      </c>
      <c r="C119" s="14">
        <f>IFERROR((TimeLine!C119/TimeLine!C118)-1, NA())</f>
        <v>-3.7536256611500063E-3</v>
      </c>
      <c r="D119" s="14">
        <f>IFERROR((TimeLine!D119/TimeLine!D118)-1, NA())</f>
        <v>-8.9235917456776948E-3</v>
      </c>
      <c r="E119" s="14">
        <f>IFERROR((TimeLine!E119/TimeLine!E118)-1, NA())</f>
        <v>5.2451863795883291E-2</v>
      </c>
      <c r="F119" s="14">
        <f>IFERROR((TimeLine!F119/TimeLine!F118)-1, NA())</f>
        <v>9.3214756258234388E-2</v>
      </c>
      <c r="G119" s="14">
        <f>IFERROR((TimeLine!G119/TimeLine!G118)-1, NA())</f>
        <v>-4.6304849884526433E-2</v>
      </c>
      <c r="H119" s="14">
        <f>IFERROR((TimeLine!H119/TimeLine!H118)-1, NA())</f>
        <v>-5.7594291539245557E-2</v>
      </c>
      <c r="I119" s="14">
        <f>IFERROR((TimeLine!I119/TimeLine!I118)-1, NA())</f>
        <v>-7.1949805633226838E-3</v>
      </c>
      <c r="J119" s="14">
        <f>IFERROR((TimeLine!J119/TimeLine!J118)-1, NA())</f>
        <v>-3.3566002874153122E-2</v>
      </c>
      <c r="K119" s="14">
        <f>IFERROR((TimeLine!K119/TimeLine!K118)-1, NA())</f>
        <v>-4.4640098856966182E-2</v>
      </c>
    </row>
    <row r="120" spans="1:11" x14ac:dyDescent="0.2">
      <c r="A120" s="13">
        <f>TimeLine!A120</f>
        <v>45597</v>
      </c>
      <c r="B120" s="14">
        <f>IFERROR((TimeLine!B120/TimeLine!B119)-1, NA())</f>
        <v>-3.1241371149066999E-2</v>
      </c>
      <c r="C120" s="14">
        <f>IFERROR((TimeLine!C120/TimeLine!C119)-1, NA())</f>
        <v>1.0104469943483352E-2</v>
      </c>
      <c r="D120" s="14">
        <f>IFERROR((TimeLine!D120/TimeLine!D119)-1, NA())</f>
        <v>5.9633511536297146E-2</v>
      </c>
      <c r="E120" s="14">
        <f>IFERROR((TimeLine!E120/TimeLine!E119)-1, NA())</f>
        <v>0.12527036770007216</v>
      </c>
      <c r="F120" s="14">
        <f>IFERROR((TimeLine!F120/TimeLine!F119)-1, NA())</f>
        <v>4.1352817113588403E-2</v>
      </c>
      <c r="G120" s="14">
        <f>IFERROR((TimeLine!G120/TimeLine!G119)-1, NA())</f>
        <v>8.5240343867296176E-2</v>
      </c>
      <c r="H120" s="14">
        <f>IFERROR((TimeLine!H120/TimeLine!H119)-1, NA())</f>
        <v>1.6441319632233498E-2</v>
      </c>
      <c r="I120" s="14">
        <f>IFERROR((TimeLine!I120/TimeLine!I119)-1, NA())</f>
        <v>6.860724712347599E-2</v>
      </c>
      <c r="J120" s="14">
        <f>IFERROR((TimeLine!J120/TimeLine!J119)-1, NA())</f>
        <v>4.2591609134359887E-2</v>
      </c>
      <c r="K120" s="14">
        <f>IFERROR((TimeLine!K120/TimeLine!K119)-1, NA())</f>
        <v>-2.2635408245755828E-3</v>
      </c>
    </row>
    <row r="121" spans="1:11" x14ac:dyDescent="0.2">
      <c r="A121" s="13">
        <f>TimeLine!A121</f>
        <v>45627</v>
      </c>
      <c r="B121" s="14">
        <f>IFERROR((TimeLine!B121/TimeLine!B120)-1, NA())</f>
        <v>-1.4088521519605934E-2</v>
      </c>
      <c r="C121" s="14">
        <f>IFERROR((TimeLine!C121/TimeLine!C120)-1, NA())</f>
        <v>-8.8080705323838604E-2</v>
      </c>
      <c r="D121" s="14">
        <f>IFERROR((TimeLine!D121/TimeLine!D120)-1, NA())</f>
        <v>-2.7333831217326243E-2</v>
      </c>
      <c r="E121" s="14">
        <f>IFERROR((TimeLine!E121/TimeLine!E120)-1, NA())</f>
        <v>-4.0084895082492356E-2</v>
      </c>
      <c r="F121" s="14">
        <f>IFERROR((TimeLine!F121/TimeLine!F120)-1, NA())</f>
        <v>-2.8643761301989201E-2</v>
      </c>
      <c r="G121" s="14">
        <f>IFERROR((TimeLine!G121/TimeLine!G120)-1, NA())</f>
        <v>-6.4766261296440808E-2</v>
      </c>
      <c r="H121" s="14">
        <f>IFERROR((TimeLine!H121/TimeLine!H120)-1, NA())</f>
        <v>-7.0660849207193843E-2</v>
      </c>
      <c r="I121" s="14">
        <f>IFERROR((TimeLine!I121/TimeLine!I120)-1, NA())</f>
        <v>-7.2318200080356831E-4</v>
      </c>
      <c r="J121" s="14">
        <f>IFERROR((TimeLine!J121/TimeLine!J120)-1, NA())</f>
        <v>-9.2502037489812561E-2</v>
      </c>
      <c r="K121" s="14">
        <f>IFERROR((TimeLine!K121/TimeLine!K120)-1, NA())</f>
        <v>-4.5049424728569099E-2</v>
      </c>
    </row>
    <row r="122" spans="1:11" x14ac:dyDescent="0.2">
      <c r="A122" s="13">
        <f>TimeLine!A122</f>
        <v>45658</v>
      </c>
      <c r="B122" s="14">
        <f>IFERROR((TimeLine!B122/TimeLine!B121)-1, NA())</f>
        <v>6.7856110353942123E-2</v>
      </c>
      <c r="C122" s="14">
        <f>IFERROR((TimeLine!C122/TimeLine!C121)-1, NA())</f>
        <v>-6.8792414241888311E-3</v>
      </c>
      <c r="D122" s="14">
        <f>IFERROR((TimeLine!D122/TimeLine!D121)-1, NA())</f>
        <v>2.6856401856401924E-2</v>
      </c>
      <c r="E122" s="14">
        <f>IFERROR((TimeLine!E122/TimeLine!E121)-1, NA())</f>
        <v>0.11509740936965507</v>
      </c>
      <c r="F122" s="14">
        <f>IFERROR((TimeLine!F122/TimeLine!F121)-1, NA())</f>
        <v>-0.10589023754561022</v>
      </c>
      <c r="G122" s="14">
        <f>IFERROR((TimeLine!G122/TimeLine!G121)-1, NA())</f>
        <v>-9.901580674023247E-3</v>
      </c>
      <c r="H122" s="14">
        <f>IFERROR((TimeLine!H122/TimeLine!H121)-1, NA())</f>
        <v>4.9238520554220067E-3</v>
      </c>
      <c r="I122" s="14">
        <f>IFERROR((TimeLine!I122/TimeLine!I121)-1, NA())</f>
        <v>-8.3467352846573473E-3</v>
      </c>
      <c r="J122" s="14">
        <f>IFERROR((TimeLine!J122/TimeLine!J121)-1, NA())</f>
        <v>1.6502020655590366E-2</v>
      </c>
      <c r="K122" s="14">
        <f>IFERROR((TimeLine!K122/TimeLine!K121)-1, NA())</f>
        <v>3.3768878330222352E-2</v>
      </c>
    </row>
    <row r="123" spans="1:11" x14ac:dyDescent="0.2">
      <c r="A123" s="13">
        <f>TimeLine!A123</f>
        <v>45689</v>
      </c>
      <c r="B123" s="14">
        <f>IFERROR((TimeLine!B123/TimeLine!B122)-1, NA())</f>
        <v>1.8216274752475226E-2</v>
      </c>
      <c r="C123" s="14">
        <f>IFERROR((TimeLine!C123/TimeLine!C122)-1, NA())</f>
        <v>4.2122999157540031E-2</v>
      </c>
      <c r="D123" s="14">
        <f>IFERROR((TimeLine!D123/TimeLine!D122)-1, NA())</f>
        <v>-1.2694825695390821E-2</v>
      </c>
      <c r="E123" s="14">
        <f>IFERROR((TimeLine!E123/TimeLine!E122)-1, NA())</f>
        <v>-9.9139543583989242E-3</v>
      </c>
      <c r="F123" s="14">
        <f>IFERROR((TimeLine!F123/TimeLine!F122)-1, NA())</f>
        <v>4.0393104022653503E-2</v>
      </c>
      <c r="G123" s="14">
        <f>IFERROR((TimeLine!G123/TimeLine!G122)-1, NA())</f>
        <v>4.7292005542502569E-2</v>
      </c>
      <c r="H123" s="14">
        <f>IFERROR((TimeLine!H123/TimeLine!H122)-1, NA())</f>
        <v>5.3213309024612521E-2</v>
      </c>
      <c r="I123" s="14">
        <f>IFERROR((TimeLine!I123/TimeLine!I122)-1, NA())</f>
        <v>-2.9402701869901571E-2</v>
      </c>
      <c r="J123" s="14">
        <f>IFERROR((TimeLine!J123/TimeLine!J122)-1, NA())</f>
        <v>3.6996134732192321E-2</v>
      </c>
      <c r="K123" s="14">
        <f>IFERROR((TimeLine!K123/TimeLine!K122)-1, NA())</f>
        <v>1.8548916611950128E-2</v>
      </c>
    </row>
    <row r="124" spans="1:11" x14ac:dyDescent="0.2">
      <c r="A124" s="13">
        <f>TimeLine!A124</f>
        <v>45717</v>
      </c>
      <c r="B124" s="14">
        <f>IFERROR((TimeLine!B124/TimeLine!B123)-1, NA())</f>
        <v>9.4465757587267829E-2</v>
      </c>
      <c r="C124" s="14">
        <f>IFERROR((TimeLine!C124/TimeLine!C123)-1, NA())</f>
        <v>6.8265516931644843E-2</v>
      </c>
      <c r="D124" s="14">
        <f>IFERROR((TimeLine!D124/TimeLine!D123)-1, NA())</f>
        <v>-5.8551280756673041E-2</v>
      </c>
      <c r="E124" s="14">
        <f>IFERROR((TimeLine!E124/TimeLine!E123)-1, NA())</f>
        <v>-7.3115435480823554E-2</v>
      </c>
      <c r="F124" s="14">
        <f>IFERROR((TimeLine!F124/TimeLine!F123)-1, NA())</f>
        <v>-0.13240473903298111</v>
      </c>
      <c r="G124" s="14">
        <f>IFERROR((TimeLine!G124/TimeLine!G123)-1, NA())</f>
        <v>-1.9673262770363631E-2</v>
      </c>
      <c r="H124" s="14">
        <f>IFERROR((TimeLine!H124/TimeLine!H123)-1, NA())</f>
        <v>-1.5146597425078512E-2</v>
      </c>
      <c r="I124" s="14">
        <f>IFERROR((TimeLine!I124/TimeLine!I123)-1, NA())</f>
        <v>-9.3737468252907408E-2</v>
      </c>
      <c r="J124" s="14">
        <f>IFERROR((TimeLine!J124/TimeLine!J123)-1, NA())</f>
        <v>-3.578274760383382E-2</v>
      </c>
      <c r="K124" s="14">
        <f>IFERROR((TimeLine!K124/TimeLine!K123)-1, NA())</f>
        <v>8.058017727639033E-4</v>
      </c>
    </row>
    <row r="125" spans="1:11" x14ac:dyDescent="0.2">
      <c r="A125" s="13">
        <f>TimeLine!A125</f>
        <v>45748</v>
      </c>
      <c r="B125" s="14">
        <f>IFERROR((TimeLine!B125/TimeLine!B124)-1, NA())</f>
        <v>5.4244464496425282E-2</v>
      </c>
      <c r="C125" s="14">
        <f>IFERROR((TimeLine!C125/TimeLine!C124)-1, NA())</f>
        <v>-0.11183048852266053</v>
      </c>
      <c r="D125" s="14">
        <f>IFERROR((TimeLine!D125/TimeLine!D124)-1, NA())</f>
        <v>-8.6701585655803992E-3</v>
      </c>
      <c r="E125" s="14">
        <f>IFERROR((TimeLine!E125/TimeLine!E124)-1, NA())</f>
        <v>-2.7721157766000815E-3</v>
      </c>
      <c r="F125" s="14">
        <f>IFERROR((TimeLine!F125/TimeLine!F124)-1, NA())</f>
        <v>4.9824690902380286E-3</v>
      </c>
      <c r="G125" s="14">
        <f>IFERROR((TimeLine!G125/TimeLine!G124)-1, NA())</f>
        <v>-4.6062668700856624E-2</v>
      </c>
      <c r="H125" s="14">
        <f>IFERROR((TimeLine!H125/TimeLine!H124)-1, NA())</f>
        <v>-1.7137207514006381E-2</v>
      </c>
      <c r="I125" s="14">
        <f>IFERROR((TimeLine!I125/TimeLine!I124)-1, NA())</f>
        <v>1.3035141413769047E-2</v>
      </c>
      <c r="J125" s="14">
        <f>IFERROR((TimeLine!J125/TimeLine!J124)-1, NA())</f>
        <v>-2.4409100949856488E-2</v>
      </c>
      <c r="K125" s="14">
        <f>IFERROR((TimeLine!K125/TimeLine!K124)-1, NA())</f>
        <v>2.8341384863123986E-2</v>
      </c>
    </row>
    <row r="126" spans="1:11" x14ac:dyDescent="0.2">
      <c r="A126" s="13">
        <f>TimeLine!A126</f>
        <v>45778</v>
      </c>
      <c r="B126" s="14">
        <f>IFERROR((TimeLine!B126/TimeLine!B125)-1, NA())</f>
        <v>-5.5963393356806002E-4</v>
      </c>
      <c r="C126" s="14">
        <f>IFERROR((TimeLine!C126/TimeLine!C125)-1, NA())</f>
        <v>-3.1525134904856533E-2</v>
      </c>
      <c r="D126" s="14">
        <f>IFERROR((TimeLine!D126/TimeLine!D125)-1, NA())</f>
        <v>6.2844880441446982E-2</v>
      </c>
      <c r="E126" s="14">
        <f>IFERROR((TimeLine!E126/TimeLine!E125)-1, NA())</f>
        <v>7.9224920284522993E-2</v>
      </c>
      <c r="F126" s="14">
        <f>IFERROR((TimeLine!F126/TimeLine!F125)-1, NA())</f>
        <v>0.2406353286816012</v>
      </c>
      <c r="G126" s="14">
        <f>IFERROR((TimeLine!G126/TimeLine!G125)-1, NA())</f>
        <v>4.5026757704373477E-2</v>
      </c>
      <c r="H126" s="14">
        <f>IFERROR((TimeLine!H126/TimeLine!H125)-1, NA())</f>
        <v>-3.565440929920638E-2</v>
      </c>
      <c r="I126" s="14">
        <f>IFERROR((TimeLine!I126/TimeLine!I125)-1, NA())</f>
        <v>0.10359450359450362</v>
      </c>
      <c r="J126" s="14">
        <f>IFERROR((TimeLine!J126/TimeLine!J125)-1, NA())</f>
        <v>1.1207970112079746E-2</v>
      </c>
      <c r="K126" s="14">
        <f>IFERROR((TimeLine!K126/TimeLine!K125)-1, NA())</f>
        <v>4.8230504227998683E-2</v>
      </c>
    </row>
    <row r="127" spans="1:11" x14ac:dyDescent="0.2">
      <c r="A127" s="13">
        <f>TimeLine!A127</f>
        <v>45809</v>
      </c>
      <c r="B127" s="14">
        <f>IFERROR((TimeLine!B127/TimeLine!B126)-1, NA())</f>
        <v>4.0513833992092962E-3</v>
      </c>
      <c r="C127" s="14">
        <f>IFERROR((TimeLine!C127/TimeLine!C126)-1, NA())</f>
        <v>5.3763440860215006E-2</v>
      </c>
      <c r="D127" s="14">
        <f>IFERROR((TimeLine!D127/TimeLine!D126)-1, NA())</f>
        <v>4.8287212202446694E-2</v>
      </c>
      <c r="E127" s="14">
        <f>IFERROR((TimeLine!E127/TimeLine!E126)-1, NA())</f>
        <v>9.8143939393939394E-2</v>
      </c>
      <c r="F127" s="14">
        <f>IFERROR((TimeLine!F127/TimeLine!F126)-1, NA())</f>
        <v>0.16917042847628228</v>
      </c>
      <c r="G127" s="14">
        <f>IFERROR((TimeLine!G127/TimeLine!G126)-1, NA())</f>
        <v>-6.2216728471363836E-2</v>
      </c>
      <c r="H127" s="14">
        <f>IFERROR((TimeLine!H127/TimeLine!H126)-1, NA())</f>
        <v>2.2832637923041244E-2</v>
      </c>
      <c r="I127" s="14">
        <f>IFERROR((TimeLine!I127/TimeLine!I126)-1, NA())</f>
        <v>9.3853587743456979E-2</v>
      </c>
      <c r="J127" s="14">
        <f>IFERROR((TimeLine!J127/TimeLine!J126)-1, NA())</f>
        <v>-2.9108822212269292E-3</v>
      </c>
      <c r="K127" s="14">
        <f>IFERROR((TimeLine!K127/TimeLine!K126)-1, NA())</f>
        <v>3.2118314908873735E-2</v>
      </c>
    </row>
    <row r="128" spans="1:11" x14ac:dyDescent="0.2">
      <c r="A128" s="13">
        <f>TimeLine!A128</f>
        <v>45839</v>
      </c>
      <c r="B128" s="14">
        <f>IFERROR((TimeLine!B128/TimeLine!B127)-1, NA())</f>
        <v>-6.1345668077289472E-3</v>
      </c>
      <c r="C128" s="14">
        <f>IFERROR((TimeLine!C128/TimeLine!C127)-1, NA())</f>
        <v>3.5621521335807094E-2</v>
      </c>
      <c r="D128" s="14">
        <f>IFERROR((TimeLine!D128/TimeLine!D127)-1, NA())</f>
        <v>2.3031480132718274E-2</v>
      </c>
      <c r="E128" s="14">
        <f>IFERROR((TimeLine!E128/TimeLine!E127)-1, NA())</f>
        <v>2.1834362388327255E-2</v>
      </c>
      <c r="F128" s="14">
        <f>IFERROR((TimeLine!F128/TimeLine!F127)-1, NA())</f>
        <v>0.12583074878156841</v>
      </c>
      <c r="G128" s="14">
        <f>IFERROR((TimeLine!G128/TimeLine!G127)-1, NA())</f>
        <v>-5.5548581471252745E-2</v>
      </c>
      <c r="H128" s="14">
        <f>IFERROR((TimeLine!H128/TimeLine!H127)-1, NA())</f>
        <v>-1.5070821529745038E-2</v>
      </c>
      <c r="I128" s="14">
        <f>IFERROR((TimeLine!I128/TimeLine!I127)-1, NA())</f>
        <v>4.0993245688095703E-2</v>
      </c>
      <c r="J128" s="14">
        <f>IFERROR((TimeLine!J128/TimeLine!J127)-1, NA())</f>
        <v>8.9827082865490127E-4</v>
      </c>
      <c r="K128" s="14">
        <f>IFERROR((TimeLine!K128/TimeLine!K127)-1, NA())</f>
        <v>-8.9738022868722789E-3</v>
      </c>
    </row>
    <row r="129" spans="1:11" x14ac:dyDescent="0.2">
      <c r="A129" s="13">
        <f>TimeLine!A129</f>
        <v>45870</v>
      </c>
      <c r="B129" s="14">
        <f>IFERROR((TimeLine!B129/TimeLine!B128)-1, NA())</f>
        <v>4.9874570900448889E-2</v>
      </c>
      <c r="C129" s="14">
        <f>IFERROR((TimeLine!C129/TimeLine!C128)-1, NA())</f>
        <v>2.3737011823719234E-2</v>
      </c>
      <c r="D129" s="14">
        <f>IFERROR((TimeLine!D129/TimeLine!D128)-1, NA())</f>
        <v>2.0519554486773783E-2</v>
      </c>
      <c r="E129" s="14">
        <f>IFERROR((TimeLine!E129/TimeLine!E128)-1, NA())</f>
        <v>1.7485822306238186E-2</v>
      </c>
      <c r="F129" s="14">
        <f>IFERROR((TimeLine!F129/TimeLine!F128)-1, NA())</f>
        <v>-2.0745488277955748E-2</v>
      </c>
      <c r="G129" s="14">
        <f>IFERROR((TimeLine!G129/TimeLine!G128)-1, NA())</f>
        <v>4.3663188675483466E-2</v>
      </c>
      <c r="H129" s="14">
        <f>IFERROR((TimeLine!H129/TimeLine!H128)-1, NA())</f>
        <v>-3.6815462494248496E-3</v>
      </c>
      <c r="I129" s="14">
        <f>IFERROR((TimeLine!I129/TimeLine!I128)-1, NA())</f>
        <v>9.4862919460656503E-3</v>
      </c>
      <c r="J129" s="14">
        <f>IFERROR((TimeLine!J129/TimeLine!J128)-1, NA())</f>
        <v>3.4776755665245629E-2</v>
      </c>
      <c r="K129" s="14">
        <f>IFERROR((TimeLine!K129/TimeLine!K128)-1, NA())</f>
        <v>4.2354315758726502E-2</v>
      </c>
    </row>
    <row r="130" spans="1:11" x14ac:dyDescent="0.2">
      <c r="A130" s="13">
        <f>TimeLine!A130</f>
        <v>45901</v>
      </c>
      <c r="B130" s="14">
        <f>IFERROR((TimeLine!B130/TimeLine!B129)-1, NA())</f>
        <v>0.11758417958311074</v>
      </c>
      <c r="C130" s="14">
        <f>IFERROR((TimeLine!C130/TimeLine!C129)-1, NA())</f>
        <v>-1.347449470644857E-2</v>
      </c>
      <c r="D130" s="14">
        <f>IFERROR((TimeLine!D130/TimeLine!D129)-1, NA())</f>
        <v>3.2757150608480057E-2</v>
      </c>
      <c r="E130" s="14">
        <f>IFERROR((TimeLine!E130/TimeLine!E129)-1, NA())</f>
        <v>4.6479994691792204E-2</v>
      </c>
      <c r="F130" s="14">
        <f>IFERROR((TimeLine!F130/TimeLine!F129)-1, NA())</f>
        <v>7.1190722241359472E-2</v>
      </c>
      <c r="G130" s="14">
        <f>IFERROR((TimeLine!G130/TimeLine!G129)-1, NA())</f>
        <v>-2.158685685175743E-2</v>
      </c>
      <c r="H130" s="14">
        <f>IFERROR((TimeLine!H130/TimeLine!H129)-1, NA())</f>
        <v>3.1986143187067162E-2</v>
      </c>
      <c r="I130" s="14">
        <f>IFERROR((TimeLine!I130/TimeLine!I129)-1, NA())</f>
        <v>7.1174428280393665E-2</v>
      </c>
      <c r="J130" s="14">
        <f>IFERROR((TimeLine!J130/TimeLine!J129)-1, NA())</f>
        <v>-8.88985255854291E-3</v>
      </c>
      <c r="K130" s="14">
        <f>IFERROR((TimeLine!K130/TimeLine!K129)-1, NA())</f>
        <v>2.9284012890570033E-2</v>
      </c>
    </row>
    <row r="131" spans="1:11" x14ac:dyDescent="0.2">
      <c r="A131" s="13">
        <f>TimeLine!A131</f>
        <v>45931</v>
      </c>
      <c r="B131" s="14">
        <f>IFERROR((TimeLine!B131/TimeLine!B130)-1, NA())</f>
        <v>3.5586688046811199E-2</v>
      </c>
      <c r="C131" s="14">
        <f>IFERROR((TimeLine!C131/TimeLine!C130)-1, NA())</f>
        <v>1.4279379157427829E-2</v>
      </c>
      <c r="D131" s="14">
        <f>IFERROR((TimeLine!D131/TimeLine!D130)-1, NA())</f>
        <v>2.38374013029512E-2</v>
      </c>
      <c r="E131" s="14">
        <f>IFERROR((TimeLine!E131/TimeLine!E130)-1, NA())</f>
        <v>-1.3663887391814344E-2</v>
      </c>
      <c r="F131" s="14">
        <f>IFERROR((TimeLine!F131/TimeLine!F130)-1, NA())</f>
        <v>8.5271733304748576E-2</v>
      </c>
      <c r="G131" s="14">
        <f>IFERROR((TimeLine!G131/TimeLine!G130)-1, NA())</f>
        <v>-2.1347217702570753E-2</v>
      </c>
      <c r="H131" s="14">
        <f>IFERROR((TimeLine!H131/TimeLine!H130)-1, NA())</f>
        <v>1.0294282197605531E-2</v>
      </c>
      <c r="I131" s="14">
        <f>IFERROR((TimeLine!I131/TimeLine!I130)-1, NA())</f>
        <v>6.2386992218367965E-2</v>
      </c>
      <c r="J131" s="14">
        <f>IFERROR((TimeLine!J131/TimeLine!J130)-1, NA())</f>
        <v>-2.4502297090352121E-2</v>
      </c>
      <c r="K131" s="14">
        <f>IFERROR((TimeLine!K131/TimeLine!K130)-1, NA())</f>
        <v>1.5927035121154454E-2</v>
      </c>
    </row>
    <row r="132" spans="1:11" x14ac:dyDescent="0.2">
      <c r="A132" s="13">
        <f>TimeLine!A132</f>
        <v>45962</v>
      </c>
      <c r="B132" s="14">
        <f>IFERROR((TimeLine!B132/TimeLine!B131)-1, NA())</f>
        <v>5.3678148429859851E-2</v>
      </c>
      <c r="C132" s="14">
        <f>IFERROR((TimeLine!C132/TimeLine!C131)-1, NA())</f>
        <v>1.3641133263378791E-2</v>
      </c>
      <c r="D132" s="14">
        <f>IFERROR((TimeLine!D132/TimeLine!D131)-1, NA())</f>
        <v>1.9499750755065381E-3</v>
      </c>
      <c r="E132" s="14">
        <f>IFERROR((TimeLine!E132/TimeLine!E131)-1, NA())</f>
        <v>6.2998200051427311E-3</v>
      </c>
      <c r="F132" s="14">
        <f>IFERROR((TimeLine!F132/TimeLine!F131)-1, NA())</f>
        <v>-0.12588275964245155</v>
      </c>
      <c r="G132" s="14">
        <f>IFERROR((TimeLine!G132/TimeLine!G131)-1, NA())</f>
        <v>-1.4697080534681217E-2</v>
      </c>
      <c r="H132" s="14">
        <f>IFERROR((TimeLine!H132/TimeLine!H131)-1, NA())</f>
        <v>-8.860338907964449E-4</v>
      </c>
      <c r="I132" s="14">
        <f>IFERROR((TimeLine!I132/TimeLine!I131)-1, NA())</f>
        <v>-5.1701314910301166E-2</v>
      </c>
      <c r="J132" s="14">
        <f>IFERROR((TimeLine!J132/TimeLine!J131)-1, NA())</f>
        <v>2.4220677281901803E-2</v>
      </c>
      <c r="K132" s="14">
        <f>IFERROR((TimeLine!K132/TimeLine!K131)-1, NA())</f>
        <v>4.1538255393274159E-3</v>
      </c>
    </row>
    <row r="133" spans="1:11" x14ac:dyDescent="0.2">
      <c r="A133" s="13">
        <f>TimeLine!A133</f>
        <v>45992</v>
      </c>
      <c r="B133" s="14">
        <f>IFERROR((TimeLine!B133/TimeLine!B132)-1, NA())</f>
        <v>2.1733525832731804E-2</v>
      </c>
      <c r="C133" s="14">
        <f>IFERROR((TimeLine!C133/TimeLine!C132)-1, NA())</f>
        <v>3.8129744651483888E-2</v>
      </c>
      <c r="D133" s="14">
        <f>IFERROR((TimeLine!D133/TimeLine!D132)-1, NA())</f>
        <v>-2.1510411331743251E-3</v>
      </c>
      <c r="E133" s="14">
        <f>IFERROR((TimeLine!E133/TimeLine!E132)-1, NA())</f>
        <v>2.9193816276990026E-2</v>
      </c>
      <c r="F133" s="14">
        <f>IFERROR((TimeLine!F133/TimeLine!F132)-1, NA())</f>
        <v>5.3672316384180796E-2</v>
      </c>
      <c r="G133" s="14">
        <f>IFERROR((TimeLine!G133/TimeLine!G132)-1, NA())</f>
        <v>-3.2734881209503186E-2</v>
      </c>
      <c r="H133" s="14">
        <f>IFERROR((TimeLine!H133/TimeLine!H132)-1, NA())</f>
        <v>-3.3809998891475401E-2</v>
      </c>
      <c r="I133" s="14">
        <f>IFERROR((TimeLine!I133/TimeLine!I132)-1, NA())</f>
        <v>2.1005051847911016E-3</v>
      </c>
      <c r="J133" s="14">
        <f>IFERROR((TimeLine!J133/TimeLine!J132)-1, NA())</f>
        <v>-3.1202102036347767E-2</v>
      </c>
      <c r="K133" s="14">
        <f>IFERROR((TimeLine!K133/TimeLine!K132)-1, NA())</f>
        <v>6.6720042700827431E-3</v>
      </c>
    </row>
    <row r="134" spans="1:11" x14ac:dyDescent="0.2">
      <c r="A134" s="34">
        <f>TimeLine!A134</f>
        <v>46023</v>
      </c>
      <c r="B134" s="35">
        <f>IFERROR((TimeLine!B134/TimeLine!B133)-1, NA())</f>
        <v>6.3031465267088915E-2</v>
      </c>
      <c r="C134" s="35">
        <f>IFERROR((TimeLine!C134/TimeLine!C133)-1, NA())</f>
        <v>7.9358484294498766E-2</v>
      </c>
      <c r="D134" s="35">
        <f>IFERROR((TimeLine!D134/TimeLine!D133)-1, NA())</f>
        <v>1.4283200375410532E-2</v>
      </c>
      <c r="E134" s="35">
        <f>IFERROR((TimeLine!E134/TimeLine!E133)-1, NA())</f>
        <v>-3.0258829371237028E-2</v>
      </c>
      <c r="F134" s="35">
        <f>IFERROR((TimeLine!F134/TimeLine!F133)-1, NA())</f>
        <v>-1.4477211796247724E-3</v>
      </c>
      <c r="G134" s="35">
        <f>IFERROR((TimeLine!G134/TimeLine!G133)-1, NA())</f>
        <v>4.7728700020933656E-2</v>
      </c>
      <c r="H134" s="35">
        <f>IFERROR((TimeLine!H134/TimeLine!H133)-1, NA())</f>
        <v>5.3923818265260159E-3</v>
      </c>
      <c r="I134" s="35">
        <f>IFERROR((TimeLine!I134/TimeLine!I133)-1, NA())</f>
        <v>-2.7859587678091824E-4</v>
      </c>
      <c r="J134" s="35">
        <f>IFERROR((TimeLine!J134/TimeLine!J133)-1, NA())</f>
        <v>2.1245338456322926E-2</v>
      </c>
      <c r="K134" s="35">
        <f>IFERROR((TimeLine!K134/TimeLine!K133)-1, NA())</f>
        <v>5.4215270413573657E-2</v>
      </c>
    </row>
  </sheetData>
  <mergeCells count="1">
    <mergeCell ref="A1:K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C4F76-47A6-4DD6-87B6-CCE3409F2D0E}">
  <dimension ref="A1:K133"/>
  <sheetViews>
    <sheetView workbookViewId="0">
      <selection activeCell="C40" sqref="C40"/>
    </sheetView>
  </sheetViews>
  <sheetFormatPr defaultRowHeight="14.25" x14ac:dyDescent="0.2"/>
  <cols>
    <col min="1" max="1" width="9.875" bestFit="1" customWidth="1"/>
  </cols>
  <sheetData>
    <row r="1" spans="1:11" ht="15.75" thickBot="1" x14ac:dyDescent="0.3">
      <c r="A1" s="26" t="s">
        <v>0</v>
      </c>
      <c r="B1" s="27" t="s">
        <v>139</v>
      </c>
      <c r="C1" s="27" t="s">
        <v>630</v>
      </c>
      <c r="D1" s="27" t="s">
        <v>273</v>
      </c>
      <c r="E1" s="27" t="s">
        <v>369</v>
      </c>
      <c r="F1" s="28" t="s">
        <v>503</v>
      </c>
      <c r="G1" s="27" t="s">
        <v>652</v>
      </c>
      <c r="H1" s="27" t="s">
        <v>783</v>
      </c>
      <c r="I1" s="27" t="s">
        <v>914</v>
      </c>
      <c r="J1" s="27" t="s">
        <v>1042</v>
      </c>
      <c r="K1" s="29" t="s">
        <v>1174</v>
      </c>
    </row>
    <row r="2" spans="1:11" x14ac:dyDescent="0.2">
      <c r="A2" s="13">
        <f>TimeLine!A3</f>
        <v>42036</v>
      </c>
      <c r="B2" s="14">
        <f>IFERROR((TimeLine!B3/TimeLine!B2)-1, NA())</f>
        <v>-5.9052247873633057E-2</v>
      </c>
      <c r="C2" s="14">
        <f>IFERROR((TimeLine!C3/TimeLine!C2)-1, NA())</f>
        <v>1.2811713566689642E-2</v>
      </c>
      <c r="D2" s="14">
        <f>IFERROR((TimeLine!D3/TimeLine!D2)-1, NA())</f>
        <v>5.6204562547004233E-2</v>
      </c>
      <c r="E2" s="14">
        <f>IFERROR((TimeLine!E3/TimeLine!E2)-1, NA())</f>
        <v>0.1268848841485839</v>
      </c>
      <c r="F2" s="14">
        <f>IFERROR((TimeLine!F3/TimeLine!F2)-1, NA())</f>
        <v>0.14583333333333348</v>
      </c>
      <c r="G2" s="14">
        <f>IFERROR((TimeLine!G3/TimeLine!G2)-1, NA())</f>
        <v>9.965594969747249E-3</v>
      </c>
      <c r="H2" s="14">
        <f>IFERROR((TimeLine!H3/TimeLine!H2)-1, NA())</f>
        <v>-6.3277408157361825E-2</v>
      </c>
      <c r="I2" s="14">
        <f>IFERROR((TimeLine!I3/TimeLine!I2)-1, NA())</f>
        <v>8.3325066957643079E-2</v>
      </c>
      <c r="J2" s="14">
        <f>IFERROR((TimeLine!J3/TimeLine!J2)-1, NA())</f>
        <v>-3.674176776429805E-2</v>
      </c>
      <c r="K2" s="14">
        <f>IFERROR((TimeLine!K3/TimeLine!K2)-1, NA())</f>
        <v>5.7767691355477657E-2</v>
      </c>
    </row>
    <row r="3" spans="1:11" x14ac:dyDescent="0.2">
      <c r="A3" s="13">
        <f>TimeLine!A4</f>
        <v>42064</v>
      </c>
      <c r="B3" s="14">
        <f>IFERROR((TimeLine!B4/TimeLine!B3)-1, NA())</f>
        <v>-2.1522038567493129E-2</v>
      </c>
      <c r="C3" s="14">
        <f>IFERROR((TimeLine!C4/TimeLine!C3)-1, NA())</f>
        <v>-3.9981929071606137E-2</v>
      </c>
      <c r="D3" s="14">
        <f>IFERROR((TimeLine!D4/TimeLine!D3)-1, NA())</f>
        <v>-2.0079749359156907E-2</v>
      </c>
      <c r="E3" s="14">
        <f>IFERROR((TimeLine!E4/TimeLine!E3)-1, NA())</f>
        <v>-1.1422976501305526E-2</v>
      </c>
      <c r="F3" s="14">
        <f>IFERROR((TimeLine!F4/TimeLine!F3)-1, NA())</f>
        <v>-5.4545454545454564E-2</v>
      </c>
      <c r="G3" s="14">
        <f>IFERROR((TimeLine!G4/TimeLine!G3)-1, NA())</f>
        <v>-3.7472101491835996E-2</v>
      </c>
      <c r="H3" s="14">
        <f>IFERROR((TimeLine!H4/TimeLine!H3)-1, NA())</f>
        <v>8.9554543349030791E-3</v>
      </c>
      <c r="I3" s="14">
        <f>IFERROR((TimeLine!I4/TimeLine!I3)-1, NA())</f>
        <v>-2.4631444006959047E-2</v>
      </c>
      <c r="J3" s="14">
        <f>IFERROR((TimeLine!J4/TimeLine!J3)-1, NA())</f>
        <v>1.1275038982847541E-2</v>
      </c>
      <c r="K3" s="14">
        <f>IFERROR((TimeLine!K4/TimeLine!K3)-1, NA())</f>
        <v>-1.7944216890969367E-2</v>
      </c>
    </row>
    <row r="4" spans="1:11" x14ac:dyDescent="0.2">
      <c r="A4" s="13">
        <f>TimeLine!A5</f>
        <v>42095</v>
      </c>
      <c r="B4" s="14">
        <f>IFERROR((TimeLine!B5/TimeLine!B4)-1, NA())</f>
        <v>-1.671652296322379E-3</v>
      </c>
      <c r="C4" s="14">
        <f>IFERROR((TimeLine!C5/TimeLine!C4)-1, NA())</f>
        <v>2.7882352941176469E-2</v>
      </c>
      <c r="D4" s="14">
        <f>IFERROR((TimeLine!D5/TimeLine!D4)-1, NA())</f>
        <v>9.8338419803323252E-3</v>
      </c>
      <c r="E4" s="14">
        <f>IFERROR((TimeLine!E5/TimeLine!E4)-1, NA())</f>
        <v>4.4239022779795301E-2</v>
      </c>
      <c r="F4" s="14">
        <f>IFERROR((TimeLine!F5/TimeLine!F4)-1, NA())</f>
        <v>5.7692307692307709E-2</v>
      </c>
      <c r="G4" s="14">
        <f>IFERROR((TimeLine!G5/TimeLine!G4)-1, NA())</f>
        <v>-2.9655845740785836E-2</v>
      </c>
      <c r="H4" s="14">
        <f>IFERROR((TimeLine!H5/TimeLine!H4)-1, NA())</f>
        <v>-3.6269033590940358E-2</v>
      </c>
      <c r="I4" s="14">
        <f>IFERROR((TimeLine!I5/TimeLine!I4)-1, NA())</f>
        <v>1.2861434472399624E-2</v>
      </c>
      <c r="J4" s="14">
        <f>IFERROR((TimeLine!J5/TimeLine!J4)-1, NA())</f>
        <v>-5.8474676788044189E-2</v>
      </c>
      <c r="K4" s="14">
        <f>IFERROR((TimeLine!K5/TimeLine!K4)-1, NA())</f>
        <v>4.8063555114200573E-2</v>
      </c>
    </row>
    <row r="5" spans="1:11" x14ac:dyDescent="0.2">
      <c r="A5" s="13">
        <f>TimeLine!A6</f>
        <v>42125</v>
      </c>
      <c r="B5" s="14">
        <f>IFERROR((TimeLine!B6/TimeLine!B5)-1, NA())</f>
        <v>5.5521283158543877E-3</v>
      </c>
      <c r="C5" s="14">
        <f>IFERROR((TimeLine!C6/TimeLine!C5)-1, NA())</f>
        <v>-2.4836900537942075E-2</v>
      </c>
      <c r="D5" s="14">
        <f>IFERROR((TimeLine!D6/TimeLine!D5)-1, NA())</f>
        <v>1.2856183440468127E-2</v>
      </c>
      <c r="E5" s="14">
        <f>IFERROR((TimeLine!E6/TimeLine!E5)-1, NA())</f>
        <v>3.9835599114764531E-2</v>
      </c>
      <c r="F5" s="14">
        <f>IFERROR((TimeLine!F6/TimeLine!F5)-1, NA())</f>
        <v>0</v>
      </c>
      <c r="G5" s="14">
        <f>IFERROR((TimeLine!G6/TimeLine!G5)-1, NA())</f>
        <v>-1.4086278455540224E-2</v>
      </c>
      <c r="H5" s="14">
        <f>IFERROR((TimeLine!H6/TimeLine!H5)-1, NA())</f>
        <v>-2.5724493846764673E-2</v>
      </c>
      <c r="I5" s="14">
        <f>IFERROR((TimeLine!I6/TimeLine!I5)-1, NA())</f>
        <v>2.4932801927889603E-2</v>
      </c>
      <c r="J5" s="14">
        <f>IFERROR((TimeLine!J6/TimeLine!J5)-1, NA())</f>
        <v>-3.023431594860071E-3</v>
      </c>
      <c r="K5" s="14">
        <f>IFERROR((TimeLine!K6/TimeLine!K5)-1, NA())</f>
        <v>-9.0960773166572917E-3</v>
      </c>
    </row>
    <row r="6" spans="1:11" x14ac:dyDescent="0.2">
      <c r="A6" s="13">
        <f>TimeLine!A7</f>
        <v>42156</v>
      </c>
      <c r="B6" s="14">
        <f>IFERROR((TimeLine!B7/TimeLine!B6)-1, NA())</f>
        <v>-1.5162138475021791E-2</v>
      </c>
      <c r="C6" s="14">
        <f>IFERROR((TimeLine!C7/TimeLine!C6)-1, NA())</f>
        <v>-2.3474178403755874E-2</v>
      </c>
      <c r="D6" s="14">
        <f>IFERROR((TimeLine!D7/TimeLine!D6)-1, NA())</f>
        <v>-2.5054466230936767E-2</v>
      </c>
      <c r="E6" s="14">
        <f>IFERROR((TimeLine!E7/TimeLine!E6)-1, NA())</f>
        <v>3.0100334448160515E-2</v>
      </c>
      <c r="F6" s="14">
        <f>IFERROR((TimeLine!F7/TimeLine!F6)-1, NA())</f>
        <v>-9.0909090909090939E-2</v>
      </c>
      <c r="G6" s="14">
        <f>IFERROR((TimeLine!G7/TimeLine!G6)-1, NA())</f>
        <v>-1.9135093761960542E-3</v>
      </c>
      <c r="H6" s="14">
        <f>IFERROR((TimeLine!H7/TimeLine!H6)-1, NA())</f>
        <v>-4.2783799201369099E-2</v>
      </c>
      <c r="I6" s="14">
        <f>IFERROR((TimeLine!I7/TimeLine!I6)-1, NA())</f>
        <v>-3.9338035811177341E-2</v>
      </c>
      <c r="J6" s="14">
        <f>IFERROR((TimeLine!J7/TimeLine!J6)-1, NA())</f>
        <v>-5.6229466767753422E-2</v>
      </c>
      <c r="K6" s="14">
        <f>IFERROR((TimeLine!K7/TimeLine!K6)-1, NA())</f>
        <v>-3.7483266398929072E-2</v>
      </c>
    </row>
    <row r="7" spans="1:11" x14ac:dyDescent="0.2">
      <c r="A7" s="13">
        <f>TimeLine!A8</f>
        <v>42186</v>
      </c>
      <c r="B7" s="14">
        <f>IFERROR((TimeLine!B8/TimeLine!B7)-1, NA())</f>
        <v>-6.6209842484648895E-2</v>
      </c>
      <c r="C7" s="14">
        <f>IFERROR((TimeLine!C8/TimeLine!C7)-1, NA())</f>
        <v>-4.7956730769230904E-2</v>
      </c>
      <c r="D7" s="14">
        <f>IFERROR((TimeLine!D8/TimeLine!D7)-1, NA())</f>
        <v>2.2589264027204292E-2</v>
      </c>
      <c r="E7" s="14">
        <f>IFERROR((TimeLine!E8/TimeLine!E7)-1, NA())</f>
        <v>1.1363636363636243E-2</v>
      </c>
      <c r="F7" s="14">
        <f>IFERROR((TimeLine!F8/TimeLine!F7)-1, NA())</f>
        <v>0</v>
      </c>
      <c r="G7" s="14">
        <f>IFERROR((TimeLine!G8/TimeLine!G7)-1, NA())</f>
        <v>-1.9683026584866981E-2</v>
      </c>
      <c r="H7" s="14">
        <f>IFERROR((TimeLine!H8/TimeLine!H7)-1, NA())</f>
        <v>4.3163630171973555E-2</v>
      </c>
      <c r="I7" s="14">
        <f>IFERROR((TimeLine!I8/TimeLine!I7)-1, NA())</f>
        <v>2.2686623364397862E-2</v>
      </c>
      <c r="J7" s="14">
        <f>IFERROR((TimeLine!J8/TimeLine!J7)-1, NA())</f>
        <v>5.77051814165217E-2</v>
      </c>
      <c r="K7" s="14">
        <f>IFERROR((TimeLine!K8/TimeLine!K7)-1, NA())</f>
        <v>-5.5632823365786566E-3</v>
      </c>
    </row>
    <row r="8" spans="1:11" x14ac:dyDescent="0.2">
      <c r="A8" s="13">
        <f>TimeLine!A9</f>
        <v>42217</v>
      </c>
      <c r="B8" s="14">
        <f>IFERROR((TimeLine!B9/TimeLine!B8)-1, NA())</f>
        <v>3.7072333936910118E-2</v>
      </c>
      <c r="C8" s="14">
        <f>IFERROR((TimeLine!C9/TimeLine!C8)-1, NA())</f>
        <v>-5.0119934351723239E-2</v>
      </c>
      <c r="D8" s="14">
        <f>IFERROR((TimeLine!D9/TimeLine!D8)-1, NA())</f>
        <v>-6.0950118764845684E-2</v>
      </c>
      <c r="E8" s="14">
        <f>IFERROR((TimeLine!E9/TimeLine!E8)-1, NA())</f>
        <v>-6.4643221946592777E-2</v>
      </c>
      <c r="F8" s="14">
        <f>IFERROR((TimeLine!F9/TimeLine!F8)-1, NA())</f>
        <v>0.12000000000000011</v>
      </c>
      <c r="G8" s="14">
        <f>IFERROR((TimeLine!G9/TimeLine!G8)-1, NA())</f>
        <v>-7.8617992177314244E-2</v>
      </c>
      <c r="H8" s="14">
        <f>IFERROR((TimeLine!H9/TimeLine!H8)-1, NA())</f>
        <v>-9.0590059577246862E-3</v>
      </c>
      <c r="I8" s="14">
        <f>IFERROR((TimeLine!I9/TimeLine!I8)-1, NA())</f>
        <v>-5.7989690721649501E-2</v>
      </c>
      <c r="J8" s="14">
        <f>IFERROR((TimeLine!J9/TimeLine!J8)-1, NA())</f>
        <v>-6.2911392405063271E-2</v>
      </c>
      <c r="K8" s="14">
        <f>IFERROR((TimeLine!K9/TimeLine!K8)-1, NA())</f>
        <v>-7.4325674325674274E-2</v>
      </c>
    </row>
    <row r="9" spans="1:11" x14ac:dyDescent="0.2">
      <c r="A9" s="13">
        <f>TimeLine!A10</f>
        <v>42248</v>
      </c>
      <c r="B9" s="14">
        <f>IFERROR((TimeLine!B10/TimeLine!B9)-1, NA())</f>
        <v>-1.8011394964160932E-2</v>
      </c>
      <c r="C9" s="14">
        <f>IFERROR((TimeLine!C10/TimeLine!C9)-1, NA())</f>
        <v>-1.1828814460393411E-2</v>
      </c>
      <c r="D9" s="14">
        <f>IFERROR((TimeLine!D10/TimeLine!D9)-1, NA())</f>
        <v>-3.0555977133606471E-2</v>
      </c>
      <c r="E9" s="14">
        <f>IFERROR((TimeLine!E10/TimeLine!E9)-1, NA())</f>
        <v>-4.8829953198127884E-2</v>
      </c>
      <c r="F9" s="14">
        <f>IFERROR((TimeLine!F10/TimeLine!F9)-1, NA())</f>
        <v>0.10714285714285698</v>
      </c>
      <c r="G9" s="14">
        <f>IFERROR((TimeLine!G10/TimeLine!G9)-1, NA())</f>
        <v>1.7970850431583418E-2</v>
      </c>
      <c r="H9" s="14">
        <f>IFERROR((TimeLine!H10/TimeLine!H9)-1, NA())</f>
        <v>1.7460056003953284E-2</v>
      </c>
      <c r="I9" s="14">
        <f>IFERROR((TimeLine!I10/TimeLine!I9)-1, NA())</f>
        <v>-2.2864959937463403E-2</v>
      </c>
      <c r="J9" s="14">
        <f>IFERROR((TimeLine!J10/TimeLine!J9)-1, NA())</f>
        <v>2.0397136296096186E-2</v>
      </c>
      <c r="K9" s="14">
        <f>IFERROR((TimeLine!K10/TimeLine!K9)-1, NA())</f>
        <v>-4.3384416145046401E-2</v>
      </c>
    </row>
    <row r="10" spans="1:11" x14ac:dyDescent="0.2">
      <c r="A10" s="13">
        <f>TimeLine!A11</f>
        <v>42278</v>
      </c>
      <c r="B10" s="14">
        <f>IFERROR((TimeLine!B11/TimeLine!B10)-1, NA())</f>
        <v>2.2833614074490027E-2</v>
      </c>
      <c r="C10" s="14">
        <f>IFERROR((TimeLine!C11/TimeLine!C10)-1, NA())</f>
        <v>0.11284465366509755</v>
      </c>
      <c r="D10" s="14">
        <f>IFERROR((TimeLine!D11/TimeLine!D10)-1, NA())</f>
        <v>8.5059750560976921E-2</v>
      </c>
      <c r="E10" s="14">
        <f>IFERROR((TimeLine!E11/TimeLine!E10)-1, NA())</f>
        <v>5.3796949319337317E-2</v>
      </c>
      <c r="F10" s="14">
        <f>IFERROR((TimeLine!F11/TimeLine!F10)-1, NA())</f>
        <v>0.14516129032258052</v>
      </c>
      <c r="G10" s="14">
        <f>IFERROR((TimeLine!G11/TimeLine!G10)-1, NA())</f>
        <v>6.1718098415346034E-2</v>
      </c>
      <c r="H10" s="14">
        <f>IFERROR((TimeLine!H11/TimeLine!H10)-1, NA())</f>
        <v>-6.1518536506395272E-3</v>
      </c>
      <c r="I10" s="14">
        <f>IFERROR((TimeLine!I11/TimeLine!I10)-1, NA())</f>
        <v>0.10460000000000003</v>
      </c>
      <c r="J10" s="14">
        <f>IFERROR((TimeLine!J11/TimeLine!J10)-1, NA())</f>
        <v>5.7585385226370134E-2</v>
      </c>
      <c r="K10" s="14">
        <f>IFERROR((TimeLine!K11/TimeLine!K10)-1, NA())</f>
        <v>6.25E-2</v>
      </c>
    </row>
    <row r="11" spans="1:11" x14ac:dyDescent="0.2">
      <c r="A11" s="13">
        <f>TimeLine!A12</f>
        <v>42309</v>
      </c>
      <c r="B11" s="14">
        <f>IFERROR((TimeLine!B12/TimeLine!B11)-1, NA())</f>
        <v>-6.7520585544373235E-2</v>
      </c>
      <c r="C11" s="14">
        <f>IFERROR((TimeLine!C12/TimeLine!C11)-1, NA())</f>
        <v>-1.3052936910804891E-2</v>
      </c>
      <c r="D11" s="14">
        <f>IFERROR((TimeLine!D12/TimeLine!D11)-1, NA())</f>
        <v>3.655076227576437E-3</v>
      </c>
      <c r="E11" s="14">
        <f>IFERROR((TimeLine!E12/TimeLine!E11)-1, NA())</f>
        <v>3.7821011673151883E-2</v>
      </c>
      <c r="F11" s="14">
        <f>IFERROR((TimeLine!F12/TimeLine!F11)-1, NA())</f>
        <v>0.11267605633802824</v>
      </c>
      <c r="G11" s="14">
        <f>IFERROR((TimeLine!G12/TimeLine!G11)-1, NA())</f>
        <v>-2.01623461639171E-2</v>
      </c>
      <c r="H11" s="14">
        <f>IFERROR((TimeLine!H12/TimeLine!H11)-1, NA())</f>
        <v>-1.0832383124287359E-2</v>
      </c>
      <c r="I11" s="14">
        <f>IFERROR((TimeLine!I12/TimeLine!I11)-1, NA())</f>
        <v>1.1859496650371115E-2</v>
      </c>
      <c r="J11" s="14">
        <f>IFERROR((TimeLine!J12/TimeLine!J11)-1, NA())</f>
        <v>-6.2586055826762133E-3</v>
      </c>
      <c r="K11" s="14">
        <f>IFERROR((TimeLine!K12/TimeLine!K11)-1, NA())</f>
        <v>-1.3166277341261523E-2</v>
      </c>
    </row>
    <row r="12" spans="1:11" x14ac:dyDescent="0.2">
      <c r="A12" s="13">
        <f>TimeLine!A13</f>
        <v>42339</v>
      </c>
      <c r="B12" s="14">
        <f>IFERROR((TimeLine!B13/TimeLine!B12)-1, NA())</f>
        <v>-4.5133437990582115E-3</v>
      </c>
      <c r="C12" s="14">
        <f>IFERROR((TimeLine!C13/TimeLine!C12)-1, NA())</f>
        <v>-4.5432280186137541E-2</v>
      </c>
      <c r="D12" s="14">
        <f>IFERROR((TimeLine!D13/TimeLine!D12)-1, NA())</f>
        <v>-2.3096458862427505E-2</v>
      </c>
      <c r="E12" s="14">
        <f>IFERROR((TimeLine!E13/TimeLine!E12)-1, NA())</f>
        <v>-9.7480503899221027E-3</v>
      </c>
      <c r="F12" s="14">
        <f>IFERROR((TimeLine!F13/TimeLine!F12)-1, NA())</f>
        <v>3.7974683544303778E-2</v>
      </c>
      <c r="G12" s="14">
        <f>IFERROR((TimeLine!G13/TimeLine!G12)-1, NA())</f>
        <v>6.106360235168351E-2</v>
      </c>
      <c r="H12" s="14">
        <f>IFERROR((TimeLine!H13/TimeLine!H12)-1, NA())</f>
        <v>-7.1634417455743726E-3</v>
      </c>
      <c r="I12" s="14">
        <f>IFERROR((TimeLine!I13/TimeLine!I12)-1, NA())</f>
        <v>-3.1135367272076442E-2</v>
      </c>
      <c r="J12" s="14">
        <f>IFERROR((TimeLine!J13/TimeLine!J12)-1, NA())</f>
        <v>4.282655246252709E-3</v>
      </c>
      <c r="K12" s="14">
        <f>IFERROR((TimeLine!K13/TimeLine!K12)-1, NA())</f>
        <v>-2.9266193242952432E-2</v>
      </c>
    </row>
    <row r="13" spans="1:11" x14ac:dyDescent="0.2">
      <c r="A13" s="13">
        <f>TimeLine!A14</f>
        <v>42370</v>
      </c>
      <c r="B13" s="14">
        <f>IFERROR((TimeLine!B14/TimeLine!B13)-1, NA())</f>
        <v>5.410999408633943E-2</v>
      </c>
      <c r="C13" s="14">
        <f>IFERROR((TimeLine!C14/TimeLine!C13)-1, NA())</f>
        <v>-1.2828736369469018E-3</v>
      </c>
      <c r="D13" s="14">
        <f>IFERROR((TimeLine!D14/TimeLine!D13)-1, NA())</f>
        <v>-4.9786628733997196E-2</v>
      </c>
      <c r="E13" s="14">
        <f>IFERROR((TimeLine!E14/TimeLine!E13)-1, NA())</f>
        <v>-9.8894441920339249E-2</v>
      </c>
      <c r="F13" s="14">
        <f>IFERROR((TimeLine!F14/TimeLine!F13)-1, NA())</f>
        <v>-0.1097560975609756</v>
      </c>
      <c r="G13" s="14">
        <f>IFERROR((TimeLine!G14/TimeLine!G13)-1, NA())</f>
        <v>2.8711749149981092E-2</v>
      </c>
      <c r="H13" s="14">
        <f>IFERROR((TimeLine!H14/TimeLine!H13)-1, NA())</f>
        <v>5.57306352628959E-2</v>
      </c>
      <c r="I13" s="14">
        <f>IFERROR((TimeLine!I14/TimeLine!I13)-1, NA())</f>
        <v>-5.8731184781604995E-2</v>
      </c>
      <c r="J13" s="14">
        <f>IFERROR((TimeLine!J14/TimeLine!J13)-1, NA())</f>
        <v>-3.4365985200050297E-2</v>
      </c>
      <c r="K13" s="14">
        <f>IFERROR((TimeLine!K14/TimeLine!K13)-1, NA())</f>
        <v>-5.4533362890711645E-2</v>
      </c>
    </row>
    <row r="14" spans="1:11" x14ac:dyDescent="0.2">
      <c r="A14" s="13">
        <f>TimeLine!A15</f>
        <v>42401</v>
      </c>
      <c r="B14" s="14">
        <f>IFERROR((TimeLine!B15/TimeLine!B14)-1, NA())</f>
        <v>0.10930341280972411</v>
      </c>
      <c r="C14" s="14">
        <f>IFERROR((TimeLine!C15/TimeLine!C14)-1, NA())</f>
        <v>2.9543994861914058E-2</v>
      </c>
      <c r="D14" s="14">
        <f>IFERROR((TimeLine!D15/TimeLine!D14)-1, NA())</f>
        <v>-8.2593433822009121E-4</v>
      </c>
      <c r="E14" s="14">
        <f>IFERROR((TimeLine!E15/TimeLine!E14)-1, NA())</f>
        <v>-5.3781512605042048E-2</v>
      </c>
      <c r="F14" s="14">
        <f>IFERROR((TimeLine!F15/TimeLine!F14)-1, NA())</f>
        <v>6.8493150684931559E-2</v>
      </c>
      <c r="G14" s="14">
        <f>IFERROR((TimeLine!G15/TimeLine!G14)-1, NA())</f>
        <v>-1.713796058269057E-2</v>
      </c>
      <c r="H14" s="14">
        <f>IFERROR((TimeLine!H15/TimeLine!H14)-1, NA())</f>
        <v>2.8908091123330593E-2</v>
      </c>
      <c r="I14" s="14">
        <f>IFERROR((TimeLine!I15/TimeLine!I14)-1, NA())</f>
        <v>-9.7125478269401988E-3</v>
      </c>
      <c r="J14" s="14">
        <f>IFERROR((TimeLine!J15/TimeLine!J14)-1, NA())</f>
        <v>-3.6368359527211291E-3</v>
      </c>
      <c r="K14" s="14">
        <f>IFERROR((TimeLine!K15/TimeLine!K14)-1, NA())</f>
        <v>-2.4618991793669331E-2</v>
      </c>
    </row>
    <row r="15" spans="1:11" x14ac:dyDescent="0.2">
      <c r="A15" s="13">
        <f>TimeLine!A16</f>
        <v>42430</v>
      </c>
      <c r="B15" s="14">
        <f>IFERROR((TimeLine!B16/TimeLine!B15)-1, NA())</f>
        <v>-8.4288604180714488E-3</v>
      </c>
      <c r="C15" s="14">
        <f>IFERROR((TimeLine!C16/TimeLine!C15)-1, NA())</f>
        <v>4.2919525888958088E-2</v>
      </c>
      <c r="D15" s="14">
        <f>IFERROR((TimeLine!D16/TimeLine!D15)-1, NA())</f>
        <v>6.1789625955775973E-2</v>
      </c>
      <c r="E15" s="14">
        <f>IFERROR((TimeLine!E16/TimeLine!E15)-1, NA())</f>
        <v>5.1865008880994656E-2</v>
      </c>
      <c r="F15" s="14">
        <f>IFERROR((TimeLine!F16/TimeLine!F15)-1, NA())</f>
        <v>0.14102564102564097</v>
      </c>
      <c r="G15" s="14">
        <f>IFERROR((TimeLine!G16/TimeLine!G15)-1, NA())</f>
        <v>2.5158799352347661E-2</v>
      </c>
      <c r="H15" s="14">
        <f>IFERROR((TimeLine!H16/TimeLine!H15)-1, NA())</f>
        <v>-2.8248587570619543E-3</v>
      </c>
      <c r="I15" s="14">
        <f>IFERROR((TimeLine!I16/TimeLine!I15)-1, NA())</f>
        <v>8.5100059441252318E-2</v>
      </c>
      <c r="J15" s="14">
        <f>IFERROR((TimeLine!J16/TimeLine!J15)-1, NA())</f>
        <v>9.2426020075609516E-2</v>
      </c>
      <c r="K15" s="14">
        <f>IFERROR((TimeLine!K16/TimeLine!K15)-1, NA())</f>
        <v>7.9807692307692246E-2</v>
      </c>
    </row>
    <row r="16" spans="1:11" x14ac:dyDescent="0.2">
      <c r="A16" s="13">
        <f>TimeLine!A17</f>
        <v>42461</v>
      </c>
      <c r="B16" s="14">
        <f>IFERROR((TimeLine!B17/TimeLine!B16)-1, NA())</f>
        <v>5.1088065283917183E-2</v>
      </c>
      <c r="C16" s="14">
        <f>IFERROR((TimeLine!C17/TimeLine!C16)-1, NA())</f>
        <v>5.7542768273717071E-2</v>
      </c>
      <c r="D16" s="14">
        <f>IFERROR((TimeLine!D17/TimeLine!D16)-1, NA())</f>
        <v>3.9412222654728879E-3</v>
      </c>
      <c r="E16" s="14">
        <f>IFERROR((TimeLine!E17/TimeLine!E16)-1, NA())</f>
        <v>6.7207024653833214E-2</v>
      </c>
      <c r="F16" s="14">
        <f>IFERROR((TimeLine!F17/TimeLine!F16)-1, NA())</f>
        <v>0</v>
      </c>
      <c r="G16" s="14">
        <f>IFERROR((TimeLine!G17/TimeLine!G16)-1, NA())</f>
        <v>-2.6606730652411592E-2</v>
      </c>
      <c r="H16" s="14">
        <f>IFERROR((TimeLine!H17/TimeLine!H16)-1, NA())</f>
        <v>-9.4173493606922731E-3</v>
      </c>
      <c r="I16" s="14">
        <f>IFERROR((TimeLine!I17/TimeLine!I16)-1, NA())</f>
        <v>-4.6745183967862758E-2</v>
      </c>
      <c r="J16" s="14">
        <f>IFERROR((TimeLine!J17/TimeLine!J16)-1, NA())</f>
        <v>-2.350835322195699E-2</v>
      </c>
      <c r="K16" s="14">
        <f>IFERROR((TimeLine!K17/TimeLine!K16)-1, NA())</f>
        <v>2.1593944790739172E-2</v>
      </c>
    </row>
    <row r="17" spans="1:11" x14ac:dyDescent="0.2">
      <c r="A17" s="13">
        <f>TimeLine!A18</f>
        <v>42491</v>
      </c>
      <c r="B17" s="14">
        <f>IFERROR((TimeLine!B18/TimeLine!B17)-1, NA())</f>
        <v>-6.13829357056207E-2</v>
      </c>
      <c r="C17" s="14">
        <f>IFERROR((TimeLine!C18/TimeLine!C17)-1, NA())</f>
        <v>7.0135746606334592E-3</v>
      </c>
      <c r="D17" s="14">
        <f>IFERROR((TimeLine!D18/TimeLine!D17)-1, NA())</f>
        <v>1.7011583385838192E-2</v>
      </c>
      <c r="E17" s="14">
        <f>IFERROR((TimeLine!E18/TimeLine!E17)-1, NA())</f>
        <v>3.2753164556961867E-2</v>
      </c>
      <c r="F17" s="14">
        <f>IFERROR((TimeLine!F18/TimeLine!F17)-1, NA())</f>
        <v>0.31460674157303359</v>
      </c>
      <c r="G17" s="14">
        <f>IFERROR((TimeLine!G18/TimeLine!G17)-1, NA())</f>
        <v>1.1482775836245684E-2</v>
      </c>
      <c r="H17" s="14">
        <f>IFERROR((TimeLine!H18/TimeLine!H17)-1, NA())</f>
        <v>6.0287525119802066E-3</v>
      </c>
      <c r="I17" s="14">
        <f>IFERROR((TimeLine!I18/TimeLine!I17)-1, NA())</f>
        <v>5.3443156785748513E-2</v>
      </c>
      <c r="J17" s="14">
        <f>IFERROR((TimeLine!J18/TimeLine!J17)-1, NA())</f>
        <v>2.248564096297212E-2</v>
      </c>
      <c r="K17" s="14">
        <f>IFERROR((TimeLine!K18/TimeLine!K17)-1, NA())</f>
        <v>-9.8060579646982449E-3</v>
      </c>
    </row>
    <row r="18" spans="1:11" x14ac:dyDescent="0.2">
      <c r="A18" s="13">
        <f>TimeLine!A19</f>
        <v>42522</v>
      </c>
      <c r="B18" s="14">
        <f>IFERROR((TimeLine!B19/TimeLine!B18)-1, NA())</f>
        <v>8.9694985352403833E-2</v>
      </c>
      <c r="C18" s="14">
        <f>IFERROR((TimeLine!C19/TimeLine!C18)-1, NA())</f>
        <v>5.3021792855538097E-2</v>
      </c>
      <c r="D18" s="14">
        <f>IFERROR((TimeLine!D19/TimeLine!D18)-1, NA())</f>
        <v>-1.7632481890964558E-3</v>
      </c>
      <c r="E18" s="14">
        <f>IFERROR((TimeLine!E19/TimeLine!E18)-1, NA())</f>
        <v>-4.7954649915734615E-2</v>
      </c>
      <c r="F18" s="14">
        <f>IFERROR((TimeLine!F19/TimeLine!F18)-1, NA())</f>
        <v>8.5470085470085166E-3</v>
      </c>
      <c r="G18" s="14">
        <f>IFERROR((TimeLine!G19/TimeLine!G18)-1, NA())</f>
        <v>4.4792694965449131E-2</v>
      </c>
      <c r="H18" s="14">
        <f>IFERROR((TimeLine!H19/TimeLine!H18)-1, NA())</f>
        <v>6.714812538414261E-2</v>
      </c>
      <c r="I18" s="14">
        <f>IFERROR((TimeLine!I19/TimeLine!I18)-1, NA())</f>
        <v>-2.6366033275752265E-2</v>
      </c>
      <c r="J18" s="14">
        <f>IFERROR((TimeLine!J19/TimeLine!J18)-1, NA())</f>
        <v>5.9758575355563615E-2</v>
      </c>
      <c r="K18" s="14">
        <f>IFERROR((TimeLine!K19/TimeLine!K18)-1, NA())</f>
        <v>-2.1126760563380254E-2</v>
      </c>
    </row>
    <row r="19" spans="1:11" x14ac:dyDescent="0.2">
      <c r="A19" s="13">
        <f>TimeLine!A20</f>
        <v>42552</v>
      </c>
      <c r="B19" s="14">
        <f>IFERROR((TimeLine!B20/TimeLine!B19)-1, NA())</f>
        <v>1.9846603937692553E-2</v>
      </c>
      <c r="C19" s="14">
        <f>IFERROR((TimeLine!C20/TimeLine!C19)-1, NA())</f>
        <v>-5.1098783870279441E-2</v>
      </c>
      <c r="D19" s="14">
        <f>IFERROR((TimeLine!D20/TimeLine!D19)-1, NA())</f>
        <v>3.6520742827135244E-2</v>
      </c>
      <c r="E19" s="14">
        <f>IFERROR((TimeLine!E20/TimeLine!E19)-1, NA())</f>
        <v>2.9449629868039784E-2</v>
      </c>
      <c r="F19" s="14">
        <f>IFERROR((TimeLine!F20/TimeLine!F19)-1, NA())</f>
        <v>0.21186440677966112</v>
      </c>
      <c r="G19" s="14">
        <f>IFERROR((TimeLine!G20/TimeLine!G19)-1, NA())</f>
        <v>1.086571394826974E-2</v>
      </c>
      <c r="H19" s="14">
        <f>IFERROR((TimeLine!H20/TimeLine!H19)-1, NA())</f>
        <v>1.9150467962562923E-2</v>
      </c>
      <c r="I19" s="14">
        <f>IFERROR((TimeLine!I20/TimeLine!I19)-1, NA())</f>
        <v>7.5730693808945704E-2</v>
      </c>
      <c r="J19" s="14">
        <f>IFERROR((TimeLine!J20/TimeLine!J19)-1, NA())</f>
        <v>4.2629976316679752E-2</v>
      </c>
      <c r="K19" s="14">
        <f>IFERROR((TimeLine!K20/TimeLine!K19)-1, NA())</f>
        <v>4.5188848920863389E-2</v>
      </c>
    </row>
    <row r="20" spans="1:11" x14ac:dyDescent="0.2">
      <c r="A20" s="13">
        <f>TimeLine!A21</f>
        <v>42583</v>
      </c>
      <c r="B20" s="14">
        <f>IFERROR((TimeLine!B21/TimeLine!B20)-1, NA())</f>
        <v>-3.2563188091176865E-2</v>
      </c>
      <c r="C20" s="14">
        <f>IFERROR((TimeLine!C21/TimeLine!C20)-1, NA())</f>
        <v>-2.0348510399100683E-2</v>
      </c>
      <c r="D20" s="14">
        <f>IFERROR((TimeLine!D21/TimeLine!D20)-1, NA())</f>
        <v>1.1974944731023562E-3</v>
      </c>
      <c r="E20" s="14">
        <f>IFERROR((TimeLine!E21/TimeLine!E20)-1, NA())</f>
        <v>5.5182116617164212E-2</v>
      </c>
      <c r="F20" s="14">
        <f>IFERROR((TimeLine!F21/TimeLine!F20)-1, NA())</f>
        <v>6.9930069930070005E-2</v>
      </c>
      <c r="G20" s="14">
        <f>IFERROR((TimeLine!G21/TimeLine!G20)-1, NA())</f>
        <v>2.0095805584764648E-2</v>
      </c>
      <c r="H20" s="14">
        <f>IFERROR((TimeLine!H21/TimeLine!H20)-1, NA())</f>
        <v>-1.1938400678157657E-2</v>
      </c>
      <c r="I20" s="14">
        <f>IFERROR((TimeLine!I21/TimeLine!I20)-1, NA())</f>
        <v>2.3350694444444375E-2</v>
      </c>
      <c r="J20" s="14">
        <f>IFERROR((TimeLine!J21/TimeLine!J20)-1, NA())</f>
        <v>-3.764196863169289E-2</v>
      </c>
      <c r="K20" s="14">
        <f>IFERROR((TimeLine!K21/TimeLine!K20)-1, NA())</f>
        <v>4.5171004517101654E-3</v>
      </c>
    </row>
    <row r="21" spans="1:11" x14ac:dyDescent="0.2">
      <c r="A21" s="13">
        <f>TimeLine!A22</f>
        <v>42614</v>
      </c>
      <c r="B21" s="14">
        <f>IFERROR((TimeLine!B22/TimeLine!B21)-1, NA())</f>
        <v>6.8921301490623144E-3</v>
      </c>
      <c r="C21" s="14">
        <f>IFERROR((TimeLine!C22/TimeLine!C21)-1, NA())</f>
        <v>1.6066100527887262E-3</v>
      </c>
      <c r="D21" s="14">
        <f>IFERROR((TimeLine!D22/TimeLine!D21)-1, NA())</f>
        <v>-4.9682583494341515E-3</v>
      </c>
      <c r="E21" s="14">
        <f>IFERROR((TimeLine!E22/TimeLine!E21)-1, NA())</f>
        <v>-1.3481481481481428E-2</v>
      </c>
      <c r="F21" s="14">
        <f>IFERROR((TimeLine!F22/TimeLine!F21)-1, NA())</f>
        <v>0.11764705882352944</v>
      </c>
      <c r="G21" s="14">
        <f>IFERROR((TimeLine!G22/TimeLine!G21)-1, NA())</f>
        <v>2.7946397892566699E-2</v>
      </c>
      <c r="H21" s="14">
        <f>IFERROR((TimeLine!H22/TimeLine!H21)-1, NA())</f>
        <v>-1.6872810466862176E-2</v>
      </c>
      <c r="I21" s="14">
        <f>IFERROR((TimeLine!I22/TimeLine!I21)-1, NA())</f>
        <v>2.1036559504622909E-2</v>
      </c>
      <c r="J21" s="14">
        <f>IFERROR((TimeLine!J22/TimeLine!J21)-1, NA())</f>
        <v>-2.5064628526469623E-2</v>
      </c>
      <c r="K21" s="14">
        <f>IFERROR((TimeLine!K22/TimeLine!K21)-1, NA())</f>
        <v>1.0920770877944186E-2</v>
      </c>
    </row>
    <row r="22" spans="1:11" x14ac:dyDescent="0.2">
      <c r="A22" s="13">
        <f>TimeLine!A23</f>
        <v>42644</v>
      </c>
      <c r="B22" s="14">
        <f>IFERROR((TimeLine!B23/TimeLine!B22)-1, NA())</f>
        <v>-2.9449219993632592E-2</v>
      </c>
      <c r="C22" s="14">
        <f>IFERROR((TimeLine!C23/TimeLine!C22)-1, NA())</f>
        <v>-4.5371219065078017E-2</v>
      </c>
      <c r="D22" s="14">
        <f>IFERROR((TimeLine!D23/TimeLine!D22)-1, NA())</f>
        <v>-1.7337031900138689E-2</v>
      </c>
      <c r="E22" s="14">
        <f>IFERROR((TimeLine!E23/TimeLine!E22)-1, NA())</f>
        <v>4.0096110527106266E-2</v>
      </c>
      <c r="F22" s="14">
        <f>IFERROR((TimeLine!F23/TimeLine!F22)-1, NA())</f>
        <v>4.0935672514619936E-2</v>
      </c>
      <c r="G22" s="14">
        <f>IFERROR((TimeLine!G23/TimeLine!G22)-1, NA())</f>
        <v>-3.2869080779944326E-2</v>
      </c>
      <c r="H22" s="14">
        <f>IFERROR((TimeLine!H23/TimeLine!H22)-1, NA())</f>
        <v>-4.5523961893680354E-2</v>
      </c>
      <c r="I22" s="14">
        <f>IFERROR((TimeLine!I23/TimeLine!I22)-1, NA())</f>
        <v>-5.4000166154357654E-3</v>
      </c>
      <c r="J22" s="14">
        <f>IFERROR((TimeLine!J23/TimeLine!J22)-1, NA())</f>
        <v>-5.7412958266082392E-2</v>
      </c>
      <c r="K22" s="14">
        <f>IFERROR((TimeLine!K23/TimeLine!K22)-1, NA())</f>
        <v>-1.9063757678457915E-2</v>
      </c>
    </row>
    <row r="23" spans="1:11" x14ac:dyDescent="0.2">
      <c r="A23" s="13">
        <f>TimeLine!A24</f>
        <v>42675</v>
      </c>
      <c r="B23" s="14">
        <f>IFERROR((TimeLine!B24/TimeLine!B23)-1, NA())</f>
        <v>-8.3565688043300002E-2</v>
      </c>
      <c r="C23" s="14">
        <f>IFERROR((TimeLine!C24/TimeLine!C23)-1, NA())</f>
        <v>4.776764282285173E-2</v>
      </c>
      <c r="D23" s="14">
        <f>IFERROR((TimeLine!D24/TimeLine!D23)-1, NA())</f>
        <v>3.683839096683128E-2</v>
      </c>
      <c r="E23" s="14">
        <f>IFERROR((TimeLine!E24/TimeLine!E23)-1, NA())</f>
        <v>0.15752237943979197</v>
      </c>
      <c r="F23" s="14">
        <f>IFERROR((TimeLine!F24/TimeLine!F23)-1, NA())</f>
        <v>0.297752808988764</v>
      </c>
      <c r="G23" s="14">
        <f>IFERROR((TimeLine!G24/TimeLine!G23)-1, NA())</f>
        <v>-5.0000000000000044E-2</v>
      </c>
      <c r="H23" s="14">
        <f>IFERROR((TimeLine!H24/TimeLine!H23)-1, NA())</f>
        <v>-8.3885714285714341E-2</v>
      </c>
      <c r="I23" s="14">
        <f>IFERROR((TimeLine!I24/TimeLine!I23)-1, NA())</f>
        <v>5.2622786501836938E-3</v>
      </c>
      <c r="J23" s="14">
        <f>IFERROR((TimeLine!J24/TimeLine!J23)-1, NA())</f>
        <v>-1.6756360078277965E-2</v>
      </c>
      <c r="K23" s="14">
        <f>IFERROR((TimeLine!K24/TimeLine!K23)-1, NA())</f>
        <v>-2.0082055711509339E-2</v>
      </c>
    </row>
    <row r="24" spans="1:11" x14ac:dyDescent="0.2">
      <c r="A24" s="13">
        <f>TimeLine!A25</f>
        <v>42705</v>
      </c>
      <c r="B24" s="14">
        <f>IFERROR((TimeLine!B25/TimeLine!B24)-1, NA())</f>
        <v>-1.9149888143176752E-2</v>
      </c>
      <c r="C24" s="14">
        <f>IFERROR((TimeLine!C25/TimeLine!C24)-1, NA())</f>
        <v>3.3906071019473183E-2</v>
      </c>
      <c r="D24" s="14">
        <f>IFERROR((TimeLine!D25/TimeLine!D24)-1, NA())</f>
        <v>1.4293493057446316E-2</v>
      </c>
      <c r="E24" s="14">
        <f>IFERROR((TimeLine!E25/TimeLine!E24)-1, NA())</f>
        <v>7.6337782212797967E-2</v>
      </c>
      <c r="F24" s="14">
        <f>IFERROR((TimeLine!F25/TimeLine!F24)-1, NA())</f>
        <v>0.1558441558441559</v>
      </c>
      <c r="G24" s="14">
        <f>IFERROR((TimeLine!G25/TimeLine!G24)-1, NA())</f>
        <v>1.9645888915837961E-2</v>
      </c>
      <c r="H24" s="14">
        <f>IFERROR((TimeLine!H25/TimeLine!H24)-1, NA())</f>
        <v>-9.2315369261477542E-3</v>
      </c>
      <c r="I24" s="14">
        <f>IFERROR((TimeLine!I25/TimeLine!I24)-1, NA())</f>
        <v>9.5554632322394362E-3</v>
      </c>
      <c r="J24" s="14">
        <f>IFERROR((TimeLine!J25/TimeLine!J24)-1, NA())</f>
        <v>2.6620226396318003E-2</v>
      </c>
      <c r="K24" s="14">
        <f>IFERROR((TimeLine!K25/TimeLine!K24)-1, NA())</f>
        <v>1.1018069634200156E-2</v>
      </c>
    </row>
    <row r="25" spans="1:11" x14ac:dyDescent="0.2">
      <c r="A25" s="13">
        <f>TimeLine!A26</f>
        <v>42736</v>
      </c>
      <c r="B25" s="14">
        <f>IFERROR((TimeLine!B26/TimeLine!B25)-1, NA())</f>
        <v>5.4192135754036919E-2</v>
      </c>
      <c r="C25" s="14">
        <f>IFERROR((TimeLine!C26/TimeLine!C25)-1, NA())</f>
        <v>-7.0573897629071625E-2</v>
      </c>
      <c r="D25" s="14">
        <f>IFERROR((TimeLine!D26/TimeLine!D25)-1, NA())</f>
        <v>1.7894689750816539E-2</v>
      </c>
      <c r="E25" s="14">
        <f>IFERROR((TimeLine!E26/TimeLine!E25)-1, NA())</f>
        <v>-1.9237455093290223E-2</v>
      </c>
      <c r="F25" s="14">
        <f>IFERROR((TimeLine!F26/TimeLine!F25)-1, NA())</f>
        <v>2.2471910112359605E-2</v>
      </c>
      <c r="G25" s="14">
        <f>IFERROR((TimeLine!G26/TimeLine!G25)-1, NA())</f>
        <v>4.186489058039955E-2</v>
      </c>
      <c r="H25" s="14">
        <f>IFERROR((TimeLine!H26/TimeLine!H25)-1, NA())</f>
        <v>8.1423654830856673E-3</v>
      </c>
      <c r="I25" s="14">
        <f>IFERROR((TimeLine!I26/TimeLine!I25)-1, NA())</f>
        <v>4.312757201646078E-2</v>
      </c>
      <c r="J25" s="14">
        <f>IFERROR((TimeLine!J26/TimeLine!J25)-1, NA())</f>
        <v>-1.938688961589663E-3</v>
      </c>
      <c r="K25" s="14">
        <f>IFERROR((TimeLine!K26/TimeLine!K25)-1, NA())</f>
        <v>4.0758500435919665E-2</v>
      </c>
    </row>
    <row r="26" spans="1:11" x14ac:dyDescent="0.2">
      <c r="A26" s="13">
        <f>TimeLine!A27</f>
        <v>42767</v>
      </c>
      <c r="B26" s="14">
        <f>IFERROR((TimeLine!B27/TimeLine!B26)-1, NA())</f>
        <v>3.1847684984855018E-2</v>
      </c>
      <c r="C26" s="14">
        <f>IFERROR((TimeLine!C27/TimeLine!C26)-1, NA())</f>
        <v>-3.0635355823101729E-2</v>
      </c>
      <c r="D26" s="14">
        <f>IFERROR((TimeLine!D27/TimeLine!D26)-1, NA())</f>
        <v>3.9291521997099288E-2</v>
      </c>
      <c r="E26" s="14">
        <f>IFERROR((TimeLine!E27/TimeLine!E26)-1, NA())</f>
        <v>7.0778683681909538E-2</v>
      </c>
      <c r="F26" s="14">
        <f>IFERROR((TimeLine!F27/TimeLine!F26)-1, NA())</f>
        <v>-6.9597069597069572E-2</v>
      </c>
      <c r="G26" s="14">
        <f>IFERROR((TimeLine!G27/TimeLine!G26)-1, NA())</f>
        <v>3.9611872146118721E-2</v>
      </c>
      <c r="H26" s="14">
        <f>IFERROR((TimeLine!H27/TimeLine!H26)-1, NA())</f>
        <v>1.3655287260616156E-2</v>
      </c>
      <c r="I26" s="14">
        <f>IFERROR((TimeLine!I27/TimeLine!I26)-1, NA())</f>
        <v>4.9392456998579748E-2</v>
      </c>
      <c r="J26" s="14">
        <f>IFERROR((TimeLine!J27/TimeLine!J26)-1, NA())</f>
        <v>3.5085589413621499E-2</v>
      </c>
      <c r="K26" s="14">
        <f>IFERROR((TimeLine!K27/TimeLine!K26)-1, NA())</f>
        <v>1.3403141361256532E-2</v>
      </c>
    </row>
    <row r="27" spans="1:11" x14ac:dyDescent="0.2">
      <c r="A27" s="13">
        <f>TimeLine!A28</f>
        <v>42795</v>
      </c>
      <c r="B27" s="14">
        <f>IFERROR((TimeLine!B28/TimeLine!B27)-1, NA())</f>
        <v>-4.2774469512707469E-3</v>
      </c>
      <c r="C27" s="14">
        <f>IFERROR((TimeLine!C28/TimeLine!C27)-1, NA())</f>
        <v>8.4849975405805189E-3</v>
      </c>
      <c r="D27" s="14">
        <f>IFERROR((TimeLine!D28/TimeLine!D27)-1, NA())</f>
        <v>-3.0870723559013324E-3</v>
      </c>
      <c r="E27" s="14">
        <f>IFERROR((TimeLine!E28/TimeLine!E27)-1, NA())</f>
        <v>-3.0677554623703363E-2</v>
      </c>
      <c r="F27" s="14">
        <f>IFERROR((TimeLine!F28/TimeLine!F27)-1, NA())</f>
        <v>7.0866141732283561E-2</v>
      </c>
      <c r="G27" s="14">
        <f>IFERROR((TimeLine!G28/TimeLine!G27)-1, NA())</f>
        <v>-1.3396288569232473E-2</v>
      </c>
      <c r="H27" s="14">
        <f>IFERROR((TimeLine!H28/TimeLine!H27)-1, NA())</f>
        <v>-8.4606538524725217E-3</v>
      </c>
      <c r="I27" s="14">
        <f>IFERROR((TimeLine!I28/TimeLine!I27)-1, NA())</f>
        <v>1.9774436090225445E-2</v>
      </c>
      <c r="J27" s="14">
        <f>IFERROR((TimeLine!J28/TimeLine!J27)-1, NA())</f>
        <v>-3.131597466572833E-2</v>
      </c>
      <c r="K27" s="14">
        <f>IFERROR((TimeLine!K28/TimeLine!K27)-1, NA())</f>
        <v>2.6658400495970236E-2</v>
      </c>
    </row>
    <row r="28" spans="1:11" x14ac:dyDescent="0.2">
      <c r="A28" s="13">
        <f>TimeLine!A29</f>
        <v>42826</v>
      </c>
      <c r="B28" s="14">
        <f>IFERROR((TimeLine!B29/TimeLine!B28)-1, NA())</f>
        <v>1.7267520215633381E-2</v>
      </c>
      <c r="C28" s="14">
        <f>IFERROR((TimeLine!C29/TimeLine!C28)-1, NA())</f>
        <v>-4.3897085721253948E-3</v>
      </c>
      <c r="D28" s="14">
        <f>IFERROR((TimeLine!D29/TimeLine!D28)-1, NA())</f>
        <v>9.9261898701958895E-3</v>
      </c>
      <c r="E28" s="14">
        <f>IFERROR((TimeLine!E29/TimeLine!E28)-1, NA())</f>
        <v>-9.5628415300547109E-3</v>
      </c>
      <c r="F28" s="14">
        <f>IFERROR((TimeLine!F29/TimeLine!F28)-1, NA())</f>
        <v>-4.0441176470588314E-2</v>
      </c>
      <c r="G28" s="14">
        <f>IFERROR((TimeLine!G29/TimeLine!G28)-1, NA())</f>
        <v>-2.8046744574290461E-2</v>
      </c>
      <c r="H28" s="14">
        <f>IFERROR((TimeLine!H29/TimeLine!H28)-1, NA())</f>
        <v>1.3586281169745584E-2</v>
      </c>
      <c r="I28" s="14">
        <f>IFERROR((TimeLine!I29/TimeLine!I28)-1, NA())</f>
        <v>2.3372410233724272E-2</v>
      </c>
      <c r="J28" s="14">
        <f>IFERROR((TimeLine!J29/TimeLine!J28)-1, NA())</f>
        <v>2.4216006780481969E-3</v>
      </c>
      <c r="K28" s="14">
        <f>IFERROR((TimeLine!K29/TimeLine!K28)-1, NA())</f>
        <v>2.0531400966183666E-2</v>
      </c>
    </row>
    <row r="29" spans="1:11" x14ac:dyDescent="0.2">
      <c r="A29" s="13">
        <f>TimeLine!A30</f>
        <v>42856</v>
      </c>
      <c r="B29" s="14">
        <f>IFERROR((TimeLine!B30/TimeLine!B29)-1, NA())</f>
        <v>-1.2420303055393767E-3</v>
      </c>
      <c r="C29" s="14">
        <f>IFERROR((TimeLine!C30/TimeLine!C29)-1, NA())</f>
        <v>-1.4084507042253613E-2</v>
      </c>
      <c r="D29" s="14">
        <f>IFERROR((TimeLine!D30/TimeLine!D29)-1, NA())</f>
        <v>1.4112903225806495E-2</v>
      </c>
      <c r="E29" s="14">
        <f>IFERROR((TimeLine!E30/TimeLine!E29)-1, NA())</f>
        <v>-5.5747126436781591E-2</v>
      </c>
      <c r="F29" s="14">
        <f>IFERROR((TimeLine!F30/TimeLine!F29)-1, NA())</f>
        <v>0.3831417624521074</v>
      </c>
      <c r="G29" s="14">
        <f>IFERROR((TimeLine!G30/TimeLine!G29)-1, NA())</f>
        <v>8.7026222374899653E-3</v>
      </c>
      <c r="H29" s="14">
        <f>IFERROR((TimeLine!H30/TimeLine!H29)-1, NA())</f>
        <v>1.6755210461790071E-2</v>
      </c>
      <c r="I29" s="14">
        <f>IFERROR((TimeLine!I30/TimeLine!I29)-1, NA())</f>
        <v>4.4092219020172685E-2</v>
      </c>
      <c r="J29" s="14">
        <f>IFERROR((TimeLine!J30/TimeLine!J29)-1, NA())</f>
        <v>-7.2472520835851206E-3</v>
      </c>
      <c r="K29" s="14">
        <f>IFERROR((TimeLine!K30/TimeLine!K29)-1, NA())</f>
        <v>2.9585798816567976E-2</v>
      </c>
    </row>
    <row r="30" spans="1:11" x14ac:dyDescent="0.2">
      <c r="A30" s="13">
        <f>TimeLine!A31</f>
        <v>42887</v>
      </c>
      <c r="B30" s="14">
        <f>IFERROR((TimeLine!B31/TimeLine!B30)-1, NA())</f>
        <v>-2.155529762891728E-2</v>
      </c>
      <c r="C30" s="14">
        <f>IFERROR((TimeLine!C31/TimeLine!C30)-1, NA())</f>
        <v>2.8571428571428914E-3</v>
      </c>
      <c r="D30" s="14">
        <f>IFERROR((TimeLine!D31/TimeLine!D30)-1, NA())</f>
        <v>1.4910536779324524E-3</v>
      </c>
      <c r="E30" s="14">
        <f>IFERROR((TimeLine!E31/TimeLine!E30)-1, NA())</f>
        <v>0.11259890444309195</v>
      </c>
      <c r="F30" s="14">
        <f>IFERROR((TimeLine!F31/TimeLine!F30)-1, NA())</f>
        <v>0</v>
      </c>
      <c r="G30" s="14">
        <f>IFERROR((TimeLine!G31/TimeLine!G30)-1, NA())</f>
        <v>-1.0670904756499011E-2</v>
      </c>
      <c r="H30" s="14">
        <f>IFERROR((TimeLine!H31/TimeLine!H30)-1, NA())</f>
        <v>5.7877813504823017E-3</v>
      </c>
      <c r="I30" s="14">
        <f>IFERROR((TimeLine!I31/TimeLine!I30)-1, NA())</f>
        <v>-2.8153463980126858E-2</v>
      </c>
      <c r="J30" s="14">
        <f>IFERROR((TimeLine!J31/TimeLine!J30)-1, NA())</f>
        <v>1.2653607494829133E-2</v>
      </c>
      <c r="K30" s="14">
        <f>IFERROR((TimeLine!K31/TimeLine!K30)-1, NA())</f>
        <v>-4.4061302681993597E-3</v>
      </c>
    </row>
    <row r="31" spans="1:11" x14ac:dyDescent="0.2">
      <c r="A31" s="13">
        <f>TimeLine!A32</f>
        <v>42917</v>
      </c>
      <c r="B31" s="14">
        <f>IFERROR((TimeLine!B32/TimeLine!B31)-1, NA())</f>
        <v>2.313167259786475E-2</v>
      </c>
      <c r="C31" s="14">
        <f>IFERROR((TimeLine!C32/TimeLine!C31)-1, NA())</f>
        <v>-8.5470085470085166E-3</v>
      </c>
      <c r="D31" s="14">
        <f>IFERROR((TimeLine!D32/TimeLine!D31)-1, NA())</f>
        <v>2.0554177005789986E-2</v>
      </c>
      <c r="E31" s="14">
        <f>IFERROR((TimeLine!E32/TimeLine!E31)-1, NA())</f>
        <v>4.3763676148795838E-3</v>
      </c>
      <c r="F31" s="14">
        <f>IFERROR((TimeLine!F32/TimeLine!F31)-1, NA())</f>
        <v>0.12465373961218829</v>
      </c>
      <c r="G31" s="14">
        <f>IFERROR((TimeLine!G32/TimeLine!G31)-1, NA())</f>
        <v>4.2111302352266122E-2</v>
      </c>
      <c r="H31" s="14">
        <f>IFERROR((TimeLine!H32/TimeLine!H31)-1, NA())</f>
        <v>-8.6317135549871526E-3</v>
      </c>
      <c r="I31" s="14">
        <f>IFERROR((TimeLine!I32/TimeLine!I31)-1, NA())</f>
        <v>4.1323487645555268E-2</v>
      </c>
      <c r="J31" s="14">
        <f>IFERROR((TimeLine!J32/TimeLine!J31)-1, NA())</f>
        <v>1.2375345428331075E-2</v>
      </c>
      <c r="K31" s="14">
        <f>IFERROR((TimeLine!K32/TimeLine!K31)-1, NA())</f>
        <v>3.3673273042139629E-2</v>
      </c>
    </row>
    <row r="32" spans="1:11" x14ac:dyDescent="0.2">
      <c r="A32" s="13">
        <f>TimeLine!A33</f>
        <v>42948</v>
      </c>
      <c r="B32" s="14">
        <f>IFERROR((TimeLine!B33/TimeLine!B32)-1, NA())</f>
        <v>4.1987577639751583E-2</v>
      </c>
      <c r="C32" s="14">
        <f>IFERROR((TimeLine!C33/TimeLine!C32)-1, NA())</f>
        <v>-4.6351824087956128E-2</v>
      </c>
      <c r="D32" s="14">
        <f>IFERROR((TimeLine!D33/TimeLine!D32)-1, NA())</f>
        <v>2.9176966405966009E-3</v>
      </c>
      <c r="E32" s="14">
        <f>IFERROR((TimeLine!E33/TimeLine!E32)-1, NA())</f>
        <v>-9.9128540305010171E-3</v>
      </c>
      <c r="F32" s="14">
        <f>IFERROR((TimeLine!F33/TimeLine!F32)-1, NA())</f>
        <v>4.4334975369458185E-2</v>
      </c>
      <c r="G32" s="14">
        <f>IFERROR((TimeLine!G33/TimeLine!G32)-1, NA())</f>
        <v>1.5965646333406802E-2</v>
      </c>
      <c r="H32" s="14">
        <f>IFERROR((TimeLine!H33/TimeLine!H32)-1, NA())</f>
        <v>3.1844566268945496E-2</v>
      </c>
      <c r="I32" s="14">
        <f>IFERROR((TimeLine!I33/TimeLine!I32)-1, NA())</f>
        <v>3.109232237828996E-2</v>
      </c>
      <c r="J32" s="14">
        <f>IFERROR((TimeLine!J33/TimeLine!J32)-1, NA())</f>
        <v>-2.6109660574412663E-3</v>
      </c>
      <c r="K32" s="14">
        <f>IFERROR((TimeLine!K33/TimeLine!K32)-1, NA())</f>
        <v>5.398361876396196E-3</v>
      </c>
    </row>
    <row r="33" spans="1:11" x14ac:dyDescent="0.2">
      <c r="A33" s="13">
        <f>TimeLine!A34</f>
        <v>42979</v>
      </c>
      <c r="B33" s="14">
        <f>IFERROR((TimeLine!B34/TimeLine!B33)-1, NA())</f>
        <v>-3.3698934986488571E-2</v>
      </c>
      <c r="C33" s="14">
        <f>IFERROR((TimeLine!C34/TimeLine!C33)-1, NA())</f>
        <v>7.4020699593868811E-2</v>
      </c>
      <c r="D33" s="14">
        <f>IFERROR((TimeLine!D34/TimeLine!D33)-1, NA())</f>
        <v>1.5111721685724611E-2</v>
      </c>
      <c r="E33" s="14">
        <f>IFERROR((TimeLine!E34/TimeLine!E33)-1, NA())</f>
        <v>5.0830674441632695E-2</v>
      </c>
      <c r="F33" s="14">
        <f>IFERROR((TimeLine!F34/TimeLine!F33)-1, NA())</f>
        <v>5.4245283018867774E-2</v>
      </c>
      <c r="G33" s="14">
        <f>IFERROR((TimeLine!G34/TimeLine!G33)-1, NA())</f>
        <v>-1.3980708789422258E-2</v>
      </c>
      <c r="H33" s="14">
        <f>IFERROR((TimeLine!H34/TimeLine!H33)-1, NA())</f>
        <v>-2.5236346589577185E-2</v>
      </c>
      <c r="I33" s="14">
        <f>IFERROR((TimeLine!I34/TimeLine!I33)-1, NA())</f>
        <v>5.0919190583256224E-3</v>
      </c>
      <c r="J33" s="14">
        <f>IFERROR((TimeLine!J34/TimeLine!J33)-1, NA())</f>
        <v>-1.1304140885292746E-2</v>
      </c>
      <c r="K33" s="14">
        <f>IFERROR((TimeLine!K34/TimeLine!K33)-1, NA())</f>
        <v>1.3330864654693464E-2</v>
      </c>
    </row>
    <row r="34" spans="1:11" x14ac:dyDescent="0.2">
      <c r="A34" s="13">
        <f>TimeLine!A35</f>
        <v>43009</v>
      </c>
      <c r="B34" s="14">
        <f>IFERROR((TimeLine!B35/TimeLine!B34)-1, NA())</f>
        <v>-7.4847836815264968E-3</v>
      </c>
      <c r="C34" s="14">
        <f>IFERROR((TimeLine!C35/TimeLine!C34)-1, NA())</f>
        <v>1.6711393022688315E-2</v>
      </c>
      <c r="D34" s="14">
        <f>IFERROR((TimeLine!D35/TimeLine!D34)-1, NA())</f>
        <v>2.356406480117812E-2</v>
      </c>
      <c r="E34" s="14">
        <f>IFERROR((TimeLine!E35/TimeLine!E34)-1, NA())</f>
        <v>5.3397549994764981E-2</v>
      </c>
      <c r="F34" s="14">
        <f>IFERROR((TimeLine!F35/TimeLine!F34)-1, NA())</f>
        <v>0.15659955257270708</v>
      </c>
      <c r="G34" s="14">
        <f>IFERROR((TimeLine!G35/TimeLine!G34)-1, NA())</f>
        <v>-5.1000219828533755E-2</v>
      </c>
      <c r="H34" s="14">
        <f>IFERROR((TimeLine!H35/TimeLine!H34)-1, NA())</f>
        <v>-2.4046168643796495E-3</v>
      </c>
      <c r="I34" s="14">
        <f>IFERROR((TimeLine!I35/TimeLine!I34)-1, NA())</f>
        <v>7.3952233699585257E-2</v>
      </c>
      <c r="J34" s="14">
        <f>IFERROR((TimeLine!J35/TimeLine!J34)-1, NA())</f>
        <v>-1.0711276928631608E-2</v>
      </c>
      <c r="K34" s="14">
        <f>IFERROR((TimeLine!K35/TimeLine!K34)-1, NA())</f>
        <v>2.0281381326512138E-2</v>
      </c>
    </row>
    <row r="35" spans="1:11" x14ac:dyDescent="0.2">
      <c r="A35" s="13">
        <f>TimeLine!A36</f>
        <v>43040</v>
      </c>
      <c r="B35" s="14">
        <f>IFERROR((TimeLine!B36/TimeLine!B35)-1, NA())</f>
        <v>3.5634374741029262E-3</v>
      </c>
      <c r="C35" s="14">
        <f>IFERROR((TimeLine!C36/TimeLine!C35)-1, NA())</f>
        <v>-7.1985602879409694E-4</v>
      </c>
      <c r="D35" s="14">
        <f>IFERROR((TimeLine!D36/TimeLine!D35)-1, NA())</f>
        <v>3.0565817616177382E-2</v>
      </c>
      <c r="E35" s="14">
        <f>IFERROR((TimeLine!E36/TimeLine!E35)-1, NA())</f>
        <v>3.8862936089851807E-2</v>
      </c>
      <c r="F35" s="14">
        <f>IFERROR((TimeLine!F36/TimeLine!F35)-1, NA())</f>
        <v>-2.9013539651837617E-2</v>
      </c>
      <c r="G35" s="14">
        <f>IFERROR((TimeLine!G36/TimeLine!G35)-1, NA())</f>
        <v>4.227472782024555E-2</v>
      </c>
      <c r="H35" s="14">
        <f>IFERROR((TimeLine!H36/TimeLine!H35)-1, NA())</f>
        <v>5.30290856500093E-3</v>
      </c>
      <c r="I35" s="14">
        <f>IFERROR((TimeLine!I36/TimeLine!I35)-1, NA())</f>
        <v>1.0904858175580401E-2</v>
      </c>
      <c r="J35" s="14">
        <f>IFERROR((TimeLine!J36/TimeLine!J35)-1, NA())</f>
        <v>2.6642335766423386E-2</v>
      </c>
      <c r="K35" s="14">
        <f>IFERROR((TimeLine!K36/TimeLine!K35)-1, NA())</f>
        <v>6.26790830945545E-3</v>
      </c>
    </row>
    <row r="36" spans="1:11" x14ac:dyDescent="0.2">
      <c r="A36" s="13">
        <f>TimeLine!A37</f>
        <v>43070</v>
      </c>
      <c r="B36" s="14">
        <f>IFERROR((TimeLine!B37/TimeLine!B36)-1, NA())</f>
        <v>2.1056977704376534E-2</v>
      </c>
      <c r="C36" s="14">
        <f>IFERROR((TimeLine!C37/TimeLine!C36)-1, NA())</f>
        <v>4.2021851362707974E-3</v>
      </c>
      <c r="D36" s="14">
        <f>IFERROR((TimeLine!D37/TimeLine!D36)-1, NA())</f>
        <v>6.9808686464662983E-3</v>
      </c>
      <c r="E36" s="14">
        <f>IFERROR((TimeLine!E37/TimeLine!E36)-1, NA())</f>
        <v>2.3153463451971001E-2</v>
      </c>
      <c r="F36" s="14">
        <f>IFERROR((TimeLine!F37/TimeLine!F36)-1, NA())</f>
        <v>-3.5856573705179251E-2</v>
      </c>
      <c r="G36" s="14">
        <f>IFERROR((TimeLine!G37/TimeLine!G36)-1, NA())</f>
        <v>2.1002333592621492E-2</v>
      </c>
      <c r="H36" s="14">
        <f>IFERROR((TimeLine!H37/TimeLine!H36)-1, NA())</f>
        <v>1.3906649616368227E-2</v>
      </c>
      <c r="I36" s="14">
        <f>IFERROR((TimeLine!I37/TimeLine!I36)-1, NA())</f>
        <v>-1.6968668565541245E-3</v>
      </c>
      <c r="J36" s="14">
        <f>IFERROR((TimeLine!J37/TimeLine!J36)-1, NA())</f>
        <v>-1.670814077497329E-2</v>
      </c>
      <c r="K36" s="14">
        <f>IFERROR((TimeLine!K37/TimeLine!K36)-1, NA())</f>
        <v>1.1033991813490074E-2</v>
      </c>
    </row>
    <row r="37" spans="1:11" x14ac:dyDescent="0.2">
      <c r="A37" s="13">
        <f>TimeLine!A38</f>
        <v>43101</v>
      </c>
      <c r="B37" s="14">
        <f>IFERROR((TimeLine!B38/TimeLine!B37)-1, NA())</f>
        <v>3.2349373230893708E-2</v>
      </c>
      <c r="C37" s="14">
        <f>IFERROR((TimeLine!C38/TimeLine!C37)-1, NA())</f>
        <v>4.3758967001434668E-2</v>
      </c>
      <c r="D37" s="14">
        <f>IFERROR((TimeLine!D38/TimeLine!D37)-1, NA())</f>
        <v>5.6359139623772592E-2</v>
      </c>
      <c r="E37" s="14">
        <f>IFERROR((TimeLine!E38/TimeLine!E37)-1, NA())</f>
        <v>8.1634561436319419E-2</v>
      </c>
      <c r="F37" s="14">
        <f>IFERROR((TimeLine!F38/TimeLine!F37)-1, NA())</f>
        <v>0.26859504132231393</v>
      </c>
      <c r="G37" s="14">
        <f>IFERROR((TimeLine!G38/TimeLine!G37)-1, NA())</f>
        <v>-6.0296038310840183E-2</v>
      </c>
      <c r="H37" s="14">
        <f>IFERROR((TimeLine!H38/TimeLine!H37)-1, NA())</f>
        <v>-3.2555573072678534E-2</v>
      </c>
      <c r="I37" s="14">
        <f>IFERROR((TimeLine!I38/TimeLine!I37)-1, NA())</f>
        <v>7.5517513506950795E-2</v>
      </c>
      <c r="J37" s="14">
        <f>IFERROR((TimeLine!J38/TimeLine!J37)-1, NA())</f>
        <v>-4.2540371173776848E-2</v>
      </c>
      <c r="K37" s="14">
        <f>IFERROR((TimeLine!K38/TimeLine!K37)-1, NA())</f>
        <v>5.720823798626995E-2</v>
      </c>
    </row>
    <row r="38" spans="1:11" x14ac:dyDescent="0.2">
      <c r="A38" s="13">
        <f>TimeLine!A39</f>
        <v>43132</v>
      </c>
      <c r="B38" s="14">
        <f>IFERROR((TimeLine!B39/TimeLine!B38)-1, NA())</f>
        <v>-2.0759890325107722E-2</v>
      </c>
      <c r="C38" s="14">
        <f>IFERROR((TimeLine!C39/TimeLine!C38)-1, NA())</f>
        <v>-0.13241695303550982</v>
      </c>
      <c r="D38" s="14">
        <f>IFERROR((TimeLine!D39/TimeLine!D38)-1, NA())</f>
        <v>-3.6360411493437383E-2</v>
      </c>
      <c r="E38" s="14">
        <f>IFERROR((TimeLine!E39/TimeLine!E38)-1, NA())</f>
        <v>-1.4696982795885383E-3</v>
      </c>
      <c r="F38" s="14">
        <f>IFERROR((TimeLine!F39/TimeLine!F38)-1, NA())</f>
        <v>-1.4657980456026065E-2</v>
      </c>
      <c r="G38" s="14">
        <f>IFERROR((TimeLine!G39/TimeLine!G38)-1, NA())</f>
        <v>-9.0572156590224773E-2</v>
      </c>
      <c r="H38" s="14">
        <f>IFERROR((TimeLine!H39/TimeLine!H38)-1, NA())</f>
        <v>-3.2428908987207739E-2</v>
      </c>
      <c r="I38" s="14">
        <f>IFERROR((TimeLine!I39/TimeLine!I38)-1, NA())</f>
        <v>9.5953039453644529E-4</v>
      </c>
      <c r="J38" s="14">
        <f>IFERROR((TimeLine!J39/TimeLine!J38)-1, NA())</f>
        <v>-7.6777847702957924E-2</v>
      </c>
      <c r="K38" s="14">
        <f>IFERROR((TimeLine!K39/TimeLine!K38)-1, NA())</f>
        <v>-5.2447552447552503E-2</v>
      </c>
    </row>
    <row r="39" spans="1:11" x14ac:dyDescent="0.2">
      <c r="A39" s="13">
        <f>TimeLine!A40</f>
        <v>43160</v>
      </c>
      <c r="B39" s="14">
        <f>IFERROR((TimeLine!B40/TimeLine!B39)-1, NA())</f>
        <v>6.3200000000001033E-3</v>
      </c>
      <c r="C39" s="14">
        <f>IFERROR((TimeLine!C40/TimeLine!C39)-1, NA())</f>
        <v>-1.4919461315024973E-2</v>
      </c>
      <c r="D39" s="14">
        <f>IFERROR((TimeLine!D40/TimeLine!D39)-1, NA())</f>
        <v>-3.1290263206331659E-2</v>
      </c>
      <c r="E39" s="14">
        <f>IFERROR((TimeLine!E40/TimeLine!E39)-1, NA())</f>
        <v>-4.7878787878787854E-2</v>
      </c>
      <c r="F39" s="14">
        <f>IFERROR((TimeLine!F40/TimeLine!F39)-1, NA())</f>
        <v>-4.2975206611570171E-2</v>
      </c>
      <c r="G39" s="14">
        <f>IFERROR((TimeLine!G40/TimeLine!G39)-1, NA())</f>
        <v>9.679062659195159E-3</v>
      </c>
      <c r="H39" s="14">
        <f>IFERROR((TimeLine!H40/TimeLine!H39)-1, NA())</f>
        <v>2.6526315789473731E-2</v>
      </c>
      <c r="I39" s="14">
        <f>IFERROR((TimeLine!I40/TimeLine!I39)-1, NA())</f>
        <v>-3.5750535694146879E-2</v>
      </c>
      <c r="J39" s="14">
        <f>IFERROR((TimeLine!J40/TimeLine!J39)-1, NA())</f>
        <v>2.8902522154055976E-2</v>
      </c>
      <c r="K39" s="14">
        <f>IFERROR((TimeLine!K40/TimeLine!K39)-1, NA())</f>
        <v>-6.3257775434897301E-3</v>
      </c>
    </row>
    <row r="40" spans="1:11" x14ac:dyDescent="0.2">
      <c r="A40" s="13">
        <f>TimeLine!A41</f>
        <v>43191</v>
      </c>
      <c r="B40" s="14">
        <f>IFERROR((TimeLine!B41/TimeLine!B40)-1, NA())</f>
        <v>-9.5397090388743555E-3</v>
      </c>
      <c r="C40" s="14">
        <f>IFERROR((TimeLine!C41/TimeLine!C40)-1, NA())</f>
        <v>4.2085511325559599E-2</v>
      </c>
      <c r="D40" s="14">
        <f>IFERROR((TimeLine!D41/TimeLine!D40)-1, NA())</f>
        <v>5.1681550446514013E-3</v>
      </c>
      <c r="E40" s="14">
        <f>IFERROR((TimeLine!E41/TimeLine!E40)-1, NA())</f>
        <v>-1.0821133036282626E-2</v>
      </c>
      <c r="F40" s="14">
        <f>IFERROR((TimeLine!F41/TimeLine!F40)-1, NA())</f>
        <v>-2.9360967184801412E-2</v>
      </c>
      <c r="G40" s="14">
        <f>IFERROR((TimeLine!G41/TimeLine!G40)-1, NA())</f>
        <v>-8.7537840565085734E-2</v>
      </c>
      <c r="H40" s="14">
        <f>IFERROR((TimeLine!H41/TimeLine!H40)-1, NA())</f>
        <v>-2.2969647251845915E-2</v>
      </c>
      <c r="I40" s="14">
        <f>IFERROR((TimeLine!I41/TimeLine!I40)-1, NA())</f>
        <v>-2.3391812865491968E-4</v>
      </c>
      <c r="J40" s="14">
        <f>IFERROR((TimeLine!J41/TimeLine!J40)-1, NA())</f>
        <v>8.2151848416589512E-3</v>
      </c>
      <c r="K40" s="14">
        <f>IFERROR((TimeLine!K41/TimeLine!K40)-1, NA())</f>
        <v>4.5977011494253706E-3</v>
      </c>
    </row>
    <row r="41" spans="1:11" x14ac:dyDescent="0.2">
      <c r="A41" s="13">
        <f>TimeLine!A42</f>
        <v>43221</v>
      </c>
      <c r="B41" s="14">
        <f>IFERROR((TimeLine!B42/TimeLine!B41)-1, NA())</f>
        <v>-1.1959226262139855E-2</v>
      </c>
      <c r="C41" s="14">
        <f>IFERROR((TimeLine!C42/TimeLine!C41)-1, NA())</f>
        <v>4.4887459807073871E-2</v>
      </c>
      <c r="D41" s="14">
        <f>IFERROR((TimeLine!D42/TimeLine!D41)-1, NA())</f>
        <v>2.4309099844996407E-2</v>
      </c>
      <c r="E41" s="14">
        <f>IFERROR((TimeLine!E42/TimeLine!E41)-1, NA())</f>
        <v>-1.6271373414230572E-2</v>
      </c>
      <c r="F41" s="14">
        <f>IFERROR((TimeLine!F42/TimeLine!F41)-1, NA())</f>
        <v>0.12099644128113884</v>
      </c>
      <c r="G41" s="14">
        <f>IFERROR((TimeLine!G42/TimeLine!G41)-1, NA())</f>
        <v>1.147359690351113E-2</v>
      </c>
      <c r="H41" s="14">
        <f>IFERROR((TimeLine!H42/TimeLine!H41)-1, NA())</f>
        <v>1.7800167926112609E-2</v>
      </c>
      <c r="I41" s="14">
        <f>IFERROR((TimeLine!I42/TimeLine!I41)-1, NA())</f>
        <v>7.0484323818436945E-2</v>
      </c>
      <c r="J41" s="14">
        <f>IFERROR((TimeLine!J42/TimeLine!J41)-1, NA())</f>
        <v>3.6798528058877622E-2</v>
      </c>
      <c r="K41" s="14">
        <f>IFERROR((TimeLine!K42/TimeLine!K41)-1, NA())</f>
        <v>-1.6370357331455754E-2</v>
      </c>
    </row>
    <row r="42" spans="1:11" x14ac:dyDescent="0.2">
      <c r="A42" s="13">
        <f>TimeLine!A43</f>
        <v>43252</v>
      </c>
      <c r="B42" s="14">
        <f>IFERROR((TimeLine!B43/TimeLine!B42)-1, NA())</f>
        <v>-3.6149471974004754E-2</v>
      </c>
      <c r="C42" s="14">
        <f>IFERROR((TimeLine!C43/TimeLine!C42)-1, NA())</f>
        <v>1.8340718857705607E-2</v>
      </c>
      <c r="D42" s="14">
        <f>IFERROR((TimeLine!D43/TimeLine!D42)-1, NA())</f>
        <v>1.2548903816342882E-3</v>
      </c>
      <c r="E42" s="14">
        <f>IFERROR((TimeLine!E43/TimeLine!E42)-1, NA())</f>
        <v>-2.6259228109522526E-2</v>
      </c>
      <c r="F42" s="14">
        <f>IFERROR((TimeLine!F43/TimeLine!F42)-1, NA())</f>
        <v>-6.0317460317460325E-2</v>
      </c>
      <c r="G42" s="14">
        <f>IFERROR((TimeLine!G43/TimeLine!G42)-1, NA())</f>
        <v>6.683066830668305E-2</v>
      </c>
      <c r="H42" s="14">
        <f>IFERROR((TimeLine!H43/TimeLine!H42)-1, NA())</f>
        <v>4.1247318924269027E-3</v>
      </c>
      <c r="I42" s="14">
        <f>IFERROR((TimeLine!I43/TimeLine!I42)-1, NA())</f>
        <v>-8.7973334790447666E-3</v>
      </c>
      <c r="J42" s="14">
        <f>IFERROR((TimeLine!J43/TimeLine!J42)-1, NA())</f>
        <v>3.2450247179617309E-2</v>
      </c>
      <c r="K42" s="14">
        <f>IFERROR((TimeLine!K43/TimeLine!K42)-1, NA())</f>
        <v>-3.1853972798854713E-2</v>
      </c>
    </row>
    <row r="43" spans="1:11" x14ac:dyDescent="0.2">
      <c r="A43" s="13">
        <f>TimeLine!A44</f>
        <v>43282</v>
      </c>
      <c r="B43" s="14">
        <f>IFERROR((TimeLine!B44/TimeLine!B43)-1, NA())</f>
        <v>-2.2418879056047336E-2</v>
      </c>
      <c r="C43" s="14">
        <f>IFERROR((TimeLine!C44/TimeLine!C43)-1, NA())</f>
        <v>-1.4746766590112426E-2</v>
      </c>
      <c r="D43" s="14">
        <f>IFERROR((TimeLine!D44/TimeLine!D43)-1, NA())</f>
        <v>3.7046593925095905E-2</v>
      </c>
      <c r="E43" s="14">
        <f>IFERROR((TimeLine!E44/TimeLine!E43)-1, NA())</f>
        <v>0.10316698656429946</v>
      </c>
      <c r="F43" s="14">
        <f>IFERROR((TimeLine!F44/TimeLine!F43)-1, NA())</f>
        <v>3.3783783783783772E-2</v>
      </c>
      <c r="G43" s="14">
        <f>IFERROR((TimeLine!G44/TimeLine!G43)-1, NA())</f>
        <v>3.6126056879323576E-2</v>
      </c>
      <c r="H43" s="14">
        <f>IFERROR((TimeLine!H44/TimeLine!H43)-1, NA())</f>
        <v>-1.6595465001643106E-2</v>
      </c>
      <c r="I43" s="14">
        <f>IFERROR((TimeLine!I44/TimeLine!I43)-1, NA())</f>
        <v>2.6240352811466305E-2</v>
      </c>
      <c r="J43" s="14">
        <f>IFERROR((TimeLine!J44/TimeLine!J43)-1, NA())</f>
        <v>6.0159607120933156E-3</v>
      </c>
      <c r="K43" s="14">
        <f>IFERROR((TimeLine!K44/TimeLine!K43)-1, NA())</f>
        <v>2.5508317929759716E-2</v>
      </c>
    </row>
    <row r="44" spans="1:11" x14ac:dyDescent="0.2">
      <c r="A44" s="13">
        <f>TimeLine!A45</f>
        <v>43313</v>
      </c>
      <c r="B44" s="14">
        <f>IFERROR((TimeLine!B45/TimeLine!B44)-1, NA())</f>
        <v>-2.1381153547719522E-2</v>
      </c>
      <c r="C44" s="14">
        <f>IFERROR((TimeLine!C45/TimeLine!C44)-1, NA())</f>
        <v>-1.643970065022704E-2</v>
      </c>
      <c r="D44" s="14">
        <f>IFERROR((TimeLine!D45/TimeLine!D44)-1, NA())</f>
        <v>3.1919809476415706E-2</v>
      </c>
      <c r="E44" s="14">
        <f>IFERROR((TimeLine!E45/TimeLine!E44)-1, NA())</f>
        <v>-3.2187907785994341E-3</v>
      </c>
      <c r="F44" s="14">
        <f>IFERROR((TimeLine!F45/TimeLine!F44)-1, NA())</f>
        <v>0.14705882352941169</v>
      </c>
      <c r="G44" s="14">
        <f>IFERROR((TimeLine!G45/TimeLine!G44)-1, NA())</f>
        <v>2.5593471810089197E-2</v>
      </c>
      <c r="H44" s="14">
        <f>IFERROR((TimeLine!H45/TimeLine!H44)-1, NA())</f>
        <v>1.0860484544695126E-2</v>
      </c>
      <c r="I44" s="14">
        <f>IFERROR((TimeLine!I45/TimeLine!I44)-1, NA())</f>
        <v>8.9385474860335323E-2</v>
      </c>
      <c r="J44" s="14">
        <f>IFERROR((TimeLine!J45/TimeLine!J44)-1, NA())</f>
        <v>2.5750549182328442E-2</v>
      </c>
      <c r="K44" s="14">
        <f>IFERROR((TimeLine!K45/TimeLine!K44)-1, NA())</f>
        <v>-2.3972602739726012E-2</v>
      </c>
    </row>
    <row r="45" spans="1:11" x14ac:dyDescent="0.2">
      <c r="A45" s="13">
        <f>TimeLine!A46</f>
        <v>43344</v>
      </c>
      <c r="B45" s="14">
        <f>IFERROR((TimeLine!B46/TimeLine!B45)-1, NA())</f>
        <v>-6.6073473702757957E-3</v>
      </c>
      <c r="C45" s="14">
        <f>IFERROR((TimeLine!C46/TimeLine!C45)-1, NA())</f>
        <v>6.0496445054259551E-2</v>
      </c>
      <c r="D45" s="14">
        <f>IFERROR((TimeLine!D46/TimeLine!D45)-1, NA())</f>
        <v>1.4122834211705015E-3</v>
      </c>
      <c r="E45" s="14">
        <f>IFERROR((TimeLine!E46/TimeLine!E45)-1, NA())</f>
        <v>-1.5185896316983749E-2</v>
      </c>
      <c r="F45" s="14">
        <f>IFERROR((TimeLine!F46/TimeLine!F45)-1, NA())</f>
        <v>1.4245014245015675E-3</v>
      </c>
      <c r="G45" s="14">
        <f>IFERROR((TimeLine!G46/TimeLine!G45)-1, NA())</f>
        <v>3.3755274261604296E-3</v>
      </c>
      <c r="H45" s="14">
        <f>IFERROR((TimeLine!H46/TimeLine!H45)-1, NA())</f>
        <v>-3.0826446280991737E-2</v>
      </c>
      <c r="I45" s="14">
        <f>IFERROR((TimeLine!I46/TimeLine!I45)-1, NA())</f>
        <v>-1.1834319526627946E-3</v>
      </c>
      <c r="J45" s="14">
        <f>IFERROR((TimeLine!J46/TimeLine!J45)-1, NA())</f>
        <v>-4.009518143961921E-2</v>
      </c>
      <c r="K45" s="14">
        <f>IFERROR((TimeLine!K46/TimeLine!K45)-1, NA())</f>
        <v>-2.7700831024930483E-3</v>
      </c>
    </row>
    <row r="46" spans="1:11" x14ac:dyDescent="0.2">
      <c r="A46" s="13">
        <f>TimeLine!A47</f>
        <v>43374</v>
      </c>
      <c r="B46" s="14">
        <f>IFERROR((TimeLine!B47/TimeLine!B46)-1, NA())</f>
        <v>2.1195459382759907E-2</v>
      </c>
      <c r="C46" s="14">
        <f>IFERROR((TimeLine!C47/TimeLine!C46)-1, NA())</f>
        <v>-6.2808750882145215E-2</v>
      </c>
      <c r="D46" s="14">
        <f>IFERROR((TimeLine!D47/TimeLine!D46)-1, NA())</f>
        <v>-6.9104292790313826E-2</v>
      </c>
      <c r="E46" s="14">
        <f>IFERROR((TimeLine!E47/TimeLine!E46)-1, NA())</f>
        <v>-3.3853243530662991E-2</v>
      </c>
      <c r="F46" s="14">
        <f>IFERROR((TimeLine!F47/TimeLine!F46)-1, NA())</f>
        <v>-0.25035561877667145</v>
      </c>
      <c r="G46" s="14">
        <f>IFERROR((TimeLine!G47/TimeLine!G46)-1, NA())</f>
        <v>6.5481196683887966E-2</v>
      </c>
      <c r="H46" s="14">
        <f>IFERROR((TimeLine!H47/TimeLine!H46)-1, NA())</f>
        <v>-3.1465848042977695E-2</v>
      </c>
      <c r="I46" s="14">
        <f>IFERROR((TimeLine!I47/TimeLine!I46)-1, NA())</f>
        <v>-8.4765007898894185E-2</v>
      </c>
      <c r="J46" s="14">
        <f>IFERROR((TimeLine!J47/TimeLine!J46)-1, NA())</f>
        <v>-2.9251363411006648E-2</v>
      </c>
      <c r="K46" s="14">
        <f>IFERROR((TimeLine!K47/TimeLine!K46)-1, NA())</f>
        <v>-8.5555555555555496E-2</v>
      </c>
    </row>
    <row r="47" spans="1:11" x14ac:dyDescent="0.2">
      <c r="A47" s="13">
        <f>TimeLine!A48</f>
        <v>43405</v>
      </c>
      <c r="B47" s="14">
        <f>IFERROR((TimeLine!B48/TimeLine!B47)-1, NA())</f>
        <v>3.3868866695614397E-3</v>
      </c>
      <c r="C47" s="14">
        <f>IFERROR((TimeLine!C48/TimeLine!C47)-1, NA())</f>
        <v>-2.2590361445784524E-3</v>
      </c>
      <c r="D47" s="14">
        <f>IFERROR((TimeLine!D48/TimeLine!D47)-1, NA())</f>
        <v>1.8549310867235658E-2</v>
      </c>
      <c r="E47" s="14">
        <f>IFERROR((TimeLine!E48/TimeLine!E47)-1, NA())</f>
        <v>1.9904604659695568E-2</v>
      </c>
      <c r="F47" s="14">
        <f>IFERROR((TimeLine!F48/TimeLine!F47)-1, NA())</f>
        <v>-0.22390891840607208</v>
      </c>
      <c r="G47" s="14">
        <f>IFERROR((TimeLine!G48/TimeLine!G47)-1, NA())</f>
        <v>6.5741993685160205E-2</v>
      </c>
      <c r="H47" s="14">
        <f>IFERROR((TimeLine!H48/TimeLine!H47)-1, NA())</f>
        <v>1.5407642190526483E-2</v>
      </c>
      <c r="I47" s="14">
        <f>IFERROR((TimeLine!I48/TimeLine!I47)-1, NA())</f>
        <v>-1.467177301904099E-2</v>
      </c>
      <c r="J47" s="14">
        <f>IFERROR((TimeLine!J48/TimeLine!J47)-1, NA())</f>
        <v>4.6731358529111588E-2</v>
      </c>
      <c r="K47" s="14">
        <f>IFERROR((TimeLine!K48/TimeLine!K47)-1, NA())</f>
        <v>1.6808424463345517E-2</v>
      </c>
    </row>
    <row r="48" spans="1:11" x14ac:dyDescent="0.2">
      <c r="A48" s="13">
        <f>TimeLine!A49</f>
        <v>43435</v>
      </c>
      <c r="B48" s="14">
        <f>IFERROR((TimeLine!B49/TimeLine!B48)-1, NA())</f>
        <v>4.9420114246148561E-2</v>
      </c>
      <c r="C48" s="14">
        <f>IFERROR((TimeLine!C49/TimeLine!C48)-1, NA())</f>
        <v>-0.14226415094339628</v>
      </c>
      <c r="D48" s="14">
        <f>IFERROR((TimeLine!D49/TimeLine!D48)-1, NA())</f>
        <v>-9.3343007436967107E-2</v>
      </c>
      <c r="E48" s="14">
        <f>IFERROR((TimeLine!E49/TimeLine!E48)-1, NA())</f>
        <v>-0.12204334922205229</v>
      </c>
      <c r="F48" s="14">
        <f>IFERROR((TimeLine!F49/TimeLine!F48)-1, NA())</f>
        <v>-0.18337408312958436</v>
      </c>
      <c r="G48" s="14">
        <f>IFERROR((TimeLine!G49/TimeLine!G48)-1, NA())</f>
        <v>-2.740450745952816E-2</v>
      </c>
      <c r="H48" s="14">
        <f>IFERROR((TimeLine!H49/TimeLine!H48)-1, NA())</f>
        <v>5.3585363738836378E-2</v>
      </c>
      <c r="I48" s="14">
        <f>IFERROR((TimeLine!I49/TimeLine!I48)-1, NA())</f>
        <v>-8.6713746099523648E-2</v>
      </c>
      <c r="J48" s="14">
        <f>IFERROR((TimeLine!J49/TimeLine!J48)-1, NA())</f>
        <v>-9.0387899487680001E-2</v>
      </c>
      <c r="K48" s="14">
        <f>IFERROR((TimeLine!K49/TimeLine!K48)-1, NA())</f>
        <v>-5.9549890460067756E-2</v>
      </c>
    </row>
    <row r="49" spans="1:11" x14ac:dyDescent="0.2">
      <c r="A49" s="13">
        <f>TimeLine!A50</f>
        <v>43466</v>
      </c>
      <c r="B49" s="14">
        <f>IFERROR((TimeLine!B50/TimeLine!B49)-1, NA())</f>
        <v>2.8865979381443196E-2</v>
      </c>
      <c r="C49" s="14">
        <f>IFERROR((TimeLine!C50/TimeLine!C49)-1, NA())</f>
        <v>7.4644376008212499E-2</v>
      </c>
      <c r="D49" s="14">
        <f>IFERROR((TimeLine!D50/TimeLine!D49)-1, NA())</f>
        <v>8.0065620998719611E-2</v>
      </c>
      <c r="E49" s="14">
        <f>IFERROR((TimeLine!E50/TimeLine!E49)-1, NA())</f>
        <v>6.023355869698821E-2</v>
      </c>
      <c r="F49" s="14">
        <f>IFERROR((TimeLine!F50/TimeLine!F49)-1, NA())</f>
        <v>7.4850299401197695E-2</v>
      </c>
      <c r="G49" s="14">
        <f>IFERROR((TimeLine!G50/TimeLine!G49)-1, NA())</f>
        <v>4.9499564838990429E-2</v>
      </c>
      <c r="H49" s="14">
        <f>IFERROR((TimeLine!H50/TimeLine!H49)-1, NA())</f>
        <v>3.7856966504814515E-3</v>
      </c>
      <c r="I49" s="14">
        <f>IFERROR((TimeLine!I50/TimeLine!I49)-1, NA())</f>
        <v>7.9901696337589145E-2</v>
      </c>
      <c r="J49" s="14">
        <f>IFERROR((TimeLine!J50/TimeLine!J49)-1, NA())</f>
        <v>0.11854633230521672</v>
      </c>
      <c r="K49" s="14">
        <f>IFERROR((TimeLine!K50/TimeLine!K49)-1, NA())</f>
        <v>7.6662431173231793E-2</v>
      </c>
    </row>
    <row r="50" spans="1:11" x14ac:dyDescent="0.2">
      <c r="A50" s="13">
        <f>TimeLine!A51</f>
        <v>43497</v>
      </c>
      <c r="B50" s="14">
        <f>IFERROR((TimeLine!B51/TimeLine!B50)-1, NA())</f>
        <v>-6.0921843687374855E-3</v>
      </c>
      <c r="C50" s="14">
        <f>IFERROR((TimeLine!C51/TimeLine!C50)-1, NA())</f>
        <v>7.8466157205240084E-2</v>
      </c>
      <c r="D50" s="14">
        <f>IFERROR((TimeLine!D51/TimeLine!D50)-1, NA())</f>
        <v>3.241581150668682E-2</v>
      </c>
      <c r="E50" s="14">
        <f>IFERROR((TimeLine!E51/TimeLine!E50)-1, NA())</f>
        <v>8.3091787439613096E-3</v>
      </c>
      <c r="F50" s="14">
        <f>IFERROR((TimeLine!F51/TimeLine!F50)-1, NA())</f>
        <v>7.5208913649025044E-2</v>
      </c>
      <c r="G50" s="14">
        <f>IFERROR((TimeLine!G51/TimeLine!G50)-1, NA())</f>
        <v>2.1561107079921094E-2</v>
      </c>
      <c r="H50" s="14">
        <f>IFERROR((TimeLine!H51/TimeLine!H50)-1, NA())</f>
        <v>-1.5987537919160522E-2</v>
      </c>
      <c r="I50" s="14">
        <f>IFERROR((TimeLine!I51/TimeLine!I50)-1, NA())</f>
        <v>7.3268206039076578E-2</v>
      </c>
      <c r="J50" s="14">
        <f>IFERROR((TimeLine!J51/TimeLine!J50)-1, NA())</f>
        <v>6.9536026855292477E-3</v>
      </c>
      <c r="K50" s="14">
        <f>IFERROR((TimeLine!K51/TimeLine!K50)-1, NA())</f>
        <v>1.6325727773406795E-2</v>
      </c>
    </row>
    <row r="51" spans="1:11" x14ac:dyDescent="0.2">
      <c r="A51" s="13">
        <f>TimeLine!A52</f>
        <v>43525</v>
      </c>
      <c r="B51" s="14">
        <f>IFERROR((TimeLine!B52/TimeLine!B51)-1, NA())</f>
        <v>-1.5969029760464437E-2</v>
      </c>
      <c r="C51" s="14">
        <f>IFERROR((TimeLine!C52/TimeLine!C51)-1, NA())</f>
        <v>2.2396558269011768E-2</v>
      </c>
      <c r="D51" s="14">
        <f>IFERROR((TimeLine!D52/TimeLine!D51)-1, NA())</f>
        <v>1.3635711209990076E-2</v>
      </c>
      <c r="E51" s="14">
        <f>IFERROR((TimeLine!E52/TimeLine!E51)-1, NA())</f>
        <v>-2.9992334227673445E-2</v>
      </c>
      <c r="F51" s="14">
        <f>IFERROR((TimeLine!F52/TimeLine!F51)-1, NA())</f>
        <v>0.16321243523316076</v>
      </c>
      <c r="G51" s="14">
        <f>IFERROR((TimeLine!G52/TimeLine!G51)-1, NA())</f>
        <v>5.580923389142578E-2</v>
      </c>
      <c r="H51" s="14">
        <f>IFERROR((TimeLine!H52/TimeLine!H51)-1, NA())</f>
        <v>5.3491084819196733E-2</v>
      </c>
      <c r="I51" s="14">
        <f>IFERROR((TimeLine!I52/TimeLine!I51)-1, NA())</f>
        <v>3.7598262308647046E-2</v>
      </c>
      <c r="J51" s="14">
        <f>IFERROR((TimeLine!J52/TimeLine!J51)-1, NA())</f>
        <v>3.476604357661639E-2</v>
      </c>
      <c r="K51" s="14">
        <f>IFERROR((TimeLine!K52/TimeLine!K51)-1, NA())</f>
        <v>4.4513257209211066E-3</v>
      </c>
    </row>
    <row r="52" spans="1:11" x14ac:dyDescent="0.2">
      <c r="A52" s="13">
        <f>TimeLine!A53</f>
        <v>43556</v>
      </c>
      <c r="B52" s="14">
        <f>IFERROR((TimeLine!B53/TimeLine!B52)-1, NA())</f>
        <v>-6.6388000983526041E-3</v>
      </c>
      <c r="C52" s="14">
        <f>IFERROR((TimeLine!C53/TimeLine!C52)-1, NA())</f>
        <v>-6.4356435643564414E-3</v>
      </c>
      <c r="D52" s="14">
        <f>IFERROR((TimeLine!D53/TimeLine!D52)-1, NA())</f>
        <v>4.0852449730954365E-2</v>
      </c>
      <c r="E52" s="14">
        <f>IFERROR((TimeLine!E53/TimeLine!E52)-1, NA())</f>
        <v>0.1463992887483947</v>
      </c>
      <c r="F52" s="14">
        <f>IFERROR((TimeLine!F53/TimeLine!F52)-1, NA())</f>
        <v>8.9086859688196629E-3</v>
      </c>
      <c r="G52" s="14">
        <f>IFERROR((TimeLine!G53/TimeLine!G52)-1, NA())</f>
        <v>2.3354156655454261E-2</v>
      </c>
      <c r="H52" s="14">
        <f>IFERROR((TimeLine!H53/TimeLine!H52)-1, NA())</f>
        <v>-2.2065801961404508E-2</v>
      </c>
      <c r="I52" s="14">
        <f>IFERROR((TimeLine!I53/TimeLine!I52)-1, NA())</f>
        <v>6.3699347056771272E-2</v>
      </c>
      <c r="J52" s="14">
        <f>IFERROR((TimeLine!J53/TimeLine!J52)-1, NA())</f>
        <v>-1.6108618110689532E-3</v>
      </c>
      <c r="K52" s="14">
        <f>IFERROR((TimeLine!K53/TimeLine!K52)-1, NA())</f>
        <v>2.7745664739884379E-2</v>
      </c>
    </row>
    <row r="53" spans="1:11" x14ac:dyDescent="0.2">
      <c r="A53" s="13">
        <f>TimeLine!A54</f>
        <v>43586</v>
      </c>
      <c r="B53" s="14">
        <f>IFERROR((TimeLine!B54/TimeLine!B53)-1, NA())</f>
        <v>1.7574257425742479E-2</v>
      </c>
      <c r="C53" s="14">
        <f>IFERROR((TimeLine!C54/TimeLine!C53)-1, NA())</f>
        <v>-0.11846038863976094</v>
      </c>
      <c r="D53" s="14">
        <f>IFERROR((TimeLine!D54/TimeLine!D53)-1, NA())</f>
        <v>-6.3771172029113643E-2</v>
      </c>
      <c r="E53" s="14">
        <f>IFERROR((TimeLine!E54/TimeLine!E53)-1, NA())</f>
        <v>-8.6945282205945773E-2</v>
      </c>
      <c r="F53" s="14">
        <f>IFERROR((TimeLine!F54/TimeLine!F53)-1, NA())</f>
        <v>-0.25165562913907291</v>
      </c>
      <c r="G53" s="14">
        <f>IFERROR((TimeLine!G54/TimeLine!G53)-1, NA())</f>
        <v>-3.3527422990232925E-2</v>
      </c>
      <c r="H53" s="14">
        <f>IFERROR((TimeLine!H54/TimeLine!H53)-1, NA())</f>
        <v>6.6154468257177523E-2</v>
      </c>
      <c r="I53" s="14">
        <f>IFERROR((TimeLine!I54/TimeLine!I53)-1, NA())</f>
        <v>-8.8796213860643736E-2</v>
      </c>
      <c r="J53" s="14">
        <f>IFERROR((TimeLine!J54/TimeLine!J53)-1, NA())</f>
        <v>1.3829664630633509E-3</v>
      </c>
      <c r="K53" s="14">
        <f>IFERROR((TimeLine!K54/TimeLine!K53)-1, NA())</f>
        <v>-5.418072740907387E-2</v>
      </c>
    </row>
    <row r="54" spans="1:11" x14ac:dyDescent="0.2">
      <c r="A54" s="13">
        <f>TimeLine!A55</f>
        <v>43617</v>
      </c>
      <c r="B54" s="14">
        <f>IFERROR((TimeLine!B55/TimeLine!B54)-1, NA())</f>
        <v>8.0029189978107373E-2</v>
      </c>
      <c r="C54" s="14">
        <f>IFERROR((TimeLine!C55/TimeLine!C54)-1, NA())</f>
        <v>8.280344778861104E-2</v>
      </c>
      <c r="D54" s="14">
        <f>IFERROR((TimeLine!D55/TimeLine!D54)-1, NA())</f>
        <v>6.4409488865477593E-2</v>
      </c>
      <c r="E54" s="14">
        <f>IFERROR((TimeLine!E55/TimeLine!E54)-1, NA())</f>
        <v>5.5115137787844493E-2</v>
      </c>
      <c r="F54" s="14">
        <f>IFERROR((TimeLine!F55/TimeLine!F54)-1, NA())</f>
        <v>0.21238938053097356</v>
      </c>
      <c r="G54" s="14">
        <f>IFERROR((TimeLine!G55/TimeLine!G54)-1, NA())</f>
        <v>6.5494121076669076E-2</v>
      </c>
      <c r="H54" s="14">
        <f>IFERROR((TimeLine!H55/TimeLine!H54)-1, NA())</f>
        <v>7.4338162785405615E-3</v>
      </c>
      <c r="I54" s="14">
        <f>IFERROR((TimeLine!I55/TimeLine!I54)-1, NA())</f>
        <v>8.4490383626452559E-2</v>
      </c>
      <c r="J54" s="14">
        <f>IFERROR((TimeLine!J55/TimeLine!J54)-1, NA())</f>
        <v>5.8694901599725124E-3</v>
      </c>
      <c r="K54" s="14">
        <f>IFERROR((TimeLine!K55/TimeLine!K54)-1, NA())</f>
        <v>4.5589692765113821E-2</v>
      </c>
    </row>
    <row r="55" spans="1:11" x14ac:dyDescent="0.2">
      <c r="A55" s="13">
        <f>TimeLine!A56</f>
        <v>43647</v>
      </c>
      <c r="B55" s="14">
        <f>IFERROR((TimeLine!B56/TimeLine!B55)-1, NA())</f>
        <v>7.5075075075314857E-5</v>
      </c>
      <c r="C55" s="14">
        <f>IFERROR((TimeLine!C56/TimeLine!C55)-1, NA())</f>
        <v>-2.9622863108443087E-2</v>
      </c>
      <c r="D55" s="14">
        <f>IFERROR((TimeLine!D56/TimeLine!D55)-1, NA())</f>
        <v>1.511945392491465E-2</v>
      </c>
      <c r="E55" s="14">
        <f>IFERROR((TimeLine!E56/TimeLine!E55)-1, NA())</f>
        <v>3.7567084078712121E-2</v>
      </c>
      <c r="F55" s="14">
        <f>IFERROR((TimeLine!F56/TimeLine!F55)-1, NA())</f>
        <v>2.6763990267639759E-2</v>
      </c>
      <c r="G55" s="14">
        <f>IFERROR((TimeLine!G56/TimeLine!G55)-1, NA())</f>
        <v>7.6516187870496966E-2</v>
      </c>
      <c r="H55" s="14">
        <f>IFERROR((TimeLine!H56/TimeLine!H55)-1, NA())</f>
        <v>6.0236427979809548E-4</v>
      </c>
      <c r="I55" s="14">
        <f>IFERROR((TimeLine!I56/TimeLine!I55)-1, NA())</f>
        <v>3.5373891602257235E-2</v>
      </c>
      <c r="J55" s="14">
        <f>IFERROR((TimeLine!J56/TimeLine!J55)-1, NA())</f>
        <v>1.7048054919908351E-2</v>
      </c>
      <c r="K55" s="14">
        <f>IFERROR((TimeLine!K56/TimeLine!K55)-1, NA())</f>
        <v>-1.9905213270142164E-2</v>
      </c>
    </row>
    <row r="56" spans="1:11" x14ac:dyDescent="0.2">
      <c r="A56" s="13">
        <f>TimeLine!A57</f>
        <v>43678</v>
      </c>
      <c r="B56" s="14">
        <f>IFERROR((TimeLine!B57/TimeLine!B56)-1, NA())</f>
        <v>7.9123188949778545E-2</v>
      </c>
      <c r="C56" s="14">
        <f>IFERROR((TimeLine!C57/TimeLine!C56)-1, NA())</f>
        <v>-7.907477138246366E-2</v>
      </c>
      <c r="D56" s="14">
        <f>IFERROR((TimeLine!D57/TimeLine!D56)-1, NA())</f>
        <v>-1.6743435430185305E-2</v>
      </c>
      <c r="E56" s="14">
        <f>IFERROR((TimeLine!E57/TimeLine!E56)-1, NA())</f>
        <v>-5.2931034482758599E-2</v>
      </c>
      <c r="F56" s="14">
        <f>IFERROR((TimeLine!F57/TimeLine!F56)-1, NA())</f>
        <v>-7.1090047393362887E-3</v>
      </c>
      <c r="G56" s="14">
        <f>IFERROR((TimeLine!G57/TimeLine!G56)-1, NA())</f>
        <v>1.8553032870213482E-2</v>
      </c>
      <c r="H56" s="14">
        <f>IFERROR((TimeLine!H57/TimeLine!H56)-1, NA())</f>
        <v>0.10828504778388148</v>
      </c>
      <c r="I56" s="14">
        <f>IFERROR((TimeLine!I57/TimeLine!I56)-1, NA())</f>
        <v>-2.1937256697961982E-2</v>
      </c>
      <c r="J56" s="14">
        <f>IFERROR((TimeLine!J57/TimeLine!J56)-1, NA())</f>
        <v>3.7462031724603495E-2</v>
      </c>
      <c r="K56" s="14">
        <f>IFERROR((TimeLine!K57/TimeLine!K56)-1, NA())</f>
        <v>-2.1663442940038746E-2</v>
      </c>
    </row>
    <row r="57" spans="1:11" x14ac:dyDescent="0.2">
      <c r="A57" s="13">
        <f>TimeLine!A58</f>
        <v>43709</v>
      </c>
      <c r="B57" s="14">
        <f>IFERROR((TimeLine!B58/TimeLine!B57)-1, NA())</f>
        <v>-3.3947826086956456E-2</v>
      </c>
      <c r="C57" s="14">
        <f>IFERROR((TimeLine!C58/TimeLine!C57)-1, NA())</f>
        <v>3.1103971962616717E-2</v>
      </c>
      <c r="D57" s="14">
        <f>IFERROR((TimeLine!D58/TimeLine!D57)-1, NA())</f>
        <v>1.4771755855701896E-2</v>
      </c>
      <c r="E57" s="14">
        <f>IFERROR((TimeLine!E58/TimeLine!E57)-1, NA())</f>
        <v>7.1272528672856383E-2</v>
      </c>
      <c r="F57" s="14">
        <f>IFERROR((TimeLine!F58/TimeLine!F57)-1, NA())</f>
        <v>3.8186157517899666E-2</v>
      </c>
      <c r="G57" s="14">
        <f>IFERROR((TimeLine!G58/TimeLine!G57)-1, NA())</f>
        <v>3.4517175413790069E-2</v>
      </c>
      <c r="H57" s="14">
        <f>IFERROR((TimeLine!H58/TimeLine!H57)-1, NA())</f>
        <v>-2.8517110266159662E-2</v>
      </c>
      <c r="I57" s="14">
        <f>IFERROR((TimeLine!I58/TimeLine!I57)-1, NA())</f>
        <v>9.3182243865892467E-3</v>
      </c>
      <c r="J57" s="14">
        <f>IFERROR((TimeLine!J58/TimeLine!J57)-1, NA())</f>
        <v>1.11689438299718E-2</v>
      </c>
      <c r="K57" s="14">
        <f>IFERROR((TimeLine!K58/TimeLine!K57)-1, NA())</f>
        <v>2.1352313167259718E-2</v>
      </c>
    </row>
    <row r="58" spans="1:11" x14ac:dyDescent="0.2">
      <c r="A58" s="13">
        <f>TimeLine!A59</f>
        <v>43739</v>
      </c>
      <c r="B58" s="14">
        <f>IFERROR((TimeLine!B59/TimeLine!B58)-1, NA())</f>
        <v>2.5635486426153875E-2</v>
      </c>
      <c r="C58" s="14">
        <f>IFERROR((TimeLine!C59/TimeLine!C58)-1, NA())</f>
        <v>-4.3053391870839897E-2</v>
      </c>
      <c r="D58" s="14">
        <f>IFERROR((TimeLine!D59/TimeLine!D58)-1, NA())</f>
        <v>2.2104660174546042E-2</v>
      </c>
      <c r="E58" s="14">
        <f>IFERROR((TimeLine!E59/TimeLine!E58)-1, NA())</f>
        <v>6.1432577109355124E-2</v>
      </c>
      <c r="F58" s="14">
        <f>IFERROR((TimeLine!F59/TimeLine!F58)-1, NA())</f>
        <v>0.15632183908045993</v>
      </c>
      <c r="G58" s="14">
        <f>IFERROR((TimeLine!G59/TimeLine!G58)-1, NA())</f>
        <v>1.045184113201536E-3</v>
      </c>
      <c r="H58" s="14">
        <f>IFERROR((TimeLine!H59/TimeLine!H58)-1, NA())</f>
        <v>-1.2859938495946355E-2</v>
      </c>
      <c r="I58" s="14">
        <f>IFERROR((TimeLine!I59/TimeLine!I58)-1, NA())</f>
        <v>3.7531895151936778E-2</v>
      </c>
      <c r="J58" s="14">
        <f>IFERROR((TimeLine!J59/TimeLine!J58)-1, NA())</f>
        <v>1.1260053619302823E-2</v>
      </c>
      <c r="K58" s="14">
        <f>IFERROR((TimeLine!K59/TimeLine!K58)-1, NA())</f>
        <v>3.4262485481997729E-2</v>
      </c>
    </row>
    <row r="59" spans="1:11" x14ac:dyDescent="0.2">
      <c r="A59" s="13">
        <f>TimeLine!A60</f>
        <v>43770</v>
      </c>
      <c r="B59" s="14">
        <f>IFERROR((TimeLine!B60/TimeLine!B59)-1, NA())</f>
        <v>-3.2085936951484872E-2</v>
      </c>
      <c r="C59" s="14">
        <f>IFERROR((TimeLine!C60/TimeLine!C59)-1, NA())</f>
        <v>8.2877016427409522E-3</v>
      </c>
      <c r="D59" s="14">
        <f>IFERROR((TimeLine!D60/TimeLine!D59)-1, NA())</f>
        <v>3.619819998021967E-2</v>
      </c>
      <c r="E59" s="14">
        <f>IFERROR((TimeLine!E60/TimeLine!E59)-1, NA())</f>
        <v>5.4755043227665556E-2</v>
      </c>
      <c r="F59" s="14">
        <f>IFERROR((TimeLine!F60/TimeLine!F59)-1, NA())</f>
        <v>7.753479125248508E-2</v>
      </c>
      <c r="G59" s="14">
        <f>IFERROR((TimeLine!G60/TimeLine!G59)-1, NA())</f>
        <v>-1.9677134366717586E-2</v>
      </c>
      <c r="H59" s="14">
        <f>IFERROR((TimeLine!H60/TimeLine!H59)-1, NA())</f>
        <v>-5.8057207589919946E-3</v>
      </c>
      <c r="I59" s="14">
        <f>IFERROR((TimeLine!I60/TimeLine!I59)-1, NA())</f>
        <v>5.5938114827401186E-2</v>
      </c>
      <c r="J59" s="14">
        <f>IFERROR((TimeLine!J60/TimeLine!J59)-1, NA())</f>
        <v>-1.3043478260869601E-2</v>
      </c>
      <c r="K59" s="14">
        <f>IFERROR((TimeLine!K60/TimeLine!K59)-1, NA())</f>
        <v>9.9195208684259573E-3</v>
      </c>
    </row>
    <row r="60" spans="1:11" x14ac:dyDescent="0.2">
      <c r="A60" s="13">
        <f>TimeLine!A61</f>
        <v>43800</v>
      </c>
      <c r="B60" s="14">
        <f>IFERROR((TimeLine!B61/TimeLine!B60)-1, NA())</f>
        <v>3.6558827796315141E-2</v>
      </c>
      <c r="C60" s="14">
        <f>IFERROR((TimeLine!C61/TimeLine!C60)-1, NA())</f>
        <v>2.4218405988551295E-2</v>
      </c>
      <c r="D60" s="14">
        <f>IFERROR((TimeLine!D61/TimeLine!D60)-1, NA())</f>
        <v>2.4020871114504905E-2</v>
      </c>
      <c r="E60" s="14">
        <f>IFERROR((TimeLine!E61/TimeLine!E60)-1, NA())</f>
        <v>5.7984213721918865E-2</v>
      </c>
      <c r="F60" s="14">
        <f>IFERROR((TimeLine!F61/TimeLine!F60)-1, NA())</f>
        <v>8.4870848708487046E-2</v>
      </c>
      <c r="G60" s="14">
        <f>IFERROR((TimeLine!G61/TimeLine!G60)-1, NA())</f>
        <v>2.3267245616909848E-2</v>
      </c>
      <c r="H60" s="14">
        <f>IFERROR((TimeLine!H61/TimeLine!H60)-1, NA())</f>
        <v>-3.5180173764421063E-2</v>
      </c>
      <c r="I60" s="14">
        <f>IFERROR((TimeLine!I61/TimeLine!I60)-1, NA())</f>
        <v>3.6840990895617098E-2</v>
      </c>
      <c r="J60" s="14">
        <f>IFERROR((TimeLine!J61/TimeLine!J60)-1, NA())</f>
        <v>-3.0084882346619324E-3</v>
      </c>
      <c r="K60" s="14">
        <f>IFERROR((TimeLine!K61/TimeLine!K60)-1, NA())</f>
        <v>3.2060785767235034E-2</v>
      </c>
    </row>
    <row r="61" spans="1:11" x14ac:dyDescent="0.2">
      <c r="A61" s="13">
        <f>TimeLine!A62</f>
        <v>43831</v>
      </c>
      <c r="B61" s="14">
        <f>IFERROR((TimeLine!B62/TimeLine!B61)-1, NA())</f>
        <v>4.4996501049685111E-2</v>
      </c>
      <c r="C61" s="14">
        <f>IFERROR((TimeLine!C62/TimeLine!C61)-1, NA())</f>
        <v>-0.10977357408999722</v>
      </c>
      <c r="D61" s="14">
        <f>IFERROR((TimeLine!D62/TimeLine!D61)-1, NA())</f>
        <v>-4.0390231777787111E-4</v>
      </c>
      <c r="E61" s="14">
        <f>IFERROR((TimeLine!E62/TimeLine!E61)-1, NA())</f>
        <v>-5.0502152080344254E-2</v>
      </c>
      <c r="F61" s="14">
        <f>IFERROR((TimeLine!F62/TimeLine!F61)-1, NA())</f>
        <v>5.1020408163264808E-3</v>
      </c>
      <c r="G61" s="14">
        <f>IFERROR((TimeLine!G62/TimeLine!G61)-1, NA())</f>
        <v>-2.2417934347478408E-3</v>
      </c>
      <c r="H61" s="14">
        <f>IFERROR((TimeLine!H62/TimeLine!H61)-1, NA())</f>
        <v>7.691172128727497E-2</v>
      </c>
      <c r="I61" s="14">
        <f>IFERROR((TimeLine!I62/TimeLine!I61)-1, NA())</f>
        <v>3.8104962221768401E-2</v>
      </c>
      <c r="J61" s="14">
        <f>IFERROR((TimeLine!J62/TimeLine!J61)-1, NA())</f>
        <v>1.2285806660200516E-2</v>
      </c>
      <c r="K61" s="14">
        <f>IFERROR((TimeLine!K62/TimeLine!K61)-1, NA())</f>
        <v>-3.393787035374396E-2</v>
      </c>
    </row>
    <row r="62" spans="1:11" x14ac:dyDescent="0.2">
      <c r="A62" s="13">
        <f>TimeLine!A63</f>
        <v>43862</v>
      </c>
      <c r="B62" s="14">
        <f>IFERROR((TimeLine!B63/TimeLine!B62)-1, NA())</f>
        <v>-6.3617491461863684E-3</v>
      </c>
      <c r="C62" s="14">
        <f>IFERROR((TimeLine!C63/TimeLine!C62)-1, NA())</f>
        <v>-0.17192530585962651</v>
      </c>
      <c r="D62" s="14">
        <f>IFERROR((TimeLine!D63/TimeLine!D62)-1, NA())</f>
        <v>-7.9165760109408567E-2</v>
      </c>
      <c r="E62" s="14">
        <f>IFERROR((TimeLine!E63/TimeLine!E62)-1, NA())</f>
        <v>-0.12277122997884571</v>
      </c>
      <c r="F62" s="14">
        <f>IFERROR((TimeLine!F63/TimeLine!F62)-1, NA())</f>
        <v>0.14213197969543145</v>
      </c>
      <c r="G62" s="14">
        <f>IFERROR((TimeLine!G63/TimeLine!G62)-1, NA())</f>
        <v>-9.1397849462365621E-2</v>
      </c>
      <c r="H62" s="14">
        <f>IFERROR((TimeLine!H63/TimeLine!H62)-1, NA())</f>
        <v>6.449623029472229E-2</v>
      </c>
      <c r="I62" s="14">
        <f>IFERROR((TimeLine!I63/TimeLine!I62)-1, NA())</f>
        <v>-7.2901093713116705E-2</v>
      </c>
      <c r="J62" s="14">
        <f>IFERROR((TimeLine!J63/TimeLine!J62)-1, NA())</f>
        <v>-7.0265091025231596E-2</v>
      </c>
      <c r="K62" s="14">
        <f>IFERROR((TimeLine!K63/TimeLine!K62)-1, NA())</f>
        <v>-6.5985130111524071E-2</v>
      </c>
    </row>
    <row r="63" spans="1:11" x14ac:dyDescent="0.2">
      <c r="A63" s="13">
        <f>TimeLine!A64</f>
        <v>43891</v>
      </c>
      <c r="B63" s="14">
        <f>IFERROR((TimeLine!B64/TimeLine!B63)-1, NA())</f>
        <v>-2.2240194096238008E-3</v>
      </c>
      <c r="C63" s="14">
        <f>IFERROR((TimeLine!C64/TimeLine!C63)-1, NA())</f>
        <v>-0.26185847589424571</v>
      </c>
      <c r="D63" s="14">
        <f>IFERROR((TimeLine!D64/TimeLine!D63)-1, NA())</f>
        <v>-0.129987173428745</v>
      </c>
      <c r="E63" s="14">
        <f>IFERROR((TimeLine!E64/TimeLine!E63)-1, NA())</f>
        <v>-0.22461458961329772</v>
      </c>
      <c r="F63" s="14">
        <f>IFERROR((TimeLine!F64/TimeLine!F63)-1, NA())</f>
        <v>-2.3703703703703671E-2</v>
      </c>
      <c r="G63" s="14">
        <f>IFERROR((TimeLine!G64/TimeLine!G63)-1, NA())</f>
        <v>-2.8526009008213449E-2</v>
      </c>
      <c r="H63" s="14">
        <f>IFERROR((TimeLine!H64/TimeLine!H63)-1, NA())</f>
        <v>6.2198184276607948E-2</v>
      </c>
      <c r="I63" s="14">
        <f>IFERROR((TimeLine!I64/TimeLine!I63)-1, NA())</f>
        <v>-0.10078506259282838</v>
      </c>
      <c r="J63" s="14">
        <f>IFERROR((TimeLine!J64/TimeLine!J63)-1, NA())</f>
        <v>-0.20016031146226965</v>
      </c>
      <c r="K63" s="14">
        <f>IFERROR((TimeLine!K64/TimeLine!K63)-1, NA())</f>
        <v>-0.16497512437810946</v>
      </c>
    </row>
    <row r="64" spans="1:11" x14ac:dyDescent="0.2">
      <c r="A64" s="13">
        <f>TimeLine!A65</f>
        <v>43922</v>
      </c>
      <c r="B64" s="14">
        <f>IFERROR((TimeLine!B65/TimeLine!B64)-1, NA())</f>
        <v>7.2610604525498168E-2</v>
      </c>
      <c r="C64" s="14">
        <f>IFERROR((TimeLine!C65/TimeLine!C64)-1, NA())</f>
        <v>0.22386094284961811</v>
      </c>
      <c r="D64" s="14">
        <f>IFERROR((TimeLine!D65/TimeLine!D64)-1, NA())</f>
        <v>0.12698351115421924</v>
      </c>
      <c r="E64" s="14">
        <f>IFERROR((TimeLine!E65/TimeLine!E64)-1, NA())</f>
        <v>6.36454515161613E-2</v>
      </c>
      <c r="F64" s="14">
        <f>IFERROR((TimeLine!F65/TimeLine!F64)-1, NA())</f>
        <v>0.109256449165402</v>
      </c>
      <c r="G64" s="14">
        <f>IFERROR((TimeLine!G65/TimeLine!G64)-1, NA())</f>
        <v>7.1545454545454579E-2</v>
      </c>
      <c r="H64" s="14">
        <f>IFERROR((TimeLine!H65/TimeLine!H64)-1, NA())</f>
        <v>1.0729223495181017E-2</v>
      </c>
      <c r="I64" s="14">
        <f>IFERROR((TimeLine!I65/TimeLine!I64)-1, NA())</f>
        <v>0.14204813591316645</v>
      </c>
      <c r="J64" s="14">
        <f>IFERROR((TimeLine!J65/TimeLine!J64)-1, NA())</f>
        <v>8.962061560486756E-2</v>
      </c>
      <c r="K64" s="14">
        <f>IFERROR((TimeLine!K65/TimeLine!K64)-1, NA())</f>
        <v>7.6024785510009574E-2</v>
      </c>
    </row>
    <row r="65" spans="1:11" x14ac:dyDescent="0.2">
      <c r="A65" s="13">
        <f>TimeLine!A66</f>
        <v>43952</v>
      </c>
      <c r="B65" s="14">
        <f>IFERROR((TimeLine!B66/TimeLine!B65)-1, NA())</f>
        <v>2.5881612090679962E-2</v>
      </c>
      <c r="C65" s="14">
        <f>IFERROR((TimeLine!C66/TimeLine!C65)-1, NA())</f>
        <v>-2.1519259737465046E-2</v>
      </c>
      <c r="D65" s="14">
        <f>IFERROR((TimeLine!D66/TimeLine!D65)-1, NA())</f>
        <v>4.7645276783255142E-2</v>
      </c>
      <c r="E65" s="14">
        <f>IFERROR((TimeLine!E66/TimeLine!E65)-1, NA())</f>
        <v>1.6186299081035971E-2</v>
      </c>
      <c r="F65" s="14">
        <f>IFERROR((TimeLine!F66/TimeLine!F65)-1, NA())</f>
        <v>0.21477428180574565</v>
      </c>
      <c r="G65" s="14">
        <f>IFERROR((TimeLine!G66/TimeLine!G65)-1, NA())</f>
        <v>-1.6543649783659964E-2</v>
      </c>
      <c r="H65" s="14">
        <f>IFERROR((TimeLine!H66/TimeLine!H65)-1, NA())</f>
        <v>-1.8891687657430767E-2</v>
      </c>
      <c r="I65" s="14">
        <f>IFERROR((TimeLine!I66/TimeLine!I65)-1, NA())</f>
        <v>7.8636363636363615E-2</v>
      </c>
      <c r="J65" s="14">
        <f>IFERROR((TimeLine!J66/TimeLine!J65)-1, NA())</f>
        <v>1.7343318880567615E-2</v>
      </c>
      <c r="K65" s="14">
        <f>IFERROR((TimeLine!K66/TimeLine!K65)-1, NA())</f>
        <v>5.0055370985603531E-2</v>
      </c>
    </row>
    <row r="66" spans="1:11" x14ac:dyDescent="0.2">
      <c r="A66" s="13">
        <f>TimeLine!A67</f>
        <v>43983</v>
      </c>
      <c r="B66" s="14">
        <f>IFERROR((TimeLine!B67/TimeLine!B66)-1, NA())</f>
        <v>2.7377079368976709E-2</v>
      </c>
      <c r="C66" s="14">
        <f>IFERROR((TimeLine!C67/TimeLine!C66)-1, NA())</f>
        <v>-1.6494391906751726E-2</v>
      </c>
      <c r="D66" s="14">
        <f>IFERROR((TimeLine!D67/TimeLine!D66)-1, NA())</f>
        <v>1.3275499474237673E-2</v>
      </c>
      <c r="E66" s="14">
        <f>IFERROR((TimeLine!E67/TimeLine!E66)-1, NA())</f>
        <v>-3.3398417428835647E-2</v>
      </c>
      <c r="F66" s="14">
        <f>IFERROR((TimeLine!F67/TimeLine!F66)-1, NA())</f>
        <v>6.9819819819819662E-2</v>
      </c>
      <c r="G66" s="14">
        <f>IFERROR((TimeLine!G67/TimeLine!G66)-1, NA())</f>
        <v>3.1487232574189061E-2</v>
      </c>
      <c r="H66" s="14">
        <f>IFERROR((TimeLine!H67/TimeLine!H66)-1, NA())</f>
        <v>2.0783666483281671E-3</v>
      </c>
      <c r="I66" s="14">
        <f>IFERROR((TimeLine!I67/TimeLine!I66)-1, NA())</f>
        <v>6.7731678351147462E-2</v>
      </c>
      <c r="J66" s="14">
        <f>IFERROR((TimeLine!J67/TimeLine!J66)-1, NA())</f>
        <v>1.4206379956089199E-2</v>
      </c>
      <c r="K66" s="14">
        <f>IFERROR((TimeLine!K67/TimeLine!K66)-1, NA())</f>
        <v>3.7122969837587227E-2</v>
      </c>
    </row>
    <row r="67" spans="1:11" x14ac:dyDescent="0.2">
      <c r="A67" s="13">
        <f>TimeLine!A68</f>
        <v>44013</v>
      </c>
      <c r="B67" s="14">
        <f>IFERROR((TimeLine!B68/TimeLine!B67)-1, NA())</f>
        <v>0.10790464240903397</v>
      </c>
      <c r="C67" s="14">
        <f>IFERROR((TimeLine!C68/TimeLine!C67)-1, NA())</f>
        <v>-5.903398926654746E-2</v>
      </c>
      <c r="D67" s="14">
        <f>IFERROR((TimeLine!D68/TimeLine!D67)-1, NA())</f>
        <v>5.8892203917498831E-2</v>
      </c>
      <c r="E67" s="14">
        <f>IFERROR((TimeLine!E68/TimeLine!E67)-1, NA())</f>
        <v>2.7429300446523586E-2</v>
      </c>
      <c r="F67" s="14">
        <f>IFERROR((TimeLine!F68/TimeLine!F67)-1, NA())</f>
        <v>0.11684210526315786</v>
      </c>
      <c r="G67" s="14">
        <f>IFERROR((TimeLine!G68/TimeLine!G67)-1, NA())</f>
        <v>9.659613615455398E-2</v>
      </c>
      <c r="H67" s="14">
        <f>IFERROR((TimeLine!H68/TimeLine!H67)-1, NA())</f>
        <v>4.3128164460440432E-2</v>
      </c>
      <c r="I67" s="14">
        <f>IFERROR((TimeLine!I68/TimeLine!I67)-1, NA())</f>
        <v>5.9416597897456125E-2</v>
      </c>
      <c r="J67" s="14">
        <f>IFERROR((TimeLine!J68/TimeLine!J67)-1, NA())</f>
        <v>3.6419202852413068E-2</v>
      </c>
      <c r="K67" s="14">
        <f>IFERROR((TimeLine!K68/TimeLine!K67)-1, NA())</f>
        <v>4.1488712629652147E-2</v>
      </c>
    </row>
    <row r="68" spans="1:11" x14ac:dyDescent="0.2">
      <c r="A68" s="13">
        <f>TimeLine!A69</f>
        <v>44044</v>
      </c>
      <c r="B68" s="14">
        <f>IFERROR((TimeLine!B69/TimeLine!B68)-1, NA())</f>
        <v>-3.2357223750202335E-3</v>
      </c>
      <c r="C68" s="14">
        <f>IFERROR((TimeLine!C69/TimeLine!C68)-1, NA())</f>
        <v>-5.0855513307984768E-2</v>
      </c>
      <c r="D68" s="14">
        <f>IFERROR((TimeLine!D69/TimeLine!D68)-1, NA())</f>
        <v>6.9796643390910296E-2</v>
      </c>
      <c r="E68" s="14">
        <f>IFERROR((TimeLine!E69/TimeLine!E68)-1, NA())</f>
        <v>3.6734271523178874E-2</v>
      </c>
      <c r="F68" s="14">
        <f>IFERROR((TimeLine!F69/TimeLine!F68)-1, NA())</f>
        <v>0.26013195098963249</v>
      </c>
      <c r="G68" s="14">
        <f>IFERROR((TimeLine!G69/TimeLine!G68)-1, NA())</f>
        <v>5.498779743746196E-2</v>
      </c>
      <c r="H68" s="14">
        <f>IFERROR((TimeLine!H69/TimeLine!H68)-1, NA())</f>
        <v>-5.15204678362573E-2</v>
      </c>
      <c r="I68" s="14">
        <f>IFERROR((TimeLine!I69/TimeLine!I68)-1, NA())</f>
        <v>0.11135570833474451</v>
      </c>
      <c r="J68" s="14">
        <f>IFERROR((TimeLine!J69/TimeLine!J68)-1, NA())</f>
        <v>4.4231478068559316E-3</v>
      </c>
      <c r="K68" s="14">
        <f>IFERROR((TimeLine!K69/TimeLine!K68)-1, NA())</f>
        <v>4.4327279828158428E-2</v>
      </c>
    </row>
    <row r="69" spans="1:11" x14ac:dyDescent="0.2">
      <c r="A69" s="13">
        <f>TimeLine!A70</f>
        <v>44075</v>
      </c>
      <c r="B69" s="14">
        <f>IFERROR((TimeLine!B70/TimeLine!B69)-1, NA())</f>
        <v>-4.171400746632048E-2</v>
      </c>
      <c r="C69" s="14">
        <f>IFERROR((TimeLine!C70/TimeLine!C69)-1, NA())</f>
        <v>-0.14046069103655479</v>
      </c>
      <c r="D69" s="14">
        <f>IFERROR((TimeLine!D70/TimeLine!D69)-1, NA())</f>
        <v>-4.1281383298502838E-2</v>
      </c>
      <c r="E69" s="14">
        <f>IFERROR((TimeLine!E70/TimeLine!E69)-1, NA())</f>
        <v>-3.9125661243637144E-2</v>
      </c>
      <c r="F69" s="14">
        <f>IFERROR((TimeLine!F70/TimeLine!F69)-1, NA())</f>
        <v>1.1967090501121991E-2</v>
      </c>
      <c r="G69" s="14">
        <f>IFERROR((TimeLine!G70/TimeLine!G69)-1, NA())</f>
        <v>4.7711993060073343E-3</v>
      </c>
      <c r="H69" s="14">
        <f>IFERROR((TimeLine!H70/TimeLine!H69)-1, NA())</f>
        <v>6.5972008138601712E-3</v>
      </c>
      <c r="I69" s="14">
        <f>IFERROR((TimeLine!I70/TimeLine!I69)-1, NA())</f>
        <v>-5.0891360658235518E-2</v>
      </c>
      <c r="J69" s="14">
        <f>IFERROR((TimeLine!J70/TimeLine!J69)-1, NA())</f>
        <v>-3.4128440366972601E-2</v>
      </c>
      <c r="K69" s="14">
        <f>IFERROR((TimeLine!K70/TimeLine!K69)-1, NA())</f>
        <v>-2.4495138369483804E-2</v>
      </c>
    </row>
    <row r="70" spans="1:11" x14ac:dyDescent="0.2">
      <c r="A70" s="13">
        <f>TimeLine!A71</f>
        <v>44105</v>
      </c>
      <c r="B70" s="14">
        <f>IFERROR((TimeLine!B71/TimeLine!B70)-1, NA())</f>
        <v>-5.1942186088528297E-3</v>
      </c>
      <c r="C70" s="14">
        <f>IFERROR((TimeLine!C71/TimeLine!C70)-1, NA())</f>
        <v>-4.9810661229245601E-2</v>
      </c>
      <c r="D70" s="14">
        <f>IFERROR((TimeLine!D71/TimeLine!D70)-1, NA())</f>
        <v>-2.4933560273522559E-2</v>
      </c>
      <c r="E70" s="14">
        <f>IFERROR((TimeLine!E71/TimeLine!E70)-1, NA())</f>
        <v>1.83857899657216E-2</v>
      </c>
      <c r="F70" s="14">
        <f>IFERROR((TimeLine!F71/TimeLine!F70)-1, NA())</f>
        <v>-7.3909830007391042E-2</v>
      </c>
      <c r="G70" s="14">
        <f>IFERROR((TimeLine!G71/TimeLine!G70)-1, NA())</f>
        <v>-1.3598100582775885E-2</v>
      </c>
      <c r="H70" s="14">
        <f>IFERROR((TimeLine!H71/TimeLine!H70)-1, NA())</f>
        <v>-3.4852382702437845E-2</v>
      </c>
      <c r="I70" s="14">
        <f>IFERROR((TimeLine!I71/TimeLine!I70)-1, NA())</f>
        <v>-4.3217209825011982E-2</v>
      </c>
      <c r="J70" s="14">
        <f>IFERROR((TimeLine!J71/TimeLine!J70)-1, NA())</f>
        <v>-3.0015197568388885E-2</v>
      </c>
      <c r="K70" s="14">
        <f>IFERROR((TimeLine!K71/TimeLine!K70)-1, NA())</f>
        <v>-2.3001725129384809E-2</v>
      </c>
    </row>
    <row r="71" spans="1:11" x14ac:dyDescent="0.2">
      <c r="A71" s="13">
        <f>TimeLine!A72</f>
        <v>44136</v>
      </c>
      <c r="B71" s="14">
        <f>IFERROR((TimeLine!B72/TimeLine!B71)-1, NA())</f>
        <v>-5.4086265607264483E-2</v>
      </c>
      <c r="C71" s="14">
        <f>IFERROR((TimeLine!C72/TimeLine!C71)-1, NA())</f>
        <v>0.16891477621091378</v>
      </c>
      <c r="D71" s="14">
        <f>IFERROR((TimeLine!D72/TimeLine!D71)-1, NA())</f>
        <v>0.10877687266491076</v>
      </c>
      <c r="E71" s="14">
        <f>IFERROR((TimeLine!E72/TimeLine!E71)-1, NA())</f>
        <v>0.20236638106895133</v>
      </c>
      <c r="F71" s="14">
        <f>IFERROR((TimeLine!F72/TimeLine!F71)-1, NA())</f>
        <v>6.9433359936153405E-2</v>
      </c>
      <c r="G71" s="14">
        <f>IFERROR((TimeLine!G72/TimeLine!G71)-1, NA())</f>
        <v>1.2910284463895083E-2</v>
      </c>
      <c r="H71" s="14">
        <f>IFERROR((TimeLine!H72/TimeLine!H71)-1, NA())</f>
        <v>1.5548645046645992E-2</v>
      </c>
      <c r="I71" s="14">
        <f>IFERROR((TimeLine!I72/TimeLine!I71)-1, NA())</f>
        <v>0.12530621832947397</v>
      </c>
      <c r="J71" s="14">
        <f>IFERROR((TimeLine!J72/TimeLine!J71)-1, NA())</f>
        <v>9.6748922835879325E-2</v>
      </c>
      <c r="K71" s="14">
        <f>IFERROR((TimeLine!K72/TimeLine!K71)-1, NA())</f>
        <v>0.12615263880714145</v>
      </c>
    </row>
    <row r="72" spans="1:11" x14ac:dyDescent="0.2">
      <c r="A72" s="13">
        <f>TimeLine!A73</f>
        <v>44166</v>
      </c>
      <c r="B72" s="14">
        <f>IFERROR((TimeLine!B73/TimeLine!B72)-1, NA())</f>
        <v>7.013859722805571E-2</v>
      </c>
      <c r="C72" s="14">
        <f>IFERROR((TimeLine!C73/TimeLine!C72)-1, NA())</f>
        <v>8.1038552321006874E-2</v>
      </c>
      <c r="D72" s="14">
        <f>IFERROR((TimeLine!D73/TimeLine!D72)-1, NA())</f>
        <v>3.2646522675799483E-2</v>
      </c>
      <c r="E72" s="14">
        <f>IFERROR((TimeLine!E73/TimeLine!E72)-1, NA())</f>
        <v>7.7960637936884902E-2</v>
      </c>
      <c r="F72" s="14">
        <f>IFERROR((TimeLine!F73/TimeLine!F72)-1, NA())</f>
        <v>-2.5373134328358193E-2</v>
      </c>
      <c r="G72" s="14">
        <f>IFERROR((TimeLine!G73/TimeLine!G72)-1, NA())</f>
        <v>1.9442644199609838E-3</v>
      </c>
      <c r="H72" s="14">
        <f>IFERROR((TimeLine!H73/TimeLine!H72)-1, NA())</f>
        <v>-1.4310711161104939E-2</v>
      </c>
      <c r="I72" s="14">
        <f>IFERROR((TimeLine!I73/TimeLine!I72)-1, NA())</f>
        <v>5.5050249008439467E-2</v>
      </c>
      <c r="J72" s="14">
        <f>IFERROR((TimeLine!J73/TimeLine!J72)-1, NA())</f>
        <v>1.1071428571428621E-2</v>
      </c>
      <c r="K72" s="14">
        <f>IFERROR((TimeLine!K73/TimeLine!K72)-1, NA())</f>
        <v>4.8083623693379707E-2</v>
      </c>
    </row>
    <row r="73" spans="1:11" x14ac:dyDescent="0.2">
      <c r="A73" s="13">
        <f>TimeLine!A74</f>
        <v>44197</v>
      </c>
      <c r="B73" s="14">
        <f>IFERROR((TimeLine!B74/TimeLine!B73)-1, NA())</f>
        <v>-3.2238169993272003E-2</v>
      </c>
      <c r="C73" s="14">
        <f>IFERROR((TimeLine!C74/TimeLine!C73)-1, NA())</f>
        <v>8.7821445900048589E-2</v>
      </c>
      <c r="D73" s="14">
        <f>IFERROR((TimeLine!D74/TimeLine!D73)-1, NA())</f>
        <v>-1.0190435433829026E-2</v>
      </c>
      <c r="E73" s="14">
        <f>IFERROR((TimeLine!E74/TimeLine!E73)-1, NA())</f>
        <v>1.2591485008263126E-2</v>
      </c>
      <c r="F73" s="14">
        <f>IFERROR((TimeLine!F74/TimeLine!F73)-1, NA())</f>
        <v>-5.3598774885145195E-3</v>
      </c>
      <c r="G73" s="14">
        <f>IFERROR((TimeLine!G74/TimeLine!G73)-1, NA())</f>
        <v>-7.855397441425882E-2</v>
      </c>
      <c r="H73" s="14">
        <f>IFERROR((TimeLine!H74/TimeLine!H73)-1, NA())</f>
        <v>-3.6327902111202626E-2</v>
      </c>
      <c r="I73" s="14">
        <f>IFERROR((TimeLine!I74/TimeLine!I73)-1, NA())</f>
        <v>-7.0380734333926886E-3</v>
      </c>
      <c r="J73" s="14">
        <f>IFERROR((TimeLine!J74/TimeLine!J73)-1, NA())</f>
        <v>3.5323207347204288E-4</v>
      </c>
      <c r="K73" s="14">
        <f>IFERROR((TimeLine!K74/TimeLine!K73)-1, NA())</f>
        <v>2.4933510638298628E-3</v>
      </c>
    </row>
    <row r="74" spans="1:11" x14ac:dyDescent="0.2">
      <c r="A74" s="13">
        <f>TimeLine!A75</f>
        <v>44228</v>
      </c>
      <c r="B74" s="14">
        <f>IFERROR((TimeLine!B75/TimeLine!B74)-1, NA())</f>
        <v>-6.2568796709344787E-2</v>
      </c>
      <c r="C74" s="14">
        <f>IFERROR((TimeLine!C75/TimeLine!C74)-1, NA())</f>
        <v>0.21253345227475462</v>
      </c>
      <c r="D74" s="14">
        <f>IFERROR((TimeLine!D75/TimeLine!D74)-1, NA())</f>
        <v>2.7805550301294391E-2</v>
      </c>
      <c r="E74" s="14">
        <f>IFERROR((TimeLine!E75/TimeLine!E74)-1, NA())</f>
        <v>0.14377865858397443</v>
      </c>
      <c r="F74" s="14">
        <f>IFERROR((TimeLine!F75/TimeLine!F74)-1, NA())</f>
        <v>5.5427251732101723E-2</v>
      </c>
      <c r="G74" s="14">
        <f>IFERROR((TimeLine!G75/TimeLine!G74)-1, NA())</f>
        <v>-3.6502612900709774E-2</v>
      </c>
      <c r="H74" s="14">
        <f>IFERROR((TimeLine!H75/TimeLine!H74)-1, NA())</f>
        <v>-5.8421052631578929E-2</v>
      </c>
      <c r="I74" s="14">
        <f>IFERROR((TimeLine!I75/TimeLine!I74)-1, NA())</f>
        <v>1.4802163393111245E-2</v>
      </c>
      <c r="J74" s="14">
        <f>IFERROR((TimeLine!J75/TimeLine!J74)-1, NA())</f>
        <v>3.425141242937868E-2</v>
      </c>
      <c r="K74" s="14">
        <f>IFERROR((TimeLine!K75/TimeLine!K74)-1, NA())</f>
        <v>2.3047587464765318E-2</v>
      </c>
    </row>
    <row r="75" spans="1:11" x14ac:dyDescent="0.2">
      <c r="A75" s="13">
        <f>TimeLine!A76</f>
        <v>44256</v>
      </c>
      <c r="B75" s="14">
        <f>IFERROR((TimeLine!B76/TimeLine!B75)-1, NA())</f>
        <v>-1.1433162350905302E-2</v>
      </c>
      <c r="C75" s="14">
        <f>IFERROR((TimeLine!C76/TimeLine!C75)-1, NA())</f>
        <v>2.6853043958065204E-2</v>
      </c>
      <c r="D75" s="14">
        <f>IFERROR((TimeLine!D76/TimeLine!D75)-1, NA())</f>
        <v>4.1986539068251005E-2</v>
      </c>
      <c r="E75" s="14">
        <f>IFERROR((TimeLine!E76/TimeLine!E75)-1, NA())</f>
        <v>3.4382007202554909E-2</v>
      </c>
      <c r="F75" s="14">
        <f>IFERROR((TimeLine!F76/TimeLine!F75)-1, NA())</f>
        <v>-2.6258205689277947E-2</v>
      </c>
      <c r="G75" s="14">
        <f>IFERROR((TimeLine!G76/TimeLine!G75)-1, NA())</f>
        <v>9.6332874605359109E-2</v>
      </c>
      <c r="H75" s="14">
        <f>IFERROR((TimeLine!H76/TimeLine!H75)-1, NA())</f>
        <v>-5.3591391839016289E-2</v>
      </c>
      <c r="I75" s="14">
        <f>IFERROR((TimeLine!I76/TimeLine!I75)-1, NA())</f>
        <v>5.5820476858345902E-3</v>
      </c>
      <c r="J75" s="14">
        <f>IFERROR((TimeLine!J76/TimeLine!J75)-1, NA())</f>
        <v>4.5407989074769395E-2</v>
      </c>
      <c r="K75" s="14">
        <f>IFERROR((TimeLine!K76/TimeLine!K75)-1, NA())</f>
        <v>1.620745542949753E-2</v>
      </c>
    </row>
    <row r="76" spans="1:11" x14ac:dyDescent="0.2">
      <c r="A76" s="13">
        <f>TimeLine!A77</f>
        <v>44287</v>
      </c>
      <c r="B76" s="14">
        <f>IFERROR((TimeLine!B77/TimeLine!B76)-1, NA())</f>
        <v>3.5633908477119114E-2</v>
      </c>
      <c r="C76" s="14">
        <f>IFERROR((TimeLine!C77/TimeLine!C76)-1, NA())</f>
        <v>2.5255239118753492E-2</v>
      </c>
      <c r="D76" s="14">
        <f>IFERROR((TimeLine!D77/TimeLine!D76)-1, NA())</f>
        <v>5.2910453410037084E-2</v>
      </c>
      <c r="E76" s="14">
        <f>IFERROR((TimeLine!E77/TimeLine!E76)-1, NA())</f>
        <v>1.0379031728305899E-2</v>
      </c>
      <c r="F76" s="14">
        <f>IFERROR((TimeLine!F77/TimeLine!F76)-1, NA())</f>
        <v>0.12434456928838955</v>
      </c>
      <c r="G76" s="14">
        <f>IFERROR((TimeLine!G77/TimeLine!G76)-1, NA())</f>
        <v>-1.4841615594772373E-2</v>
      </c>
      <c r="H76" s="14">
        <f>IFERROR((TimeLine!H77/TimeLine!H76)-1, NA())</f>
        <v>2.3551125876707157E-2</v>
      </c>
      <c r="I76" s="14">
        <f>IFERROR((TimeLine!I77/TimeLine!I76)-1, NA())</f>
        <v>5.1465870735585284E-2</v>
      </c>
      <c r="J76" s="14">
        <f>IFERROR((TimeLine!J77/TimeLine!J76)-1, NA())</f>
        <v>7.859786631831045E-2</v>
      </c>
      <c r="K76" s="14">
        <f>IFERROR((TimeLine!K77/TimeLine!K76)-1, NA())</f>
        <v>2.7751196172248749E-2</v>
      </c>
    </row>
    <row r="77" spans="1:11" x14ac:dyDescent="0.2">
      <c r="A77" s="13">
        <f>TimeLine!A78</f>
        <v>44317</v>
      </c>
      <c r="B77" s="14">
        <f>IFERROR((TimeLine!B78/TimeLine!B77)-1, NA())</f>
        <v>7.6783773994929305E-2</v>
      </c>
      <c r="C77" s="14">
        <f>IFERROR((TimeLine!C78/TimeLine!C77)-1, NA())</f>
        <v>1.9741439552760198E-2</v>
      </c>
      <c r="D77" s="14">
        <f>IFERROR((TimeLine!D78/TimeLine!D77)-1, NA())</f>
        <v>6.5660196501318158E-3</v>
      </c>
      <c r="E77" s="14">
        <f>IFERROR((TimeLine!E78/TimeLine!E77)-1, NA())</f>
        <v>6.7810935569859065E-2</v>
      </c>
      <c r="F77" s="14">
        <f>IFERROR((TimeLine!F78/TimeLine!F77)-1, NA())</f>
        <v>8.1945369753497532E-2</v>
      </c>
      <c r="G77" s="14">
        <f>IFERROR((TimeLine!G78/TimeLine!G77)-1, NA())</f>
        <v>1.0718033278369177E-2</v>
      </c>
      <c r="H77" s="14">
        <f>IFERROR((TimeLine!H78/TimeLine!H77)-1, NA())</f>
        <v>-1.4425851125215994E-3</v>
      </c>
      <c r="I77" s="14">
        <f>IFERROR((TimeLine!I78/TimeLine!I77)-1, NA())</f>
        <v>-1.2362710245662489E-2</v>
      </c>
      <c r="J77" s="14">
        <f>IFERROR((TimeLine!J78/TimeLine!J77)-1, NA())</f>
        <v>8.0742834073475045E-3</v>
      </c>
      <c r="K77" s="14">
        <f>IFERROR((TimeLine!K78/TimeLine!K77)-1, NA())</f>
        <v>3.0726256983240274E-2</v>
      </c>
    </row>
    <row r="78" spans="1:11" x14ac:dyDescent="0.2">
      <c r="A78" s="13">
        <f>TimeLine!A79</f>
        <v>44348</v>
      </c>
      <c r="B78" s="14">
        <f>IFERROR((TimeLine!B79/TimeLine!B78)-1, NA())</f>
        <v>-7.1476622939791512E-2</v>
      </c>
      <c r="C78" s="14">
        <f>IFERROR((TimeLine!C79/TimeLine!C78)-1, NA())</f>
        <v>8.0692136371423695E-2</v>
      </c>
      <c r="D78" s="14">
        <f>IFERROR((TimeLine!D79/TimeLine!D78)-1, NA())</f>
        <v>1.9093419674316658E-2</v>
      </c>
      <c r="E78" s="14">
        <f>IFERROR((TimeLine!E79/TimeLine!E78)-1, NA())</f>
        <v>-5.2971261568436567E-2</v>
      </c>
      <c r="F78" s="14">
        <f>IFERROR((TimeLine!F79/TimeLine!F78)-1, NA())</f>
        <v>0.23152709359605916</v>
      </c>
      <c r="G78" s="14">
        <f>IFERROR((TimeLine!G79/TimeLine!G78)-1, NA())</f>
        <v>5.9325176121616252E-4</v>
      </c>
      <c r="H78" s="14">
        <f>IFERROR((TimeLine!H79/TimeLine!H78)-1, NA())</f>
        <v>4.2689973995954977E-2</v>
      </c>
      <c r="I78" s="14">
        <f>IFERROR((TimeLine!I79/TimeLine!I78)-1, NA())</f>
        <v>7.1156119050177269E-2</v>
      </c>
      <c r="J78" s="14">
        <f>IFERROR((TimeLine!J79/TimeLine!J78)-1, NA())</f>
        <v>1.9122947537044466E-2</v>
      </c>
      <c r="K78" s="14">
        <f>IFERROR((TimeLine!K79/TimeLine!K78)-1, NA())</f>
        <v>-1.1141222523336269E-2</v>
      </c>
    </row>
    <row r="79" spans="1:11" x14ac:dyDescent="0.2">
      <c r="A79" s="13">
        <f>TimeLine!A80</f>
        <v>44378</v>
      </c>
      <c r="B79" s="14">
        <f>IFERROR((TimeLine!B80/TimeLine!B79)-1, NA())</f>
        <v>2.5297349513976997E-2</v>
      </c>
      <c r="C79" s="14">
        <f>IFERROR((TimeLine!C80/TimeLine!C79)-1, NA())</f>
        <v>-8.7349397590361422E-2</v>
      </c>
      <c r="D79" s="14">
        <f>IFERROR((TimeLine!D80/TimeLine!D79)-1, NA())</f>
        <v>2.4412465542213768E-2</v>
      </c>
      <c r="E79" s="14">
        <f>IFERROR((TimeLine!E80/TimeLine!E79)-1, NA())</f>
        <v>-2.417384595602412E-2</v>
      </c>
      <c r="F79" s="14">
        <f>IFERROR((TimeLine!F80/TimeLine!F79)-1, NA())</f>
        <v>-2.5000000000000022E-2</v>
      </c>
      <c r="G79" s="14">
        <f>IFERROR((TimeLine!G80/TimeLine!G79)-1, NA())</f>
        <v>5.410212702882955E-2</v>
      </c>
      <c r="H79" s="14">
        <f>IFERROR((TimeLine!H80/TimeLine!H79)-1, NA())</f>
        <v>3.581572566678215E-2</v>
      </c>
      <c r="I79" s="14">
        <f>IFERROR((TimeLine!I80/TimeLine!I79)-1, NA())</f>
        <v>3.370363868896864E-2</v>
      </c>
      <c r="J79" s="14">
        <f>IFERROR((TimeLine!J80/TimeLine!J79)-1, NA())</f>
        <v>4.4208664898319983E-2</v>
      </c>
      <c r="K79" s="14">
        <f>IFERROR((TimeLine!K80/TimeLine!K79)-1, NA())</f>
        <v>-1.1266747868453275E-2</v>
      </c>
    </row>
    <row r="80" spans="1:11" x14ac:dyDescent="0.2">
      <c r="A80" s="13">
        <f>TimeLine!A81</f>
        <v>44409</v>
      </c>
      <c r="B80" s="14">
        <f>IFERROR((TimeLine!B81/TimeLine!B80)-1, NA())</f>
        <v>-7.6551642916022899E-4</v>
      </c>
      <c r="C80" s="14">
        <f>IFERROR((TimeLine!C81/TimeLine!C80)-1, NA())</f>
        <v>-5.2978982108737194E-2</v>
      </c>
      <c r="D80" s="14">
        <f>IFERROR((TimeLine!D81/TimeLine!D80)-1, NA())</f>
        <v>2.9759868646097143E-2</v>
      </c>
      <c r="E80" s="14">
        <f>IFERROR((TimeLine!E81/TimeLine!E80)-1, NA())</f>
        <v>5.3827908815390568E-2</v>
      </c>
      <c r="F80" s="14">
        <f>IFERROR((TimeLine!F81/TimeLine!F80)-1, NA())</f>
        <v>0.14820512820512821</v>
      </c>
      <c r="G80" s="14">
        <f>IFERROR((TimeLine!G81/TimeLine!G80)-1, NA())</f>
        <v>1.1249384799267848E-3</v>
      </c>
      <c r="H80" s="14">
        <f>IFERROR((TimeLine!H81/TimeLine!H80)-1, NA())</f>
        <v>-4.6147672552167007E-3</v>
      </c>
      <c r="I80" s="14">
        <f>IFERROR((TimeLine!I81/TimeLine!I80)-1, NA())</f>
        <v>3.5103466679605067E-2</v>
      </c>
      <c r="J80" s="14">
        <f>IFERROR((TimeLine!J81/TimeLine!J80)-1, NA())</f>
        <v>2.15448301815786E-2</v>
      </c>
      <c r="K80" s="14">
        <f>IFERROR((TimeLine!K81/TimeLine!K80)-1, NA())</f>
        <v>1.4628888204496482E-2</v>
      </c>
    </row>
    <row r="81" spans="1:11" x14ac:dyDescent="0.2">
      <c r="A81" s="13">
        <f>TimeLine!A82</f>
        <v>44440</v>
      </c>
      <c r="B81" s="14">
        <f>IFERROR((TimeLine!B82/TimeLine!B81)-1, NA())</f>
        <v>-3.2235252519299928E-2</v>
      </c>
      <c r="C81" s="14">
        <f>IFERROR((TimeLine!C82/TimeLine!C81)-1, NA())</f>
        <v>7.8870139398385941E-2</v>
      </c>
      <c r="D81" s="14">
        <f>IFERROR((TimeLine!D82/TimeLine!D81)-1, NA())</f>
        <v>-4.9650101869076146E-2</v>
      </c>
      <c r="E81" s="14">
        <f>IFERROR((TimeLine!E82/TimeLine!E81)-1, NA())</f>
        <v>2.3382306970928468E-2</v>
      </c>
      <c r="F81" s="14">
        <f>IFERROR((TimeLine!F82/TimeLine!F81)-1, NA())</f>
        <v>-7.4586869138008161E-2</v>
      </c>
      <c r="G81" s="14">
        <f>IFERROR((TimeLine!G82/TimeLine!G81)-1, NA())</f>
        <v>-1.8189479598286207E-2</v>
      </c>
      <c r="H81" s="14">
        <f>IFERROR((TimeLine!H82/TimeLine!H81)-1, NA())</f>
        <v>-3.0303030303030387E-2</v>
      </c>
      <c r="I81" s="14">
        <f>IFERROR((TimeLine!I82/TimeLine!I81)-1, NA())</f>
        <v>-5.9505952938970652E-2</v>
      </c>
      <c r="J81" s="14">
        <f>IFERROR((TimeLine!J82/TimeLine!J81)-1, NA())</f>
        <v>-6.2626634739362697E-2</v>
      </c>
      <c r="K81" s="14">
        <f>IFERROR((TimeLine!K82/TimeLine!K81)-1, NA())</f>
        <v>-3.9915009864926465E-2</v>
      </c>
    </row>
    <row r="82" spans="1:11" x14ac:dyDescent="0.2">
      <c r="A82" s="13">
        <f>TimeLine!A83</f>
        <v>44470</v>
      </c>
      <c r="B82" s="14">
        <f>IFERROR((TimeLine!B83/TimeLine!B82)-1, NA())</f>
        <v>1.479722323712096E-2</v>
      </c>
      <c r="C82" s="14">
        <f>IFERROR((TimeLine!C83/TimeLine!C82)-1, NA())</f>
        <v>9.6055763345800793E-2</v>
      </c>
      <c r="D82" s="14">
        <f>IFERROR((TimeLine!D83/TimeLine!D82)-1, NA())</f>
        <v>7.016358297991343E-2</v>
      </c>
      <c r="E82" s="14">
        <f>IFERROR((TimeLine!E83/TimeLine!E82)-1, NA())</f>
        <v>3.7876473822469281E-2</v>
      </c>
      <c r="F82" s="14">
        <f>IFERROR((TimeLine!F83/TimeLine!F82)-1, NA())</f>
        <v>0.23407335907335924</v>
      </c>
      <c r="G82" s="14">
        <f>IFERROR((TimeLine!G83/TimeLine!G82)-1, NA())</f>
        <v>2.2818311874105879E-2</v>
      </c>
      <c r="H82" s="14">
        <f>IFERROR((TimeLine!H83/TimeLine!H82)-1, NA())</f>
        <v>2.3350886917960167E-2</v>
      </c>
      <c r="I82" s="14">
        <f>IFERROR((TimeLine!I83/TimeLine!I82)-1, NA())</f>
        <v>8.1910837548904825E-2</v>
      </c>
      <c r="J82" s="14">
        <f>IFERROR((TimeLine!J83/TimeLine!J82)-1, NA())</f>
        <v>7.1330320298683469E-2</v>
      </c>
      <c r="K82" s="14">
        <f>IFERROR((TimeLine!K83/TimeLine!K82)-1, NA())</f>
        <v>2.8770154916218704E-2</v>
      </c>
    </row>
    <row r="83" spans="1:11" x14ac:dyDescent="0.2">
      <c r="A83" s="13">
        <f>TimeLine!A84</f>
        <v>44501</v>
      </c>
      <c r="B83" s="14">
        <f>IFERROR((TimeLine!B84/TimeLine!B83)-1, NA())</f>
        <v>-6.9006900690069539E-3</v>
      </c>
      <c r="C83" s="14">
        <f>IFERROR((TimeLine!C84/TimeLine!C83)-1, NA())</f>
        <v>-7.1816348689312748E-2</v>
      </c>
      <c r="D83" s="14">
        <f>IFERROR((TimeLine!D84/TimeLine!D83)-1, NA())</f>
        <v>-8.0348394120849376E-3</v>
      </c>
      <c r="E83" s="14">
        <f>IFERROR((TimeLine!E84/TimeLine!E83)-1, NA())</f>
        <v>-6.5100947672022902E-2</v>
      </c>
      <c r="F83" s="14">
        <f>IFERROR((TimeLine!F84/TimeLine!F83)-1, NA())</f>
        <v>0.27806022682831433</v>
      </c>
      <c r="G83" s="14">
        <f>IFERROR((TimeLine!G84/TimeLine!G83)-1, NA())</f>
        <v>1.1119658717392955E-2</v>
      </c>
      <c r="H83" s="14">
        <f>IFERROR((TimeLine!H84/TimeLine!H83)-1, NA())</f>
        <v>2.6406662604103293E-2</v>
      </c>
      <c r="I83" s="14">
        <f>IFERROR((TimeLine!I84/TimeLine!I83)-1, NA())</f>
        <v>3.1163626312880055E-2</v>
      </c>
      <c r="J83" s="14">
        <f>IFERROR((TimeLine!J84/TimeLine!J83)-1, NA())</f>
        <v>-2.1093176815847547E-2</v>
      </c>
      <c r="K83" s="14">
        <f>IFERROR((TimeLine!K84/TimeLine!K83)-1, NA())</f>
        <v>-4.256299938537178E-2</v>
      </c>
    </row>
    <row r="84" spans="1:11" x14ac:dyDescent="0.2">
      <c r="A84" s="13">
        <f>TimeLine!A85</f>
        <v>44531</v>
      </c>
      <c r="B84" s="14">
        <f>IFERROR((TimeLine!B85/TimeLine!B84)-1, NA())</f>
        <v>3.2990936555891359E-2</v>
      </c>
      <c r="C84" s="14">
        <f>IFERROR((TimeLine!C85/TimeLine!C84)-1, NA())</f>
        <v>2.2560160427807396E-2</v>
      </c>
      <c r="D84" s="14">
        <f>IFERROR((TimeLine!D85/TimeLine!D84)-1, NA())</f>
        <v>4.2584950390727849E-2</v>
      </c>
      <c r="E84" s="14">
        <f>IFERROR((TimeLine!E85/TimeLine!E84)-1, NA())</f>
        <v>-3.0220990996664421E-3</v>
      </c>
      <c r="F84" s="14">
        <f>IFERROR((TimeLine!F85/TimeLine!F84)-1, NA())</f>
        <v>-0.10006119951040393</v>
      </c>
      <c r="G84" s="14">
        <f>IFERROR((TimeLine!G85/TimeLine!G84)-1, NA())</f>
        <v>0.13141513349010925</v>
      </c>
      <c r="H84" s="14">
        <f>IFERROR((TimeLine!H85/TimeLine!H84)-1, NA())</f>
        <v>-2.2428920113463979E-2</v>
      </c>
      <c r="I84" s="14">
        <f>IFERROR((TimeLine!I85/TimeLine!I84)-1, NA())</f>
        <v>2.3409055373137644E-2</v>
      </c>
      <c r="J84" s="14">
        <f>IFERROR((TimeLine!J85/TimeLine!J84)-1, NA())</f>
        <v>8.6846543001686483E-2</v>
      </c>
      <c r="K84" s="14">
        <f>IFERROR((TimeLine!K85/TimeLine!K84)-1, NA())</f>
        <v>2.0221473278767332E-2</v>
      </c>
    </row>
    <row r="85" spans="1:11" x14ac:dyDescent="0.2">
      <c r="A85" s="13">
        <f>TimeLine!A86</f>
        <v>44562</v>
      </c>
      <c r="B85" s="14">
        <f>IFERROR((TimeLine!B86/TimeLine!B85)-1, NA())</f>
        <v>-1.6787552643893311E-2</v>
      </c>
      <c r="C85" s="14">
        <f>IFERROR((TimeLine!C86/TimeLine!C85)-1, NA())</f>
        <v>0.24137931034482762</v>
      </c>
      <c r="D85" s="14">
        <f>IFERROR((TimeLine!D86/TimeLine!D85)-1, NA())</f>
        <v>-5.2741283476503198E-2</v>
      </c>
      <c r="E85" s="14">
        <f>IFERROR((TimeLine!E86/TimeLine!E85)-1, NA())</f>
        <v>-6.1572466056204589E-2</v>
      </c>
      <c r="F85" s="14">
        <f>IFERROR((TimeLine!F86/TimeLine!F85)-1, NA())</f>
        <v>-0.16729003740224424</v>
      </c>
      <c r="G85" s="14">
        <f>IFERROR((TimeLine!G86/TimeLine!G85)-1, NA())</f>
        <v>-1.9134368504707289E-2</v>
      </c>
      <c r="H85" s="14">
        <f>IFERROR((TimeLine!H86/TimeLine!H85)-1, NA())</f>
        <v>-3.9138943248532398E-2</v>
      </c>
      <c r="I85" s="14">
        <f>IFERROR((TimeLine!I86/TimeLine!I85)-1, NA())</f>
        <v>-7.83770216295262E-2</v>
      </c>
      <c r="J85" s="14">
        <f>IFERROR((TimeLine!J86/TimeLine!J85)-1, NA())</f>
        <v>-8.4216877855357364E-2</v>
      </c>
      <c r="K85" s="14">
        <f>IFERROR((TimeLine!K86/TimeLine!K85)-1, NA())</f>
        <v>-2.8315243039169324E-2</v>
      </c>
    </row>
    <row r="86" spans="1:11" x14ac:dyDescent="0.2">
      <c r="A86" s="13">
        <f>TimeLine!A87</f>
        <v>44593</v>
      </c>
      <c r="B86" s="14">
        <f>IFERROR((TimeLine!B87/TimeLine!B86)-1, NA())</f>
        <v>6.1217205068713199E-2</v>
      </c>
      <c r="C86" s="14">
        <f>IFERROR((TimeLine!C87/TimeLine!C86)-1, NA())</f>
        <v>3.2385466034755339E-2</v>
      </c>
      <c r="D86" s="14">
        <f>IFERROR((TimeLine!D87/TimeLine!D86)-1, NA())</f>
        <v>-2.9517014514014006E-2</v>
      </c>
      <c r="E86" s="14">
        <f>IFERROR((TimeLine!E87/TimeLine!E86)-1, NA())</f>
        <v>-4.5760430686406339E-2</v>
      </c>
      <c r="F86" s="14">
        <f>IFERROR((TimeLine!F87/TimeLine!F86)-1, NA())</f>
        <v>-4.083299305839061E-3</v>
      </c>
      <c r="G86" s="14">
        <f>IFERROR((TimeLine!G87/TimeLine!G86)-1, NA())</f>
        <v>-2.8420068557182931E-2</v>
      </c>
      <c r="H86" s="14">
        <f>IFERROR((TimeLine!H87/TimeLine!H86)-1, NA())</f>
        <v>-1.7697872041575802E-2</v>
      </c>
      <c r="I86" s="14">
        <f>IFERROR((TimeLine!I87/TimeLine!I86)-1, NA())</f>
        <v>-4.3456638090276001E-2</v>
      </c>
      <c r="J86" s="14">
        <f>IFERROR((TimeLine!J87/TimeLine!J86)-1, NA())</f>
        <v>-3.4826807228915513E-2</v>
      </c>
      <c r="K86" s="14">
        <f>IFERROR((TimeLine!K87/TimeLine!K86)-1, NA())</f>
        <v>-2.8492795855593389E-2</v>
      </c>
    </row>
    <row r="87" spans="1:11" x14ac:dyDescent="0.2">
      <c r="A87" s="13">
        <f>TimeLine!A88</f>
        <v>44621</v>
      </c>
      <c r="B87" s="14">
        <f>IFERROR((TimeLine!B88/TimeLine!B87)-1, NA())</f>
        <v>1.27256418881041E-2</v>
      </c>
      <c r="C87" s="14">
        <f>IFERROR((TimeLine!C88/TimeLine!C87)-1, NA())</f>
        <v>5.3175210405508766E-2</v>
      </c>
      <c r="D87" s="14">
        <f>IFERROR((TimeLine!D88/TimeLine!D87)-1, NA())</f>
        <v>3.4376932414172057E-2</v>
      </c>
      <c r="E87" s="14">
        <f>IFERROR((TimeLine!E88/TimeLine!E87)-1, NA())</f>
        <v>-3.8645980253878776E-2</v>
      </c>
      <c r="F87" s="14">
        <f>IFERROR((TimeLine!F88/TimeLine!F87)-1, NA())</f>
        <v>0.11890118901189006</v>
      </c>
      <c r="G87" s="14">
        <f>IFERROR((TimeLine!G88/TimeLine!G87)-1, NA())</f>
        <v>-1.9821669125665409E-2</v>
      </c>
      <c r="H87" s="14">
        <f>IFERROR((TimeLine!H88/TimeLine!H87)-1, NA())</f>
        <v>-5.5694573532565905E-2</v>
      </c>
      <c r="I87" s="14">
        <f>IFERROR((TimeLine!I88/TimeLine!I87)-1, NA())</f>
        <v>3.1120794236339844E-2</v>
      </c>
      <c r="J87" s="14">
        <f>IFERROR((TimeLine!J88/TimeLine!J87)-1, NA())</f>
        <v>5.6855861127364848E-2</v>
      </c>
      <c r="K87" s="14">
        <f>IFERROR((TimeLine!K88/TimeLine!K87)-1, NA())</f>
        <v>-4.4992501249790928E-3</v>
      </c>
    </row>
    <row r="88" spans="1:11" x14ac:dyDescent="0.2">
      <c r="A88" s="13">
        <f>TimeLine!A89</f>
        <v>44652</v>
      </c>
      <c r="B88" s="14">
        <f>IFERROR((TimeLine!B89/TimeLine!B88)-1, NA())</f>
        <v>-2.0703016883476422E-2</v>
      </c>
      <c r="C88" s="14">
        <f>IFERROR((TimeLine!C89/TimeLine!C88)-1, NA())</f>
        <v>3.220728901804093E-2</v>
      </c>
      <c r="D88" s="14">
        <f>IFERROR((TimeLine!D89/TimeLine!D88)-1, NA())</f>
        <v>-8.776901957311134E-2</v>
      </c>
      <c r="E88" s="14">
        <f>IFERROR((TimeLine!E89/TimeLine!E88)-1, NA())</f>
        <v>-0.12441314553990601</v>
      </c>
      <c r="F88" s="14">
        <f>IFERROR((TimeLine!F89/TimeLine!F88)-1, NA())</f>
        <v>-0.32026383290582627</v>
      </c>
      <c r="G88" s="14">
        <f>IFERROR((TimeLine!G89/TimeLine!G88)-1, NA())</f>
        <v>5.0719895287958172E-2</v>
      </c>
      <c r="H88" s="14">
        <f>IFERROR((TimeLine!H89/TimeLine!H88)-1, NA())</f>
        <v>-9.5623864324651753E-2</v>
      </c>
      <c r="I88" s="14">
        <f>IFERROR((TimeLine!I89/TimeLine!I88)-1, NA())</f>
        <v>-0.11832500960430281</v>
      </c>
      <c r="J88" s="14">
        <f>IFERROR((TimeLine!J89/TimeLine!J88)-1, NA())</f>
        <v>-4.0878471901817925E-2</v>
      </c>
      <c r="K88" s="14">
        <f>IFERROR((TimeLine!K89/TimeLine!K88)-1, NA())</f>
        <v>-6.4948108470036847E-2</v>
      </c>
    </row>
    <row r="89" spans="1:11" x14ac:dyDescent="0.2">
      <c r="A89" s="13">
        <f>TimeLine!A90</f>
        <v>44682</v>
      </c>
      <c r="B89" s="14">
        <f>IFERROR((TimeLine!B90/TimeLine!B89)-1, NA())</f>
        <v>-3.2615454185744186E-2</v>
      </c>
      <c r="C89" s="14">
        <f>IFERROR((TimeLine!C90/TimeLine!C89)-1, NA())</f>
        <v>0.12609970674486815</v>
      </c>
      <c r="D89" s="14">
        <f>IFERROR((TimeLine!D90/TimeLine!D89)-1, NA())</f>
        <v>2.257281553398105E-3</v>
      </c>
      <c r="E89" s="14">
        <f>IFERROR((TimeLine!E90/TimeLine!E89)-1, NA())</f>
        <v>0.10782506702412853</v>
      </c>
      <c r="F89" s="14">
        <f>IFERROR((TimeLine!F90/TimeLine!F89)-1, NA())</f>
        <v>6.4690026954179469E-3</v>
      </c>
      <c r="G89" s="14">
        <f>IFERROR((TimeLine!G90/TimeLine!G89)-1, NA())</f>
        <v>-7.8916225474930046E-2</v>
      </c>
      <c r="H89" s="14">
        <f>IFERROR((TimeLine!H90/TimeLine!H89)-1, NA())</f>
        <v>-2.4194223524487191E-2</v>
      </c>
      <c r="I89" s="14">
        <f>IFERROR((TimeLine!I90/TimeLine!I89)-1, NA())</f>
        <v>-1.6612200435729751E-2</v>
      </c>
      <c r="J89" s="14">
        <f>IFERROR((TimeLine!J90/TimeLine!J89)-1, NA())</f>
        <v>-4.685395420434868E-2</v>
      </c>
      <c r="K89" s="14">
        <f>IFERROR((TimeLine!K90/TimeLine!K89)-1, NA())</f>
        <v>1.5216612960973874E-2</v>
      </c>
    </row>
    <row r="90" spans="1:11" x14ac:dyDescent="0.2">
      <c r="A90" s="13">
        <f>TimeLine!A91</f>
        <v>44713</v>
      </c>
      <c r="B90" s="14">
        <f>IFERROR((TimeLine!B91/TimeLine!B90)-1, NA())</f>
        <v>-1.5659693817926756E-2</v>
      </c>
      <c r="C90" s="14">
        <f>IFERROR((TimeLine!C91/TimeLine!C90)-1, NA())</f>
        <v>-0.10791666666666666</v>
      </c>
      <c r="D90" s="14">
        <f>IFERROR((TimeLine!D91/TimeLine!D90)-1, NA())</f>
        <v>-8.6406897052769271E-2</v>
      </c>
      <c r="E90" s="14">
        <f>IFERROR((TimeLine!E91/TimeLine!E90)-1, NA())</f>
        <v>-0.14837782651440667</v>
      </c>
      <c r="F90" s="14">
        <f>IFERROR((TimeLine!F91/TimeLine!F90)-1, NA())</f>
        <v>-0.18800214247455815</v>
      </c>
      <c r="G90" s="14">
        <f>IFERROR((TimeLine!G91/TimeLine!G90)-1, NA())</f>
        <v>-2.765756018393295E-2</v>
      </c>
      <c r="H90" s="14">
        <f>IFERROR((TimeLine!H91/TimeLine!H90)-1, NA())</f>
        <v>-1.4498970487302643E-2</v>
      </c>
      <c r="I90" s="14">
        <f>IFERROR((TimeLine!I91/TimeLine!I90)-1, NA())</f>
        <v>-9.5679867072833047E-2</v>
      </c>
      <c r="J90" s="14">
        <f>IFERROR((TimeLine!J91/TimeLine!J90)-1, NA())</f>
        <v>-8.0347229231856221E-2</v>
      </c>
      <c r="K90" s="14">
        <f>IFERROR((TimeLine!K91/TimeLine!K90)-1, NA())</f>
        <v>-8.9931229060130513E-2</v>
      </c>
    </row>
    <row r="91" spans="1:11" x14ac:dyDescent="0.2">
      <c r="A91" s="13">
        <f>TimeLine!A92</f>
        <v>44743</v>
      </c>
      <c r="B91" s="14">
        <f>IFERROR((TimeLine!B92/TimeLine!B91)-1, NA())</f>
        <v>-2.5881514899679492E-2</v>
      </c>
      <c r="C91" s="14">
        <f>IFERROR((TimeLine!C92/TimeLine!C91)-1, NA())</f>
        <v>0.13183092013078013</v>
      </c>
      <c r="D91" s="14">
        <f>IFERROR((TimeLine!D92/TimeLine!D91)-1, NA())</f>
        <v>9.2087475149105424E-2</v>
      </c>
      <c r="E91" s="14">
        <f>IFERROR((TimeLine!E92/TimeLine!E91)-1, NA())</f>
        <v>2.4420566557144197E-2</v>
      </c>
      <c r="F91" s="14">
        <f>IFERROR((TimeLine!F92/TimeLine!F91)-1, NA())</f>
        <v>0.19788918205804751</v>
      </c>
      <c r="G91" s="14">
        <f>IFERROR((TimeLine!G92/TimeLine!G91)-1, NA())</f>
        <v>-3.3938382363168484E-2</v>
      </c>
      <c r="H91" s="14">
        <f>IFERROR((TimeLine!H92/TimeLine!H91)-1, NA())</f>
        <v>2.2286062505440851E-2</v>
      </c>
      <c r="I91" s="14">
        <f>IFERROR((TimeLine!I92/TimeLine!I91)-1, NA())</f>
        <v>0.13367018833256772</v>
      </c>
      <c r="J91" s="14">
        <f>IFERROR((TimeLine!J92/TimeLine!J91)-1, NA())</f>
        <v>8.6159587312040431E-2</v>
      </c>
      <c r="K91" s="14">
        <f>IFERROR((TimeLine!K92/TimeLine!K91)-1, NA())</f>
        <v>3.6427049021507507E-2</v>
      </c>
    </row>
    <row r="92" spans="1:11" x14ac:dyDescent="0.2">
      <c r="A92" s="13">
        <f>TimeLine!A93</f>
        <v>44774</v>
      </c>
      <c r="B92" s="14">
        <f>IFERROR((TimeLine!B93/TimeLine!B92)-1, NA())</f>
        <v>-2.9433272394881027E-2</v>
      </c>
      <c r="C92" s="14">
        <f>IFERROR((TimeLine!C93/TimeLine!C92)-1, NA())</f>
        <v>-1.3824409367584889E-2</v>
      </c>
      <c r="D92" s="14">
        <f>IFERROR((TimeLine!D93/TimeLine!D92)-1, NA())</f>
        <v>-4.0801961212650784E-2</v>
      </c>
      <c r="E92" s="14">
        <f>IFERROR((TimeLine!E93/TimeLine!E92)-1, NA())</f>
        <v>-1.4129680998613003E-2</v>
      </c>
      <c r="F92" s="14">
        <f>IFERROR((TimeLine!F93/TimeLine!F92)-1, NA())</f>
        <v>-0.16905286343612336</v>
      </c>
      <c r="G92" s="14">
        <f>IFERROR((TimeLine!G93/TimeLine!G92)-1, NA())</f>
        <v>-6.9829385933337651E-3</v>
      </c>
      <c r="H92" s="14">
        <f>IFERROR((TimeLine!H93/TimeLine!H92)-1, NA())</f>
        <v>-4.7262198756706231E-2</v>
      </c>
      <c r="I92" s="14">
        <f>IFERROR((TimeLine!I93/TimeLine!I92)-1, NA())</f>
        <v>-5.6509994597514934E-2</v>
      </c>
      <c r="J92" s="14">
        <f>IFERROR((TimeLine!J93/TimeLine!J92)-1, NA())</f>
        <v>-6.0125303152788856E-2</v>
      </c>
      <c r="K92" s="14">
        <f>IFERROR((TimeLine!K93/TimeLine!K92)-1, NA())</f>
        <v>-4.4868199663488428E-2</v>
      </c>
    </row>
    <row r="93" spans="1:11" x14ac:dyDescent="0.2">
      <c r="A93" s="13">
        <f>TimeLine!A94</f>
        <v>44805</v>
      </c>
      <c r="B93" s="14">
        <f>IFERROR((TimeLine!B94/TimeLine!B93)-1, NA())</f>
        <v>-2.8881773089721952E-2</v>
      </c>
      <c r="C93" s="14">
        <f>IFERROR((TimeLine!C94/TimeLine!C93)-1, NA())</f>
        <v>-8.6619939324197093E-2</v>
      </c>
      <c r="D93" s="14">
        <f>IFERROR((TimeLine!D94/TimeLine!D93)-1, NA())</f>
        <v>-9.6158712485449716E-2</v>
      </c>
      <c r="E93" s="14">
        <f>IFERROR((TimeLine!E94/TimeLine!E93)-1, NA())</f>
        <v>-8.1157126527741208E-2</v>
      </c>
      <c r="F93" s="14">
        <f>IFERROR((TimeLine!F94/TimeLine!F93)-1, NA())</f>
        <v>-0.19549370444002645</v>
      </c>
      <c r="G93" s="14">
        <f>IFERROR((TimeLine!G94/TimeLine!G93)-1, NA())</f>
        <v>-8.4746991445555975E-2</v>
      </c>
      <c r="H93" s="14">
        <f>IFERROR((TimeLine!H94/TimeLine!H93)-1, NA())</f>
        <v>-8.4286735788344558E-2</v>
      </c>
      <c r="I93" s="14">
        <f>IFERROR((TimeLine!I94/TimeLine!I93)-1, NA())</f>
        <v>-0.1199896930829133</v>
      </c>
      <c r="J93" s="14">
        <f>IFERROR((TimeLine!J94/TimeLine!J93)-1, NA())</f>
        <v>-0.13804967207827123</v>
      </c>
      <c r="K93" s="14">
        <f>IFERROR((TimeLine!K94/TimeLine!K93)-1, NA())</f>
        <v>-0.10412996672538655</v>
      </c>
    </row>
    <row r="94" spans="1:11" x14ac:dyDescent="0.2">
      <c r="A94" s="13">
        <f>TimeLine!A95</f>
        <v>44835</v>
      </c>
      <c r="B94" s="14">
        <f>IFERROR((TimeLine!B95/TimeLine!B94)-1, NA())</f>
        <v>-1.7844443007693722E-2</v>
      </c>
      <c r="C94" s="14">
        <f>IFERROR((TimeLine!C95/TimeLine!C94)-1, NA())</f>
        <v>0.26915588134234336</v>
      </c>
      <c r="D94" s="14">
        <f>IFERROR((TimeLine!D95/TimeLine!D94)-1, NA())</f>
        <v>8.1275547343076182E-2</v>
      </c>
      <c r="E94" s="14">
        <f>IFERROR((TimeLine!E95/TimeLine!E94)-1, NA())</f>
        <v>0.20459330143540666</v>
      </c>
      <c r="F94" s="14">
        <f>IFERROR((TimeLine!F95/TimeLine!F94)-1, NA())</f>
        <v>0.1120263591433277</v>
      </c>
      <c r="G94" s="14">
        <f>IFERROR((TimeLine!G95/TimeLine!G94)-1, NA())</f>
        <v>6.669306930693053E-2</v>
      </c>
      <c r="H94" s="14">
        <f>IFERROR((TimeLine!H95/TimeLine!H94)-1, NA())</f>
        <v>-6.1883845778428537E-2</v>
      </c>
      <c r="I94" s="14">
        <f>IFERROR((TimeLine!I95/TimeLine!I94)-1, NA())</f>
        <v>7.4275303380290758E-2</v>
      </c>
      <c r="J94" s="14">
        <f>IFERROR((TimeLine!J95/TimeLine!J94)-1, NA())</f>
        <v>3.5050517649993784E-2</v>
      </c>
      <c r="K94" s="14">
        <f>IFERROR((TimeLine!K95/TimeLine!K94)-1, NA())</f>
        <v>3.4083460782171615E-2</v>
      </c>
    </row>
    <row r="95" spans="1:11" x14ac:dyDescent="0.2">
      <c r="A95" s="13">
        <f>TimeLine!A96</f>
        <v>44866</v>
      </c>
      <c r="B95" s="14">
        <f>IFERROR((TimeLine!B96/TimeLine!B95)-1, NA())</f>
        <v>8.4918701862945145E-2</v>
      </c>
      <c r="C95" s="14">
        <f>IFERROR((TimeLine!C96/TimeLine!C95)-1, NA())</f>
        <v>4.7829618265500251E-3</v>
      </c>
      <c r="D95" s="14">
        <f>IFERROR((TimeLine!D96/TimeLine!D95)-1, NA())</f>
        <v>5.5591517568162496E-2</v>
      </c>
      <c r="E95" s="14">
        <f>IFERROR((TimeLine!E96/TimeLine!E95)-1, NA())</f>
        <v>9.7712106768350848E-2</v>
      </c>
      <c r="F95" s="14">
        <f>IFERROR((TimeLine!F96/TimeLine!F95)-1, NA())</f>
        <v>0.25333333333333341</v>
      </c>
      <c r="G95" s="14">
        <f>IFERROR((TimeLine!G96/TimeLine!G95)-1, NA())</f>
        <v>0.10759634662508355</v>
      </c>
      <c r="H95" s="14">
        <f>IFERROR((TimeLine!H96/TimeLine!H95)-1, NA())</f>
        <v>6.887940901050893E-2</v>
      </c>
      <c r="I95" s="14">
        <f>IFERROR((TimeLine!I96/TimeLine!I95)-1, NA())</f>
        <v>5.3725015142338073E-2</v>
      </c>
      <c r="J95" s="14">
        <f>IFERROR((TimeLine!J96/TimeLine!J95)-1, NA())</f>
        <v>6.1460592913955114E-2</v>
      </c>
      <c r="K95" s="14">
        <f>IFERROR((TimeLine!K96/TimeLine!K95)-1, NA())</f>
        <v>0.13036129304880628</v>
      </c>
    </row>
    <row r="96" spans="1:11" x14ac:dyDescent="0.2">
      <c r="A96" s="13">
        <f>TimeLine!A97</f>
        <v>44896</v>
      </c>
      <c r="B96" s="14">
        <f>IFERROR((TimeLine!B97/TimeLine!B96)-1, NA())</f>
        <v>2.930647412171572E-2</v>
      </c>
      <c r="C96" s="14">
        <f>IFERROR((TimeLine!C97/TimeLine!C96)-1, NA())</f>
        <v>-9.3407580384409217E-3</v>
      </c>
      <c r="D96" s="14">
        <f>IFERROR((TimeLine!D97/TimeLine!D96)-1, NA())</f>
        <v>-6.1935832025117765E-2</v>
      </c>
      <c r="E96" s="14">
        <f>IFERROR((TimeLine!E97/TimeLine!E96)-1, NA())</f>
        <v>-2.9526704298740825E-2</v>
      </c>
      <c r="F96" s="14">
        <f>IFERROR((TimeLine!F97/TimeLine!F96)-1, NA())</f>
        <v>-0.13652482269503563</v>
      </c>
      <c r="G96" s="14">
        <f>IFERROR((TimeLine!G97/TimeLine!G96)-1, NA())</f>
        <v>1.6090104585679832E-2</v>
      </c>
      <c r="H96" s="14">
        <f>IFERROR((TimeLine!H97/TimeLine!H96)-1, NA())</f>
        <v>-3.0857587851649937E-2</v>
      </c>
      <c r="I96" s="14">
        <f>IFERROR((TimeLine!I97/TimeLine!I96)-1, NA())</f>
        <v>-8.1996896016554466E-2</v>
      </c>
      <c r="J96" s="14">
        <f>IFERROR((TimeLine!J97/TimeLine!J96)-1, NA())</f>
        <v>-6.3578564940962701E-2</v>
      </c>
      <c r="K96" s="14">
        <f>IFERROR((TimeLine!K97/TimeLine!K96)-1, NA())</f>
        <v>-3.3271028037383243E-2</v>
      </c>
    </row>
    <row r="97" spans="1:11" x14ac:dyDescent="0.2">
      <c r="A97" s="13">
        <f>TimeLine!A98</f>
        <v>44927</v>
      </c>
      <c r="B97" s="14">
        <f>IFERROR((TimeLine!B98/TimeLine!B97)-1, NA())</f>
        <v>5.7592548927139831E-2</v>
      </c>
      <c r="C97" s="14">
        <f>IFERROR((TimeLine!C98/TimeLine!C97)-1, NA())</f>
        <v>5.1767905711695539E-2</v>
      </c>
      <c r="D97" s="14">
        <f>IFERROR((TimeLine!D98/TimeLine!D97)-1, NA())</f>
        <v>6.2887325785111026E-2</v>
      </c>
      <c r="E97" s="14">
        <f>IFERROR((TimeLine!E98/TimeLine!E97)-1, NA())</f>
        <v>4.3698732289336517E-2</v>
      </c>
      <c r="F97" s="14">
        <f>IFERROR((TimeLine!F98/TimeLine!F97)-1, NA())</f>
        <v>0.33744010951403158</v>
      </c>
      <c r="G97" s="14">
        <f>IFERROR((TimeLine!G98/TimeLine!G97)-1, NA())</f>
        <v>-6.0570071258907454E-2</v>
      </c>
      <c r="H97" s="14">
        <f>IFERROR((TimeLine!H98/TimeLine!H97)-1, NA())</f>
        <v>7.6436319807151376E-2</v>
      </c>
      <c r="I97" s="14">
        <f>IFERROR((TimeLine!I98/TimeLine!I97)-1, NA())</f>
        <v>9.6960020036942929E-2</v>
      </c>
      <c r="J97" s="14">
        <f>IFERROR((TimeLine!J98/TimeLine!J97)-1, NA())</f>
        <v>0.10402521823472344</v>
      </c>
      <c r="K97" s="14">
        <f>IFERROR((TimeLine!K98/TimeLine!K97)-1, NA())</f>
        <v>8.681361175560709E-2</v>
      </c>
    </row>
    <row r="98" spans="1:11" x14ac:dyDescent="0.2">
      <c r="A98" s="13">
        <f>TimeLine!A99</f>
        <v>44958</v>
      </c>
      <c r="B98" s="14">
        <f>IFERROR((TimeLine!B99/TimeLine!B98)-1, NA())</f>
        <v>-5.3675937796109463E-2</v>
      </c>
      <c r="C98" s="14">
        <f>IFERROR((TimeLine!C99/TimeLine!C98)-1, NA())</f>
        <v>-5.2581673993621347E-2</v>
      </c>
      <c r="D98" s="14">
        <f>IFERROR((TimeLine!D99/TimeLine!D98)-1, NA())</f>
        <v>-2.514268844715617E-2</v>
      </c>
      <c r="E98" s="14">
        <f>IFERROR((TimeLine!E99/TimeLine!E98)-1, NA())</f>
        <v>2.422120605887379E-2</v>
      </c>
      <c r="F98" s="14">
        <f>IFERROR((TimeLine!F99/TimeLine!F98)-1, NA())</f>
        <v>0.18833162743091103</v>
      </c>
      <c r="G98" s="14">
        <f>IFERROR((TimeLine!G99/TimeLine!G98)-1, NA())</f>
        <v>-3.3853069251299273E-2</v>
      </c>
      <c r="H98" s="14">
        <f>IFERROR((TimeLine!H99/TimeLine!H98)-1, NA())</f>
        <v>-5.0947093403004629E-2</v>
      </c>
      <c r="I98" s="14">
        <f>IFERROR((TimeLine!I99/TimeLine!I98)-1, NA())</f>
        <v>4.9660368742507899E-3</v>
      </c>
      <c r="J98" s="14">
        <f>IFERROR((TimeLine!J99/TimeLine!J98)-1, NA())</f>
        <v>-5.8642653195695171E-2</v>
      </c>
      <c r="K98" s="14">
        <f>IFERROR((TimeLine!K99/TimeLine!K98)-1, NA())</f>
        <v>-4.2697028998398889E-2</v>
      </c>
    </row>
    <row r="99" spans="1:11" x14ac:dyDescent="0.2">
      <c r="A99" s="13">
        <f>TimeLine!A100</f>
        <v>44986</v>
      </c>
      <c r="B99" s="14">
        <f>IFERROR((TimeLine!B100/TimeLine!B99)-1, NA())</f>
        <v>7.9161267522676493E-2</v>
      </c>
      <c r="C99" s="14">
        <f>IFERROR((TimeLine!C100/TimeLine!C99)-1, NA())</f>
        <v>-2.2745882995177658E-3</v>
      </c>
      <c r="D99" s="14">
        <f>IFERROR((TimeLine!D100/TimeLine!D99)-1, NA())</f>
        <v>3.3134810477968957E-2</v>
      </c>
      <c r="E99" s="14">
        <f>IFERROR((TimeLine!E100/TimeLine!E99)-1, NA())</f>
        <v>-9.0966166724799402E-2</v>
      </c>
      <c r="F99" s="14">
        <f>IFERROR((TimeLine!F100/TimeLine!F99)-1, NA())</f>
        <v>0.19638242894056868</v>
      </c>
      <c r="G99" s="14">
        <f>IFERROR((TimeLine!G100/TimeLine!G99)-1, NA())</f>
        <v>8.0910148298924067E-2</v>
      </c>
      <c r="H99" s="14">
        <f>IFERROR((TimeLine!H100/TimeLine!H99)-1, NA())</f>
        <v>4.5816537213646757E-2</v>
      </c>
      <c r="I99" s="14">
        <f>IFERROR((TimeLine!I100/TimeLine!I99)-1, NA())</f>
        <v>9.4712029989776347E-2</v>
      </c>
      <c r="J99" s="14">
        <f>IFERROR((TimeLine!J100/TimeLine!J99)-1, NA())</f>
        <v>-3.1264582361175797E-2</v>
      </c>
      <c r="K99" s="14">
        <f>IFERROR((TimeLine!K100/TimeLine!K99)-1, NA())</f>
        <v>2.6017468871956773E-2</v>
      </c>
    </row>
    <row r="100" spans="1:11" x14ac:dyDescent="0.2">
      <c r="A100" s="13">
        <f>TimeLine!A101</f>
        <v>45017</v>
      </c>
      <c r="B100" s="14">
        <f>IFERROR((TimeLine!B101/TimeLine!B100)-1, NA())</f>
        <v>8.6235127169522752E-3</v>
      </c>
      <c r="C100" s="14">
        <f>IFERROR((TimeLine!C101/TimeLine!C100)-1, NA())</f>
        <v>7.9153747948203623E-2</v>
      </c>
      <c r="D100" s="14">
        <f>IFERROR((TimeLine!D101/TimeLine!D100)-1, NA())</f>
        <v>1.5974987176042399E-2</v>
      </c>
      <c r="E100" s="14">
        <f>IFERROR((TimeLine!E101/TimeLine!E100)-1, NA())</f>
        <v>6.0854884506177598E-2</v>
      </c>
      <c r="F100" s="14">
        <f>IFERROR((TimeLine!F101/TimeLine!F100)-1, NA())</f>
        <v>-1.0799136069115089E-3</v>
      </c>
      <c r="G100" s="14">
        <f>IFERROR((TimeLine!G101/TimeLine!G100)-1, NA())</f>
        <v>5.1718340170825217E-2</v>
      </c>
      <c r="H100" s="14">
        <f>IFERROR((TimeLine!H101/TimeLine!H100)-1, NA())</f>
        <v>8.4610322459321985E-4</v>
      </c>
      <c r="I100" s="14">
        <f>IFERROR((TimeLine!I101/TimeLine!I100)-1, NA())</f>
        <v>-2.8796015254105578E-3</v>
      </c>
      <c r="J100" s="14">
        <f>IFERROR((TimeLine!J101/TimeLine!J100)-1, NA())</f>
        <v>3.1310211946049549E-3</v>
      </c>
      <c r="K100" s="14">
        <f>IFERROR((TimeLine!K101/TimeLine!K100)-1, NA())</f>
        <v>1.8837167179858616E-2</v>
      </c>
    </row>
    <row r="101" spans="1:11" x14ac:dyDescent="0.2">
      <c r="A101" s="13">
        <f>TimeLine!A102</f>
        <v>45047</v>
      </c>
      <c r="B101" s="14">
        <f>IFERROR((TimeLine!B102/TimeLine!B101)-1, NA())</f>
        <v>-1.3419913419913554E-2</v>
      </c>
      <c r="C101" s="14">
        <f>IFERROR((TimeLine!C102/TimeLine!C101)-1, NA())</f>
        <v>-0.13655568700354903</v>
      </c>
      <c r="D101" s="14">
        <f>IFERROR((TimeLine!D102/TimeLine!D101)-1, NA())</f>
        <v>4.6161613733080031E-3</v>
      </c>
      <c r="E101" s="14">
        <f>IFERROR((TimeLine!E102/TimeLine!E101)-1, NA())</f>
        <v>-1.830150462962965E-2</v>
      </c>
      <c r="F101" s="14">
        <f>IFERROR((TimeLine!F102/TimeLine!F101)-1, NA())</f>
        <v>0.36324324324324309</v>
      </c>
      <c r="G101" s="14">
        <f>IFERROR((TimeLine!G102/TimeLine!G101)-1, NA())</f>
        <v>-8.8758153216523805E-2</v>
      </c>
      <c r="H101" s="14">
        <f>IFERROR((TimeLine!H102/TimeLine!H101)-1, NA())</f>
        <v>-3.2594401653203042E-2</v>
      </c>
      <c r="I101" s="14">
        <f>IFERROR((TimeLine!I102/TimeLine!I101)-1, NA())</f>
        <v>8.4608179831408004E-2</v>
      </c>
      <c r="J101" s="14">
        <f>IFERROR((TimeLine!J102/TimeLine!J101)-1, NA())</f>
        <v>-3.9615846338535432E-2</v>
      </c>
      <c r="K101" s="14">
        <f>IFERROR((TimeLine!K102/TimeLine!K101)-1, NA())</f>
        <v>-3.5022222222222177E-2</v>
      </c>
    </row>
    <row r="102" spans="1:11" x14ac:dyDescent="0.2">
      <c r="A102" s="13">
        <f>TimeLine!A103</f>
        <v>45078</v>
      </c>
      <c r="B102" s="14">
        <f>IFERROR((TimeLine!B103/TimeLine!B102)-1, NA())</f>
        <v>-2.2213690215006521E-2</v>
      </c>
      <c r="C102" s="14">
        <f>IFERROR((TimeLine!C103/TimeLine!C102)-1, NA())</f>
        <v>4.961832061068705E-2</v>
      </c>
      <c r="D102" s="14">
        <f>IFERROR((TimeLine!D103/TimeLine!D102)-1, NA())</f>
        <v>6.0859159985640732E-2</v>
      </c>
      <c r="E102" s="14">
        <f>IFERROR((TimeLine!E103/TimeLine!E102)-1, NA())</f>
        <v>7.1697000957924972E-2</v>
      </c>
      <c r="F102" s="14">
        <f>IFERROR((TimeLine!F103/TimeLine!F102)-1, NA())</f>
        <v>0.1181601903251388</v>
      </c>
      <c r="G102" s="14">
        <f>IFERROR((TimeLine!G103/TimeLine!G102)-1, NA())</f>
        <v>6.4842105263158034E-2</v>
      </c>
      <c r="H102" s="14">
        <f>IFERROR((TimeLine!H103/TimeLine!H102)-1, NA())</f>
        <v>-4.8548402757542242E-4</v>
      </c>
      <c r="I102" s="14">
        <f>IFERROR((TimeLine!I103/TimeLine!I102)-1, NA())</f>
        <v>6.0640951832661827E-2</v>
      </c>
      <c r="J102" s="14">
        <f>IFERROR((TimeLine!J103/TimeLine!J102)-1, NA())</f>
        <v>4.4499999999999984E-2</v>
      </c>
      <c r="K102" s="14">
        <f>IFERROR((TimeLine!K103/TimeLine!K102)-1, NA())</f>
        <v>3.3161385408990274E-2</v>
      </c>
    </row>
    <row r="103" spans="1:11" x14ac:dyDescent="0.2">
      <c r="A103" s="13">
        <f>TimeLine!A104</f>
        <v>45108</v>
      </c>
      <c r="B103" s="14">
        <f>IFERROR((TimeLine!B104/TimeLine!B103)-1, NA())</f>
        <v>2.2886632635889192E-2</v>
      </c>
      <c r="C103" s="14">
        <f>IFERROR((TimeLine!C104/TimeLine!C103)-1, NA())</f>
        <v>-9.3240093240187782E-5</v>
      </c>
      <c r="D103" s="14">
        <f>IFERROR((TimeLine!D104/TimeLine!D103)-1, NA())</f>
        <v>3.2733261144197945E-2</v>
      </c>
      <c r="E103" s="14">
        <f>IFERROR((TimeLine!E104/TimeLine!E103)-1, NA())</f>
        <v>8.6083608360836061E-2</v>
      </c>
      <c r="F103" s="14">
        <f>IFERROR((TimeLine!F104/TimeLine!F103)-1, NA())</f>
        <v>0.10472813238770695</v>
      </c>
      <c r="G103" s="14">
        <f>IFERROR((TimeLine!G104/TimeLine!G103)-1, NA())</f>
        <v>3.0051403716884195E-2</v>
      </c>
      <c r="H103" s="14">
        <f>IFERROR((TimeLine!H104/TimeLine!H103)-1, NA())</f>
        <v>-2.807460656693217E-2</v>
      </c>
      <c r="I103" s="14">
        <f>IFERROR((TimeLine!I104/TimeLine!I103)-1, NA())</f>
        <v>2.8609553102949103E-2</v>
      </c>
      <c r="J103" s="14">
        <f>IFERROR((TimeLine!J104/TimeLine!J103)-1, NA())</f>
        <v>2.0344662517951306E-2</v>
      </c>
      <c r="K103" s="14">
        <f>IFERROR((TimeLine!K104/TimeLine!K103)-1, NA())</f>
        <v>3.8873038516405112E-2</v>
      </c>
    </row>
    <row r="104" spans="1:11" x14ac:dyDescent="0.2">
      <c r="A104" s="13">
        <f>TimeLine!A105</f>
        <v>45139</v>
      </c>
      <c r="B104" s="14">
        <f>IFERROR((TimeLine!B105/TimeLine!B104)-1, NA())</f>
        <v>-1.2777625445571594E-2</v>
      </c>
      <c r="C104" s="14">
        <f>IFERROR((TimeLine!C105/TimeLine!C104)-1, NA())</f>
        <v>3.6833271167474813E-2</v>
      </c>
      <c r="D104" s="14">
        <f>IFERROR((TimeLine!D105/TimeLine!D104)-1, NA())</f>
        <v>-1.6251993272024312E-2</v>
      </c>
      <c r="E104" s="14">
        <f>IFERROR((TimeLine!E105/TimeLine!E104)-1, NA())</f>
        <v>-7.3626234489744258E-2</v>
      </c>
      <c r="F104" s="14">
        <f>IFERROR((TimeLine!F105/TimeLine!F104)-1, NA())</f>
        <v>5.6066766531136514E-2</v>
      </c>
      <c r="G104" s="14">
        <f>IFERROR((TimeLine!G105/TimeLine!G104)-1, NA())</f>
        <v>-1.2539987204094771E-2</v>
      </c>
      <c r="H104" s="14">
        <f>IFERROR((TimeLine!H105/TimeLine!H104)-1, NA())</f>
        <v>-3.4082958520739615E-2</v>
      </c>
      <c r="I104" s="14">
        <f>IFERROR((TimeLine!I105/TimeLine!I104)-1, NA())</f>
        <v>-2.1833293023460376E-2</v>
      </c>
      <c r="J104" s="14">
        <f>IFERROR((TimeLine!J105/TimeLine!J104)-1, NA())</f>
        <v>-3.3779028852920612E-2</v>
      </c>
      <c r="K104" s="14">
        <f>IFERROR((TimeLine!K105/TimeLine!K104)-1, NA())</f>
        <v>-4.3940954342602034E-2</v>
      </c>
    </row>
    <row r="105" spans="1:11" x14ac:dyDescent="0.2">
      <c r="A105" s="13">
        <f>TimeLine!A106</f>
        <v>45170</v>
      </c>
      <c r="B105" s="14">
        <f>IFERROR((TimeLine!B106/TimeLine!B105)-1, NA())</f>
        <v>-4.7605821575380625E-2</v>
      </c>
      <c r="C105" s="14">
        <f>IFERROR((TimeLine!C106/TimeLine!C105)-1, NA())</f>
        <v>5.7469196870222117E-2</v>
      </c>
      <c r="D105" s="14">
        <f>IFERROR((TimeLine!D106/TimeLine!D105)-1, NA())</f>
        <v>-5.0782724547574154E-2</v>
      </c>
      <c r="E105" s="14">
        <f>IFERROR((TimeLine!E106/TimeLine!E105)-1, NA())</f>
        <v>-8.952367935488259E-3</v>
      </c>
      <c r="F105" s="14">
        <f>IFERROR((TimeLine!F106/TimeLine!F105)-1, NA())</f>
        <v>-0.1185410334346505</v>
      </c>
      <c r="G105" s="14">
        <f>IFERROR((TimeLine!G106/TimeLine!G105)-1, NA())</f>
        <v>-5.4943630944667587E-2</v>
      </c>
      <c r="H105" s="14">
        <f>IFERROR((TimeLine!H106/TimeLine!H105)-1, NA())</f>
        <v>-8.2264072847682113E-2</v>
      </c>
      <c r="I105" s="14">
        <f>IFERROR((TimeLine!I106/TimeLine!I105)-1, NA())</f>
        <v>-6.7388958820356115E-2</v>
      </c>
      <c r="J105" s="14">
        <f>IFERROR((TimeLine!J106/TimeLine!J105)-1, NA())</f>
        <v>-8.1573197378004392E-2</v>
      </c>
      <c r="K105" s="14">
        <f>IFERROR((TimeLine!K106/TimeLine!K105)-1, NA())</f>
        <v>-3.9138240574506322E-2</v>
      </c>
    </row>
    <row r="106" spans="1:11" x14ac:dyDescent="0.2">
      <c r="A106" s="13">
        <f>TimeLine!A107</f>
        <v>45200</v>
      </c>
      <c r="B106" s="14">
        <f>IFERROR((TimeLine!B107/TimeLine!B106)-1, NA())</f>
        <v>7.3724117818606105E-2</v>
      </c>
      <c r="C106" s="14">
        <f>IFERROR((TimeLine!C107/TimeLine!C106)-1, NA())</f>
        <v>-9.9761864262629785E-2</v>
      </c>
      <c r="D106" s="14">
        <f>IFERROR((TimeLine!D107/TimeLine!D106)-1, NA())</f>
        <v>-2.1708617947038489E-2</v>
      </c>
      <c r="E106" s="14">
        <f>IFERROR((TimeLine!E107/TimeLine!E106)-1, NA())</f>
        <v>-4.1097779616604657E-2</v>
      </c>
      <c r="F106" s="14">
        <f>IFERROR((TimeLine!F107/TimeLine!F106)-1, NA())</f>
        <v>-6.2528735632183863E-2</v>
      </c>
      <c r="G106" s="14">
        <f>IFERROR((TimeLine!G107/TimeLine!G106)-1, NA())</f>
        <v>2.8589058000822565E-2</v>
      </c>
      <c r="H106" s="14">
        <f>IFERROR((TimeLine!H107/TimeLine!H106)-1, NA())</f>
        <v>-5.761641673243878E-2</v>
      </c>
      <c r="I106" s="14">
        <f>IFERROR((TimeLine!I107/TimeLine!I106)-1, NA())</f>
        <v>-1.7112557242708992E-2</v>
      </c>
      <c r="J106" s="14">
        <f>IFERROR((TimeLine!J107/TimeLine!J106)-1, NA())</f>
        <v>-3.6214644462067125E-2</v>
      </c>
      <c r="K106" s="14">
        <f>IFERROR((TimeLine!K107/TimeLine!K106)-1, NA())</f>
        <v>-3.3632286995515792E-2</v>
      </c>
    </row>
    <row r="107" spans="1:11" x14ac:dyDescent="0.2">
      <c r="A107" s="13">
        <f>TimeLine!A108</f>
        <v>45231</v>
      </c>
      <c r="B107" s="14">
        <f>IFERROR((TimeLine!B108/TimeLine!B107)-1, NA())</f>
        <v>2.5313705252865359E-2</v>
      </c>
      <c r="C107" s="14">
        <f>IFERROR((TimeLine!C108/TimeLine!C107)-1, NA())</f>
        <v>-2.938119981105336E-2</v>
      </c>
      <c r="D107" s="14">
        <f>IFERROR((TimeLine!D108/TimeLine!D107)-1, NA())</f>
        <v>9.1343854615016706E-2</v>
      </c>
      <c r="E107" s="14">
        <f>IFERROR((TimeLine!E108/TimeLine!E107)-1, NA())</f>
        <v>0.12239321156335392</v>
      </c>
      <c r="F107" s="14">
        <f>IFERROR((TimeLine!F108/TimeLine!F107)-1, NA())</f>
        <v>0.14688572829818547</v>
      </c>
      <c r="G107" s="14">
        <f>IFERROR((TimeLine!G108/TimeLine!G107)-1, NA())</f>
        <v>2.3262014263814024E-2</v>
      </c>
      <c r="H107" s="14">
        <f>IFERROR((TimeLine!H108/TimeLine!H107)-1, NA())</f>
        <v>9.5477386934673447E-2</v>
      </c>
      <c r="I107" s="14">
        <f>IFERROR((TimeLine!I108/TimeLine!I107)-1, NA())</f>
        <v>0.13298185384992633</v>
      </c>
      <c r="J107" s="14">
        <f>IFERROR((TimeLine!J108/TimeLine!J107)-1, NA())</f>
        <v>0.1208173340647285</v>
      </c>
      <c r="K107" s="14">
        <f>IFERROR((TimeLine!K108/TimeLine!K107)-1, NA())</f>
        <v>8.2366589327146134E-2</v>
      </c>
    </row>
    <row r="108" spans="1:11" x14ac:dyDescent="0.2">
      <c r="A108" s="13">
        <f>TimeLine!A109</f>
        <v>45261</v>
      </c>
      <c r="B108" s="14">
        <f>IFERROR((TimeLine!B109/TimeLine!B108)-1, NA())</f>
        <v>1.2821192052980157E-2</v>
      </c>
      <c r="C108" s="14">
        <f>IFERROR((TimeLine!C109/TimeLine!C108)-1, NA())</f>
        <v>-2.6863928362857559E-2</v>
      </c>
      <c r="D108" s="14">
        <f>IFERROR((TimeLine!D109/TimeLine!D108)-1, NA())</f>
        <v>4.1432953549517926E-2</v>
      </c>
      <c r="E108" s="14">
        <f>IFERROR((TimeLine!E109/TimeLine!E108)-1, NA())</f>
        <v>8.9825730394669234E-2</v>
      </c>
      <c r="F108" s="14">
        <f>IFERROR((TimeLine!F109/TimeLine!F108)-1, NA())</f>
        <v>5.8798375026726468E-2</v>
      </c>
      <c r="G108" s="14">
        <f>IFERROR((TimeLine!G109/TimeLine!G108)-1, NA())</f>
        <v>-4.5466388744137665E-2</v>
      </c>
      <c r="H108" s="14">
        <f>IFERROR((TimeLine!H109/TimeLine!H108)-1, NA())</f>
        <v>7.9947575360419298E-2</v>
      </c>
      <c r="I108" s="14">
        <f>IFERROR((TimeLine!I109/TimeLine!I108)-1, NA())</f>
        <v>4.7551024825227772E-2</v>
      </c>
      <c r="J108" s="14">
        <f>IFERROR((TimeLine!J109/TimeLine!J108)-1, NA())</f>
        <v>8.1120763489538561E-2</v>
      </c>
      <c r="K108" s="14">
        <f>IFERROR((TimeLine!K109/TimeLine!K108)-1, NA())</f>
        <v>3.5369774919614239E-2</v>
      </c>
    </row>
    <row r="109" spans="1:11" x14ac:dyDescent="0.2">
      <c r="A109" s="13">
        <f>TimeLine!A110</f>
        <v>45292</v>
      </c>
      <c r="B109" s="14">
        <f>IFERROR((TimeLine!B110/TimeLine!B109)-1, NA())</f>
        <v>-1.4228173876654315E-2</v>
      </c>
      <c r="C109" s="14">
        <f>IFERROR((TimeLine!C110/TimeLine!C109)-1, NA())</f>
        <v>2.8305661132226323E-2</v>
      </c>
      <c r="D109" s="14">
        <f>IFERROR((TimeLine!D110/TimeLine!D109)-1, NA())</f>
        <v>1.592644800235643E-2</v>
      </c>
      <c r="E109" s="14">
        <f>IFERROR((TimeLine!E110/TimeLine!E109)-1, NA())</f>
        <v>2.5044091710758387E-2</v>
      </c>
      <c r="F109" s="14">
        <f>IFERROR((TimeLine!F110/TimeLine!F109)-1, NA())</f>
        <v>0.2425282714054926</v>
      </c>
      <c r="G109" s="14">
        <f>IFERROR((TimeLine!G110/TimeLine!G109)-1, NA())</f>
        <v>7.233519858059223E-2</v>
      </c>
      <c r="H109" s="14">
        <f>IFERROR((TimeLine!H110/TimeLine!H109)-1, NA())</f>
        <v>-2.2451456310679574E-2</v>
      </c>
      <c r="I109" s="14">
        <f>IFERROR((TimeLine!I110/TimeLine!I109)-1, NA())</f>
        <v>2.0475206611570318E-2</v>
      </c>
      <c r="J109" s="14">
        <f>IFERROR((TimeLine!J110/TimeLine!J109)-1, NA())</f>
        <v>-5.0588501584427292E-2</v>
      </c>
      <c r="K109" s="14">
        <f>IFERROR((TimeLine!K110/TimeLine!K109)-1, NA())</f>
        <v>-1.7080745341614967E-2</v>
      </c>
    </row>
    <row r="110" spans="1:11" x14ac:dyDescent="0.2">
      <c r="A110" s="13">
        <f>TimeLine!A111</f>
        <v>45323</v>
      </c>
      <c r="B110" s="14">
        <f>IFERROR((TimeLine!B111/TimeLine!B110)-1, NA())</f>
        <v>4.5635447068188562E-3</v>
      </c>
      <c r="C110" s="14">
        <f>IFERROR((TimeLine!C111/TimeLine!C110)-1, NA())</f>
        <v>1.663262328567261E-2</v>
      </c>
      <c r="D110" s="14">
        <f>IFERROR((TimeLine!D111/TimeLine!D110)-1, NA())</f>
        <v>5.2186878727634278E-2</v>
      </c>
      <c r="E110" s="14">
        <f>IFERROR((TimeLine!E111/TimeLine!E110)-1, NA())</f>
        <v>6.710254645560898E-2</v>
      </c>
      <c r="F110" s="14">
        <f>IFERROR((TimeLine!F111/TimeLine!F110)-1, NA())</f>
        <v>0.28571428571428559</v>
      </c>
      <c r="G110" s="14">
        <f>IFERROR((TimeLine!G111/TimeLine!G110)-1, NA())</f>
        <v>1.1454753722795141E-2</v>
      </c>
      <c r="H110" s="14">
        <f>IFERROR((TimeLine!H111/TimeLine!H110)-1, NA())</f>
        <v>-2.5656941858059112E-2</v>
      </c>
      <c r="I110" s="14">
        <f>IFERROR((TimeLine!I111/TimeLine!I110)-1, NA())</f>
        <v>4.8348889473790679E-2</v>
      </c>
      <c r="J110" s="14">
        <f>IFERROR((TimeLine!J111/TimeLine!J110)-1, NA())</f>
        <v>1.9787817379902206E-2</v>
      </c>
      <c r="K110" s="14">
        <f>IFERROR((TimeLine!K111/TimeLine!K110)-1, NA())</f>
        <v>2.9138142882218832E-2</v>
      </c>
    </row>
    <row r="111" spans="1:11" x14ac:dyDescent="0.2">
      <c r="A111" s="13">
        <f>TimeLine!A112</f>
        <v>45352</v>
      </c>
      <c r="B111" s="14">
        <f>IFERROR((TimeLine!B112/TimeLine!B111)-1, NA())</f>
        <v>8.6683218002218565E-2</v>
      </c>
      <c r="C111" s="14">
        <f>IFERROR((TimeLine!C112/TimeLine!C111)-1, NA())</f>
        <v>0.11213164944508236</v>
      </c>
      <c r="D111" s="14">
        <f>IFERROR((TimeLine!D112/TimeLine!D111)-1, NA())</f>
        <v>2.9503227838135748E-2</v>
      </c>
      <c r="E111" s="14">
        <f>IFERROR((TimeLine!E112/TimeLine!E111)-1, NA())</f>
        <v>7.6534451252284308E-2</v>
      </c>
      <c r="F111" s="14">
        <f>IFERROR((TimeLine!F112/TimeLine!F111)-1, NA())</f>
        <v>0.14220705346985207</v>
      </c>
      <c r="G111" s="14">
        <f>IFERROR((TimeLine!G112/TimeLine!G111)-1, NA())</f>
        <v>2.0825468730338415E-2</v>
      </c>
      <c r="H111" s="14">
        <f>IFERROR((TimeLine!H112/TimeLine!H111)-1, NA())</f>
        <v>4.6719048630281534E-3</v>
      </c>
      <c r="I111" s="14">
        <f>IFERROR((TimeLine!I112/TimeLine!I111)-1, NA())</f>
        <v>1.2649915989107585E-2</v>
      </c>
      <c r="J111" s="14">
        <f>IFERROR((TimeLine!J112/TimeLine!J111)-1, NA())</f>
        <v>1.0870835768556519E-2</v>
      </c>
      <c r="K111" s="14">
        <f>IFERROR((TimeLine!K112/TimeLine!K111)-1, NA())</f>
        <v>2.8483711410540513E-2</v>
      </c>
    </row>
    <row r="112" spans="1:11" x14ac:dyDescent="0.2">
      <c r="A112" s="13">
        <f>TimeLine!A113</f>
        <v>45383</v>
      </c>
      <c r="B112" s="14">
        <f>IFERROR((TimeLine!B113/TimeLine!B112)-1, NA())</f>
        <v>2.9895002916585645E-2</v>
      </c>
      <c r="C112" s="14">
        <f>IFERROR((TimeLine!C113/TimeLine!C112)-1, NA())</f>
        <v>1.7463867859600857E-2</v>
      </c>
      <c r="D112" s="14">
        <f>IFERROR((TimeLine!D113/TimeLine!D112)-1, NA())</f>
        <v>-4.0319651289502434E-2</v>
      </c>
      <c r="E112" s="14">
        <f>IFERROR((TimeLine!E113/TimeLine!E112)-1, NA())</f>
        <v>-4.273589615576634E-2</v>
      </c>
      <c r="F112" s="14">
        <f>IFERROR((TimeLine!F113/TimeLine!F112)-1, NA())</f>
        <v>-4.3824701195219085E-2</v>
      </c>
      <c r="G112" s="14">
        <f>IFERROR((TimeLine!G113/TimeLine!G112)-1, NA())</f>
        <v>5.8551617873650041E-3</v>
      </c>
      <c r="H112" s="14">
        <f>IFERROR((TimeLine!H113/TimeLine!H112)-1, NA())</f>
        <v>-6.7638976960473496E-2</v>
      </c>
      <c r="I112" s="14">
        <f>IFERROR((TimeLine!I113/TimeLine!I112)-1, NA())</f>
        <v>-5.6470992104359796E-2</v>
      </c>
      <c r="J112" s="14">
        <f>IFERROR((TimeLine!J113/TimeLine!J112)-1, NA())</f>
        <v>-7.9440333024976884E-2</v>
      </c>
      <c r="K112" s="14">
        <f>IFERROR((TimeLine!K113/TimeLine!K112)-1, NA())</f>
        <v>-2.3217247097844118E-2</v>
      </c>
    </row>
    <row r="113" spans="1:11" x14ac:dyDescent="0.2">
      <c r="A113" s="13">
        <f>TimeLine!A114</f>
        <v>45413</v>
      </c>
      <c r="B113" s="14">
        <f>IFERROR((TimeLine!B114/TimeLine!B113)-1, NA())</f>
        <v>1.6189172605843183E-2</v>
      </c>
      <c r="C113" s="14">
        <f>IFERROR((TimeLine!C114/TimeLine!C113)-1, NA())</f>
        <v>-8.5397818550773108E-3</v>
      </c>
      <c r="D113" s="14">
        <f>IFERROR((TimeLine!D114/TimeLine!D113)-1, NA())</f>
        <v>5.0579704370691925E-2</v>
      </c>
      <c r="E113" s="14">
        <f>IFERROR((TimeLine!E114/TimeLine!E113)-1, NA())</f>
        <v>5.6795660790653901E-2</v>
      </c>
      <c r="F113" s="14">
        <f>IFERROR((TimeLine!F114/TimeLine!F113)-1, NA())</f>
        <v>0.26886574074074066</v>
      </c>
      <c r="G113" s="14">
        <f>IFERROR((TimeLine!G114/TimeLine!G113)-1, NA())</f>
        <v>8.210784313725572E-3</v>
      </c>
      <c r="H113" s="14">
        <f>IFERROR((TimeLine!H114/TimeLine!H113)-1, NA())</f>
        <v>2.5277714803899398E-2</v>
      </c>
      <c r="I113" s="14">
        <f>IFERROR((TimeLine!I114/TimeLine!I113)-1, NA())</f>
        <v>8.0609625452266798E-2</v>
      </c>
      <c r="J113" s="14">
        <f>IFERROR((TimeLine!J114/TimeLine!J113)-1, NA())</f>
        <v>4.5597286773018331E-2</v>
      </c>
      <c r="K113" s="14">
        <f>IFERROR((TimeLine!K114/TimeLine!K113)-1, NA())</f>
        <v>4.0237691001697939E-2</v>
      </c>
    </row>
    <row r="114" spans="1:11" x14ac:dyDescent="0.2">
      <c r="A114" s="13">
        <f>TimeLine!A115</f>
        <v>45444</v>
      </c>
      <c r="B114" s="14">
        <f>IFERROR((TimeLine!B115/TimeLine!B114)-1, NA())</f>
        <v>-1.3469577333953264E-3</v>
      </c>
      <c r="C114" s="14">
        <f>IFERROR((TimeLine!C115/TimeLine!C114)-1, NA())</f>
        <v>-1.8250042640286512E-2</v>
      </c>
      <c r="D114" s="14">
        <f>IFERROR((TimeLine!D115/TimeLine!D114)-1, NA())</f>
        <v>3.1951002142708296E-2</v>
      </c>
      <c r="E114" s="14">
        <f>IFERROR((TimeLine!E115/TimeLine!E114)-1, NA())</f>
        <v>-1.825988254453903E-3</v>
      </c>
      <c r="F114" s="14">
        <f>IFERROR((TimeLine!F115/TimeLine!F114)-1, NA())</f>
        <v>0.1268813281036214</v>
      </c>
      <c r="G114" s="14">
        <f>IFERROR((TimeLine!G115/TimeLine!G114)-1, NA())</f>
        <v>2.3094688221709792E-3</v>
      </c>
      <c r="H114" s="14">
        <f>IFERROR((TimeLine!H115/TimeLine!H114)-1, NA())</f>
        <v>1.4704256495301271E-2</v>
      </c>
      <c r="I114" s="14">
        <f>IFERROR((TimeLine!I115/TimeLine!I114)-1, NA())</f>
        <v>7.8524531901760231E-2</v>
      </c>
      <c r="J114" s="14">
        <f>IFERROR((TimeLine!J115/TimeLine!J114)-1, NA())</f>
        <v>6.2469966362326268E-3</v>
      </c>
      <c r="K114" s="14">
        <f>IFERROR((TimeLine!K115/TimeLine!K114)-1, NA())</f>
        <v>-1.5831565203199061E-2</v>
      </c>
    </row>
    <row r="115" spans="1:11" x14ac:dyDescent="0.2">
      <c r="A115" s="13">
        <f>TimeLine!A116</f>
        <v>45474</v>
      </c>
      <c r="B115" s="14">
        <f>IFERROR((TimeLine!B116/TimeLine!B115)-1, NA())</f>
        <v>5.3671922236175229E-2</v>
      </c>
      <c r="C115" s="14">
        <f>IFERROR((TimeLine!C116/TimeLine!C115)-1, NA())</f>
        <v>3.0142460041695518E-2</v>
      </c>
      <c r="D115" s="14">
        <f>IFERROR((TimeLine!D116/TimeLine!D115)-1, NA())</f>
        <v>1.2109073536437309E-2</v>
      </c>
      <c r="E115" s="14">
        <f>IFERROR((TimeLine!E116/TimeLine!E115)-1, NA())</f>
        <v>5.2111144071986581E-2</v>
      </c>
      <c r="F115" s="14">
        <f>IFERROR((TimeLine!F116/TimeLine!F115)-1, NA())</f>
        <v>-5.2776428687065002E-2</v>
      </c>
      <c r="G115" s="14">
        <f>IFERROR((TimeLine!G116/TimeLine!G115)-1, NA())</f>
        <v>-2.5224351200582085E-2</v>
      </c>
      <c r="H115" s="14">
        <f>IFERROR((TimeLine!H116/TimeLine!H115)-1, NA())</f>
        <v>3.3013728481150695E-2</v>
      </c>
      <c r="I115" s="14">
        <f>IFERROR((TimeLine!I116/TimeLine!I115)-1, NA())</f>
        <v>-1.4880591061239401E-2</v>
      </c>
      <c r="J115" s="14">
        <f>IFERROR((TimeLine!J116/TimeLine!J115)-1, NA())</f>
        <v>7.9393505253104069E-2</v>
      </c>
      <c r="K115" s="14">
        <f>IFERROR((TimeLine!K116/TimeLine!K115)-1, NA())</f>
        <v>2.6202321724709821E-2</v>
      </c>
    </row>
    <row r="116" spans="1:11" x14ac:dyDescent="0.2">
      <c r="A116" s="13">
        <f>TimeLine!A117</f>
        <v>45505</v>
      </c>
      <c r="B116" s="14">
        <f>IFERROR((TimeLine!B117/TimeLine!B116)-1, NA())</f>
        <v>2.0922533657029341E-2</v>
      </c>
      <c r="C116" s="14">
        <f>IFERROR((TimeLine!C117/TimeLine!C116)-1, NA())</f>
        <v>-5.4810692301205943E-3</v>
      </c>
      <c r="D116" s="14">
        <f>IFERROR((TimeLine!D117/TimeLine!D116)-1, NA())</f>
        <v>2.3365588860042585E-2</v>
      </c>
      <c r="E116" s="14">
        <f>IFERROR((TimeLine!E117/TimeLine!E116)-1, NA())</f>
        <v>5.6390977443609103E-2</v>
      </c>
      <c r="F116" s="14">
        <f>IFERROR((TimeLine!F117/TimeLine!F116)-1, NA())</f>
        <v>2.008203725858837E-2</v>
      </c>
      <c r="G116" s="14">
        <f>IFERROR((TimeLine!G117/TimeLine!G116)-1, NA())</f>
        <v>6.7056481711868621E-2</v>
      </c>
      <c r="H116" s="14">
        <f>IFERROR((TimeLine!H117/TimeLine!H116)-1, NA())</f>
        <v>1.7719649825967743E-2</v>
      </c>
      <c r="I116" s="14">
        <f>IFERROR((TimeLine!I117/TimeLine!I116)-1, NA())</f>
        <v>1.0492773014559642E-2</v>
      </c>
      <c r="J116" s="14">
        <f>IFERROR((TimeLine!J117/TimeLine!J116)-1, NA())</f>
        <v>5.2206614312576116E-2</v>
      </c>
      <c r="K116" s="14">
        <f>IFERROR((TimeLine!K117/TimeLine!K116)-1, NA())</f>
        <v>2.4078862314156346E-2</v>
      </c>
    </row>
    <row r="117" spans="1:11" x14ac:dyDescent="0.2">
      <c r="A117" s="13">
        <f>TimeLine!A118</f>
        <v>45536</v>
      </c>
      <c r="B117" s="14">
        <f>IFERROR((TimeLine!B118/TimeLine!B117)-1, NA())</f>
        <v>5.0888494963033493E-2</v>
      </c>
      <c r="C117" s="14">
        <f>IFERROR((TimeLine!C118/TimeLine!C117)-1, NA())</f>
        <v>-6.10479905036454E-3</v>
      </c>
      <c r="D117" s="14">
        <f>IFERROR((TimeLine!D118/TimeLine!D117)-1, NA())</f>
        <v>1.7882486517172946E-2</v>
      </c>
      <c r="E117" s="14">
        <f>IFERROR((TimeLine!E118/TimeLine!E117)-1, NA())</f>
        <v>-6.2010676156583622E-2</v>
      </c>
      <c r="F117" s="14">
        <f>IFERROR((TimeLine!F118/TimeLine!F117)-1, NA())</f>
        <v>1.7341040462427681E-2</v>
      </c>
      <c r="G117" s="14">
        <f>IFERROR((TimeLine!G118/TimeLine!G117)-1, NA())</f>
        <v>9.6770432552173435E-3</v>
      </c>
      <c r="H117" s="14">
        <f>IFERROR((TimeLine!H118/TimeLine!H117)-1, NA())</f>
        <v>1.6685666908487828E-2</v>
      </c>
      <c r="I117" s="14">
        <f>IFERROR((TimeLine!I118/TimeLine!I117)-1, NA())</f>
        <v>2.186525428158248E-2</v>
      </c>
      <c r="J117" s="14">
        <f>IFERROR((TimeLine!J118/TimeLine!J117)-1, NA())</f>
        <v>2.4072322085567199E-2</v>
      </c>
      <c r="K117" s="14">
        <f>IFERROR((TimeLine!K118/TimeLine!K117)-1, NA())</f>
        <v>2.1619062647940668E-2</v>
      </c>
    </row>
    <row r="118" spans="1:11" x14ac:dyDescent="0.2">
      <c r="A118" s="13">
        <f>TimeLine!A119</f>
        <v>45566</v>
      </c>
      <c r="B118" s="14">
        <f>IFERROR((TimeLine!B119/TimeLine!B118)-1, NA())</f>
        <v>4.2993499547436809E-2</v>
      </c>
      <c r="C118" s="14">
        <f>IFERROR((TimeLine!C119/TimeLine!C118)-1, NA())</f>
        <v>-3.7536256611500063E-3</v>
      </c>
      <c r="D118" s="14">
        <f>IFERROR((TimeLine!D119/TimeLine!D118)-1, NA())</f>
        <v>-8.9235917456776948E-3</v>
      </c>
      <c r="E118" s="14">
        <f>IFERROR((TimeLine!E119/TimeLine!E118)-1, NA())</f>
        <v>5.2451863795883291E-2</v>
      </c>
      <c r="F118" s="14">
        <f>IFERROR((TimeLine!F119/TimeLine!F118)-1, NA())</f>
        <v>9.3214756258234388E-2</v>
      </c>
      <c r="G118" s="14">
        <f>IFERROR((TimeLine!G119/TimeLine!G118)-1, NA())</f>
        <v>-4.6304849884526433E-2</v>
      </c>
      <c r="H118" s="14">
        <f>IFERROR((TimeLine!H119/TimeLine!H118)-1, NA())</f>
        <v>-5.7594291539245557E-2</v>
      </c>
      <c r="I118" s="14">
        <f>IFERROR((TimeLine!I119/TimeLine!I118)-1, NA())</f>
        <v>-7.1949805633226838E-3</v>
      </c>
      <c r="J118" s="14">
        <f>IFERROR((TimeLine!J119/TimeLine!J118)-1, NA())</f>
        <v>-3.3566002874153122E-2</v>
      </c>
      <c r="K118" s="14">
        <f>IFERROR((TimeLine!K119/TimeLine!K118)-1, NA())</f>
        <v>-4.4640098856966182E-2</v>
      </c>
    </row>
    <row r="119" spans="1:11" x14ac:dyDescent="0.2">
      <c r="A119" s="13">
        <f>TimeLine!A120</f>
        <v>45597</v>
      </c>
      <c r="B119" s="14">
        <f>IFERROR((TimeLine!B120/TimeLine!B119)-1, NA())</f>
        <v>-3.1241371149066999E-2</v>
      </c>
      <c r="C119" s="14">
        <f>IFERROR((TimeLine!C120/TimeLine!C119)-1, NA())</f>
        <v>1.0104469943483352E-2</v>
      </c>
      <c r="D119" s="14">
        <f>IFERROR((TimeLine!D120/TimeLine!D119)-1, NA())</f>
        <v>5.9633511536297146E-2</v>
      </c>
      <c r="E119" s="14">
        <f>IFERROR((TimeLine!E120/TimeLine!E119)-1, NA())</f>
        <v>0.12527036770007216</v>
      </c>
      <c r="F119" s="14">
        <f>IFERROR((TimeLine!F120/TimeLine!F119)-1, NA())</f>
        <v>4.1352817113588403E-2</v>
      </c>
      <c r="G119" s="14">
        <f>IFERROR((TimeLine!G120/TimeLine!G119)-1, NA())</f>
        <v>8.5240343867296176E-2</v>
      </c>
      <c r="H119" s="14">
        <f>IFERROR((TimeLine!H120/TimeLine!H119)-1, NA())</f>
        <v>1.6441319632233498E-2</v>
      </c>
      <c r="I119" s="14">
        <f>IFERROR((TimeLine!I120/TimeLine!I119)-1, NA())</f>
        <v>6.860724712347599E-2</v>
      </c>
      <c r="J119" s="14">
        <f>IFERROR((TimeLine!J120/TimeLine!J119)-1, NA())</f>
        <v>4.2591609134359887E-2</v>
      </c>
      <c r="K119" s="14">
        <f>IFERROR((TimeLine!K120/TimeLine!K119)-1, NA())</f>
        <v>-2.2635408245755828E-3</v>
      </c>
    </row>
    <row r="120" spans="1:11" x14ac:dyDescent="0.2">
      <c r="A120" s="13">
        <f>TimeLine!A121</f>
        <v>45627</v>
      </c>
      <c r="B120" s="14">
        <f>IFERROR((TimeLine!B121/TimeLine!B120)-1, NA())</f>
        <v>-1.4088521519605934E-2</v>
      </c>
      <c r="C120" s="14">
        <f>IFERROR((TimeLine!C121/TimeLine!C120)-1, NA())</f>
        <v>-8.8080705323838604E-2</v>
      </c>
      <c r="D120" s="14">
        <f>IFERROR((TimeLine!D121/TimeLine!D120)-1, NA())</f>
        <v>-2.7333831217326243E-2</v>
      </c>
      <c r="E120" s="14">
        <f>IFERROR((TimeLine!E121/TimeLine!E120)-1, NA())</f>
        <v>-4.0084895082492356E-2</v>
      </c>
      <c r="F120" s="14">
        <f>IFERROR((TimeLine!F121/TimeLine!F120)-1, NA())</f>
        <v>-2.8643761301989201E-2</v>
      </c>
      <c r="G120" s="14">
        <f>IFERROR((TimeLine!G121/TimeLine!G120)-1, NA())</f>
        <v>-6.4766261296440808E-2</v>
      </c>
      <c r="H120" s="14">
        <f>IFERROR((TimeLine!H121/TimeLine!H120)-1, NA())</f>
        <v>-7.0660849207193843E-2</v>
      </c>
      <c r="I120" s="14">
        <f>IFERROR((TimeLine!I121/TimeLine!I120)-1, NA())</f>
        <v>-7.2318200080356831E-4</v>
      </c>
      <c r="J120" s="14">
        <f>IFERROR((TimeLine!J121/TimeLine!J120)-1, NA())</f>
        <v>-9.2502037489812561E-2</v>
      </c>
      <c r="K120" s="14">
        <f>IFERROR((TimeLine!K121/TimeLine!K120)-1, NA())</f>
        <v>-4.5049424728569099E-2</v>
      </c>
    </row>
    <row r="121" spans="1:11" x14ac:dyDescent="0.2">
      <c r="A121" s="13">
        <f>TimeLine!A122</f>
        <v>45658</v>
      </c>
      <c r="B121" s="14">
        <f>IFERROR((TimeLine!B122/TimeLine!B121)-1, NA())</f>
        <v>6.7856110353942123E-2</v>
      </c>
      <c r="C121" s="14">
        <f>IFERROR((TimeLine!C122/TimeLine!C121)-1, NA())</f>
        <v>-6.8792414241888311E-3</v>
      </c>
      <c r="D121" s="14">
        <f>IFERROR((TimeLine!D122/TimeLine!D121)-1, NA())</f>
        <v>2.6856401856401924E-2</v>
      </c>
      <c r="E121" s="14">
        <f>IFERROR((TimeLine!E122/TimeLine!E121)-1, NA())</f>
        <v>0.11509740936965507</v>
      </c>
      <c r="F121" s="14">
        <f>IFERROR((TimeLine!F122/TimeLine!F121)-1, NA())</f>
        <v>-0.10589023754561022</v>
      </c>
      <c r="G121" s="14">
        <f>IFERROR((TimeLine!G122/TimeLine!G121)-1, NA())</f>
        <v>-9.901580674023247E-3</v>
      </c>
      <c r="H121" s="14">
        <f>IFERROR((TimeLine!H122/TimeLine!H121)-1, NA())</f>
        <v>4.9238520554220067E-3</v>
      </c>
      <c r="I121" s="14">
        <f>IFERROR((TimeLine!I122/TimeLine!I121)-1, NA())</f>
        <v>-8.3467352846573473E-3</v>
      </c>
      <c r="J121" s="14">
        <f>IFERROR((TimeLine!J122/TimeLine!J121)-1, NA())</f>
        <v>1.6502020655590366E-2</v>
      </c>
      <c r="K121" s="14">
        <f>IFERROR((TimeLine!K122/TimeLine!K121)-1, NA())</f>
        <v>3.3768878330222352E-2</v>
      </c>
    </row>
    <row r="122" spans="1:11" x14ac:dyDescent="0.2">
      <c r="A122" s="13">
        <f>TimeLine!A123</f>
        <v>45689</v>
      </c>
      <c r="B122" s="14">
        <f>IFERROR((TimeLine!B123/TimeLine!B122)-1, NA())</f>
        <v>1.8216274752475226E-2</v>
      </c>
      <c r="C122" s="14">
        <f>IFERROR((TimeLine!C123/TimeLine!C122)-1, NA())</f>
        <v>4.2122999157540031E-2</v>
      </c>
      <c r="D122" s="14">
        <f>IFERROR((TimeLine!D123/TimeLine!D122)-1, NA())</f>
        <v>-1.2694825695390821E-2</v>
      </c>
      <c r="E122" s="14">
        <f>IFERROR((TimeLine!E123/TimeLine!E122)-1, NA())</f>
        <v>-9.9139543583989242E-3</v>
      </c>
      <c r="F122" s="14">
        <f>IFERROR((TimeLine!F123/TimeLine!F122)-1, NA())</f>
        <v>4.0393104022653503E-2</v>
      </c>
      <c r="G122" s="14">
        <f>IFERROR((TimeLine!G123/TimeLine!G122)-1, NA())</f>
        <v>4.7292005542502569E-2</v>
      </c>
      <c r="H122" s="14">
        <f>IFERROR((TimeLine!H123/TimeLine!H122)-1, NA())</f>
        <v>5.3213309024612521E-2</v>
      </c>
      <c r="I122" s="14">
        <f>IFERROR((TimeLine!I123/TimeLine!I122)-1, NA())</f>
        <v>-2.9402701869901571E-2</v>
      </c>
      <c r="J122" s="14">
        <f>IFERROR((TimeLine!J123/TimeLine!J122)-1, NA())</f>
        <v>3.6996134732192321E-2</v>
      </c>
      <c r="K122" s="14">
        <f>IFERROR((TimeLine!K123/TimeLine!K122)-1, NA())</f>
        <v>1.8548916611950128E-2</v>
      </c>
    </row>
    <row r="123" spans="1:11" x14ac:dyDescent="0.2">
      <c r="A123" s="13">
        <f>TimeLine!A124</f>
        <v>45717</v>
      </c>
      <c r="B123" s="14">
        <f>IFERROR((TimeLine!B124/TimeLine!B123)-1, NA())</f>
        <v>9.4465757587267829E-2</v>
      </c>
      <c r="C123" s="14">
        <f>IFERROR((TimeLine!C124/TimeLine!C123)-1, NA())</f>
        <v>6.8265516931644843E-2</v>
      </c>
      <c r="D123" s="14">
        <f>IFERROR((TimeLine!D124/TimeLine!D123)-1, NA())</f>
        <v>-5.8551280756673041E-2</v>
      </c>
      <c r="E123" s="14">
        <f>IFERROR((TimeLine!E124/TimeLine!E123)-1, NA())</f>
        <v>-7.3115435480823554E-2</v>
      </c>
      <c r="F123" s="14">
        <f>IFERROR((TimeLine!F124/TimeLine!F123)-1, NA())</f>
        <v>-0.13240473903298111</v>
      </c>
      <c r="G123" s="14">
        <f>IFERROR((TimeLine!G124/TimeLine!G123)-1, NA())</f>
        <v>-1.9673262770363631E-2</v>
      </c>
      <c r="H123" s="14">
        <f>IFERROR((TimeLine!H124/TimeLine!H123)-1, NA())</f>
        <v>-1.5146597425078512E-2</v>
      </c>
      <c r="I123" s="14">
        <f>IFERROR((TimeLine!I124/TimeLine!I123)-1, NA())</f>
        <v>-9.3737468252907408E-2</v>
      </c>
      <c r="J123" s="14">
        <f>IFERROR((TimeLine!J124/TimeLine!J123)-1, NA())</f>
        <v>-3.578274760383382E-2</v>
      </c>
      <c r="K123" s="14">
        <f>IFERROR((TimeLine!K124/TimeLine!K123)-1, NA())</f>
        <v>8.058017727639033E-4</v>
      </c>
    </row>
    <row r="124" spans="1:11" x14ac:dyDescent="0.2">
      <c r="A124" s="13">
        <f>TimeLine!A125</f>
        <v>45748</v>
      </c>
      <c r="B124" s="14">
        <f>IFERROR((TimeLine!B125/TimeLine!B124)-1, NA())</f>
        <v>5.4244464496425282E-2</v>
      </c>
      <c r="C124" s="14">
        <f>IFERROR((TimeLine!C125/TimeLine!C124)-1, NA())</f>
        <v>-0.11183048852266053</v>
      </c>
      <c r="D124" s="14">
        <f>IFERROR((TimeLine!D125/TimeLine!D124)-1, NA())</f>
        <v>-8.6701585655803992E-3</v>
      </c>
      <c r="E124" s="14">
        <f>IFERROR((TimeLine!E125/TimeLine!E124)-1, NA())</f>
        <v>-2.7721157766000815E-3</v>
      </c>
      <c r="F124" s="14">
        <f>IFERROR((TimeLine!F125/TimeLine!F124)-1, NA())</f>
        <v>4.9824690902380286E-3</v>
      </c>
      <c r="G124" s="14">
        <f>IFERROR((TimeLine!G125/TimeLine!G124)-1, NA())</f>
        <v>-4.6062668700856624E-2</v>
      </c>
      <c r="H124" s="14">
        <f>IFERROR((TimeLine!H125/TimeLine!H124)-1, NA())</f>
        <v>-1.7137207514006381E-2</v>
      </c>
      <c r="I124" s="14">
        <f>IFERROR((TimeLine!I125/TimeLine!I124)-1, NA())</f>
        <v>1.3035141413769047E-2</v>
      </c>
      <c r="J124" s="14">
        <f>IFERROR((TimeLine!J125/TimeLine!J124)-1, NA())</f>
        <v>-2.4409100949856488E-2</v>
      </c>
      <c r="K124" s="14">
        <f>IFERROR((TimeLine!K125/TimeLine!K124)-1, NA())</f>
        <v>2.8341384863123986E-2</v>
      </c>
    </row>
    <row r="125" spans="1:11" x14ac:dyDescent="0.2">
      <c r="A125" s="13">
        <f>TimeLine!A126</f>
        <v>45778</v>
      </c>
      <c r="B125" s="14">
        <f>IFERROR((TimeLine!B126/TimeLine!B125)-1, NA())</f>
        <v>-5.5963393356806002E-4</v>
      </c>
      <c r="C125" s="14">
        <f>IFERROR((TimeLine!C126/TimeLine!C125)-1, NA())</f>
        <v>-3.1525134904856533E-2</v>
      </c>
      <c r="D125" s="14">
        <f>IFERROR((TimeLine!D126/TimeLine!D125)-1, NA())</f>
        <v>6.2844880441446982E-2</v>
      </c>
      <c r="E125" s="14">
        <f>IFERROR((TimeLine!E126/TimeLine!E125)-1, NA())</f>
        <v>7.9224920284522993E-2</v>
      </c>
      <c r="F125" s="14">
        <f>IFERROR((TimeLine!F126/TimeLine!F125)-1, NA())</f>
        <v>0.2406353286816012</v>
      </c>
      <c r="G125" s="14">
        <f>IFERROR((TimeLine!G126/TimeLine!G125)-1, NA())</f>
        <v>4.5026757704373477E-2</v>
      </c>
      <c r="H125" s="14">
        <f>IFERROR((TimeLine!H126/TimeLine!H125)-1, NA())</f>
        <v>-3.565440929920638E-2</v>
      </c>
      <c r="I125" s="14">
        <f>IFERROR((TimeLine!I126/TimeLine!I125)-1, NA())</f>
        <v>0.10359450359450362</v>
      </c>
      <c r="J125" s="14">
        <f>IFERROR((TimeLine!J126/TimeLine!J125)-1, NA())</f>
        <v>1.1207970112079746E-2</v>
      </c>
      <c r="K125" s="14">
        <f>IFERROR((TimeLine!K126/TimeLine!K125)-1, NA())</f>
        <v>4.8230504227998683E-2</v>
      </c>
    </row>
    <row r="126" spans="1:11" x14ac:dyDescent="0.2">
      <c r="A126" s="13">
        <f>TimeLine!A127</f>
        <v>45809</v>
      </c>
      <c r="B126" s="14">
        <f>IFERROR((TimeLine!B127/TimeLine!B126)-1, NA())</f>
        <v>4.0513833992092962E-3</v>
      </c>
      <c r="C126" s="14">
        <f>IFERROR((TimeLine!C127/TimeLine!C126)-1, NA())</f>
        <v>5.3763440860215006E-2</v>
      </c>
      <c r="D126" s="14">
        <f>IFERROR((TimeLine!D127/TimeLine!D126)-1, NA())</f>
        <v>4.8287212202446694E-2</v>
      </c>
      <c r="E126" s="14">
        <f>IFERROR((TimeLine!E127/TimeLine!E126)-1, NA())</f>
        <v>9.8143939393939394E-2</v>
      </c>
      <c r="F126" s="14">
        <f>IFERROR((TimeLine!F127/TimeLine!F126)-1, NA())</f>
        <v>0.16917042847628228</v>
      </c>
      <c r="G126" s="14">
        <f>IFERROR((TimeLine!G127/TimeLine!G126)-1, NA())</f>
        <v>-6.2216728471363836E-2</v>
      </c>
      <c r="H126" s="14">
        <f>IFERROR((TimeLine!H127/TimeLine!H126)-1, NA())</f>
        <v>2.2832637923041244E-2</v>
      </c>
      <c r="I126" s="14">
        <f>IFERROR((TimeLine!I127/TimeLine!I126)-1, NA())</f>
        <v>9.3853587743456979E-2</v>
      </c>
      <c r="J126" s="14">
        <f>IFERROR((TimeLine!J127/TimeLine!J126)-1, NA())</f>
        <v>-2.9108822212269292E-3</v>
      </c>
      <c r="K126" s="14">
        <f>IFERROR((TimeLine!K127/TimeLine!K126)-1, NA())</f>
        <v>3.2118314908873735E-2</v>
      </c>
    </row>
    <row r="127" spans="1:11" x14ac:dyDescent="0.2">
      <c r="A127" s="13">
        <f>TimeLine!A128</f>
        <v>45839</v>
      </c>
      <c r="B127" s="14">
        <f>IFERROR((TimeLine!B128/TimeLine!B127)-1, NA())</f>
        <v>-6.1345668077289472E-3</v>
      </c>
      <c r="C127" s="14">
        <f>IFERROR((TimeLine!C128/TimeLine!C127)-1, NA())</f>
        <v>3.5621521335807094E-2</v>
      </c>
      <c r="D127" s="14">
        <f>IFERROR((TimeLine!D128/TimeLine!D127)-1, NA())</f>
        <v>2.3031480132718274E-2</v>
      </c>
      <c r="E127" s="14">
        <f>IFERROR((TimeLine!E128/TimeLine!E127)-1, NA())</f>
        <v>2.1834362388327255E-2</v>
      </c>
      <c r="F127" s="14">
        <f>IFERROR((TimeLine!F128/TimeLine!F127)-1, NA())</f>
        <v>0.12583074878156841</v>
      </c>
      <c r="G127" s="14">
        <f>IFERROR((TimeLine!G128/TimeLine!G127)-1, NA())</f>
        <v>-5.5548581471252745E-2</v>
      </c>
      <c r="H127" s="14">
        <f>IFERROR((TimeLine!H128/TimeLine!H127)-1, NA())</f>
        <v>-1.5070821529745038E-2</v>
      </c>
      <c r="I127" s="14">
        <f>IFERROR((TimeLine!I128/TimeLine!I127)-1, NA())</f>
        <v>4.0993245688095703E-2</v>
      </c>
      <c r="J127" s="14">
        <f>IFERROR((TimeLine!J128/TimeLine!J127)-1, NA())</f>
        <v>8.9827082865490127E-4</v>
      </c>
      <c r="K127" s="14">
        <f>IFERROR((TimeLine!K128/TimeLine!K127)-1, NA())</f>
        <v>-8.9738022868722789E-3</v>
      </c>
    </row>
    <row r="128" spans="1:11" x14ac:dyDescent="0.2">
      <c r="A128" s="13">
        <f>TimeLine!A129</f>
        <v>45870</v>
      </c>
      <c r="B128" s="14">
        <f>IFERROR((TimeLine!B129/TimeLine!B128)-1, NA())</f>
        <v>4.9874570900448889E-2</v>
      </c>
      <c r="C128" s="14">
        <f>IFERROR((TimeLine!C129/TimeLine!C128)-1, NA())</f>
        <v>2.3737011823719234E-2</v>
      </c>
      <c r="D128" s="14">
        <f>IFERROR((TimeLine!D129/TimeLine!D128)-1, NA())</f>
        <v>2.0519554486773783E-2</v>
      </c>
      <c r="E128" s="14">
        <f>IFERROR((TimeLine!E129/TimeLine!E128)-1, NA())</f>
        <v>1.7485822306238186E-2</v>
      </c>
      <c r="F128" s="14">
        <f>IFERROR((TimeLine!F129/TimeLine!F128)-1, NA())</f>
        <v>-2.0745488277955748E-2</v>
      </c>
      <c r="G128" s="14">
        <f>IFERROR((TimeLine!G129/TimeLine!G128)-1, NA())</f>
        <v>4.3663188675483466E-2</v>
      </c>
      <c r="H128" s="14">
        <f>IFERROR((TimeLine!H129/TimeLine!H128)-1, NA())</f>
        <v>-3.6815462494248496E-3</v>
      </c>
      <c r="I128" s="14">
        <f>IFERROR((TimeLine!I129/TimeLine!I128)-1, NA())</f>
        <v>9.4862919460656503E-3</v>
      </c>
      <c r="J128" s="14">
        <f>IFERROR((TimeLine!J129/TimeLine!J128)-1, NA())</f>
        <v>3.4776755665245629E-2</v>
      </c>
      <c r="K128" s="14">
        <f>IFERROR((TimeLine!K129/TimeLine!K128)-1, NA())</f>
        <v>4.2354315758726502E-2</v>
      </c>
    </row>
    <row r="129" spans="1:11" x14ac:dyDescent="0.2">
      <c r="A129" s="13">
        <f>TimeLine!A130</f>
        <v>45901</v>
      </c>
      <c r="B129" s="14">
        <f>IFERROR((TimeLine!B130/TimeLine!B129)-1, NA())</f>
        <v>0.11758417958311074</v>
      </c>
      <c r="C129" s="14">
        <f>IFERROR((TimeLine!C130/TimeLine!C129)-1, NA())</f>
        <v>-1.347449470644857E-2</v>
      </c>
      <c r="D129" s="14">
        <f>IFERROR((TimeLine!D130/TimeLine!D129)-1, NA())</f>
        <v>3.2757150608480057E-2</v>
      </c>
      <c r="E129" s="14">
        <f>IFERROR((TimeLine!E130/TimeLine!E129)-1, NA())</f>
        <v>4.6479994691792204E-2</v>
      </c>
      <c r="F129" s="14">
        <f>IFERROR((TimeLine!F130/TimeLine!F129)-1, NA())</f>
        <v>7.1190722241359472E-2</v>
      </c>
      <c r="G129" s="14">
        <f>IFERROR((TimeLine!G130/TimeLine!G129)-1, NA())</f>
        <v>-2.158685685175743E-2</v>
      </c>
      <c r="H129" s="14">
        <f>IFERROR((TimeLine!H130/TimeLine!H129)-1, NA())</f>
        <v>3.1986143187067162E-2</v>
      </c>
      <c r="I129" s="14">
        <f>IFERROR((TimeLine!I130/TimeLine!I129)-1, NA())</f>
        <v>7.1174428280393665E-2</v>
      </c>
      <c r="J129" s="14">
        <f>IFERROR((TimeLine!J130/TimeLine!J129)-1, NA())</f>
        <v>-8.88985255854291E-3</v>
      </c>
      <c r="K129" s="14">
        <f>IFERROR((TimeLine!K130/TimeLine!K129)-1, NA())</f>
        <v>2.9284012890570033E-2</v>
      </c>
    </row>
    <row r="130" spans="1:11" x14ac:dyDescent="0.2">
      <c r="A130" s="13">
        <f>TimeLine!A131</f>
        <v>45931</v>
      </c>
      <c r="B130" s="14">
        <f>IFERROR((TimeLine!B131/TimeLine!B130)-1, NA())</f>
        <v>3.5586688046811199E-2</v>
      </c>
      <c r="C130" s="14">
        <f>IFERROR((TimeLine!C131/TimeLine!C130)-1, NA())</f>
        <v>1.4279379157427829E-2</v>
      </c>
      <c r="D130" s="14">
        <f>IFERROR((TimeLine!D131/TimeLine!D130)-1, NA())</f>
        <v>2.38374013029512E-2</v>
      </c>
      <c r="E130" s="14">
        <f>IFERROR((TimeLine!E131/TimeLine!E130)-1, NA())</f>
        <v>-1.3663887391814344E-2</v>
      </c>
      <c r="F130" s="14">
        <f>IFERROR((TimeLine!F131/TimeLine!F130)-1, NA())</f>
        <v>8.5271733304748576E-2</v>
      </c>
      <c r="G130" s="14">
        <f>IFERROR((TimeLine!G131/TimeLine!G130)-1, NA())</f>
        <v>-2.1347217702570753E-2</v>
      </c>
      <c r="H130" s="14">
        <f>IFERROR((TimeLine!H131/TimeLine!H130)-1, NA())</f>
        <v>1.0294282197605531E-2</v>
      </c>
      <c r="I130" s="14">
        <f>IFERROR((TimeLine!I131/TimeLine!I130)-1, NA())</f>
        <v>6.2386992218367965E-2</v>
      </c>
      <c r="J130" s="14">
        <f>IFERROR((TimeLine!J131/TimeLine!J130)-1, NA())</f>
        <v>-2.4502297090352121E-2</v>
      </c>
      <c r="K130" s="14">
        <f>IFERROR((TimeLine!K131/TimeLine!K130)-1, NA())</f>
        <v>1.5927035121154454E-2</v>
      </c>
    </row>
    <row r="131" spans="1:11" x14ac:dyDescent="0.2">
      <c r="A131" s="13">
        <f>TimeLine!A132</f>
        <v>45962</v>
      </c>
      <c r="B131" s="14">
        <f>IFERROR((TimeLine!B132/TimeLine!B131)-1, NA())</f>
        <v>5.3678148429859851E-2</v>
      </c>
      <c r="C131" s="14">
        <f>IFERROR((TimeLine!C132/TimeLine!C131)-1, NA())</f>
        <v>1.3641133263378791E-2</v>
      </c>
      <c r="D131" s="14">
        <f>IFERROR((TimeLine!D132/TimeLine!D131)-1, NA())</f>
        <v>1.9499750755065381E-3</v>
      </c>
      <c r="E131" s="14">
        <f>IFERROR((TimeLine!E132/TimeLine!E131)-1, NA())</f>
        <v>6.2998200051427311E-3</v>
      </c>
      <c r="F131" s="14">
        <f>IFERROR((TimeLine!F132/TimeLine!F131)-1, NA())</f>
        <v>-0.12588275964245155</v>
      </c>
      <c r="G131" s="14">
        <f>IFERROR((TimeLine!G132/TimeLine!G131)-1, NA())</f>
        <v>-1.4697080534681217E-2</v>
      </c>
      <c r="H131" s="14">
        <f>IFERROR((TimeLine!H132/TimeLine!H131)-1, NA())</f>
        <v>-8.860338907964449E-4</v>
      </c>
      <c r="I131" s="14">
        <f>IFERROR((TimeLine!I132/TimeLine!I131)-1, NA())</f>
        <v>-5.1701314910301166E-2</v>
      </c>
      <c r="J131" s="14">
        <f>IFERROR((TimeLine!J132/TimeLine!J131)-1, NA())</f>
        <v>2.4220677281901803E-2</v>
      </c>
      <c r="K131" s="14">
        <f>IFERROR((TimeLine!K132/TimeLine!K131)-1, NA())</f>
        <v>4.1538255393274159E-3</v>
      </c>
    </row>
    <row r="132" spans="1:11" x14ac:dyDescent="0.2">
      <c r="A132" s="13">
        <f>TimeLine!A133</f>
        <v>45992</v>
      </c>
      <c r="B132" s="14">
        <f>IFERROR((TimeLine!B133/TimeLine!B132)-1, NA())</f>
        <v>2.1733525832731804E-2</v>
      </c>
      <c r="C132" s="14">
        <f>IFERROR((TimeLine!C133/TimeLine!C132)-1, NA())</f>
        <v>3.8129744651483888E-2</v>
      </c>
      <c r="D132" s="14">
        <f>IFERROR((TimeLine!D133/TimeLine!D132)-1, NA())</f>
        <v>-2.1510411331743251E-3</v>
      </c>
      <c r="E132" s="14">
        <f>IFERROR((TimeLine!E133/TimeLine!E132)-1, NA())</f>
        <v>2.9193816276990026E-2</v>
      </c>
      <c r="F132" s="14">
        <f>IFERROR((TimeLine!F133/TimeLine!F132)-1, NA())</f>
        <v>5.3672316384180796E-2</v>
      </c>
      <c r="G132" s="14">
        <f>IFERROR((TimeLine!G133/TimeLine!G132)-1, NA())</f>
        <v>-3.2734881209503186E-2</v>
      </c>
      <c r="H132" s="14">
        <f>IFERROR((TimeLine!H133/TimeLine!H132)-1, NA())</f>
        <v>-3.3809998891475401E-2</v>
      </c>
      <c r="I132" s="14">
        <f>IFERROR((TimeLine!I133/TimeLine!I132)-1, NA())</f>
        <v>2.1005051847911016E-3</v>
      </c>
      <c r="J132" s="14">
        <f>IFERROR((TimeLine!J133/TimeLine!J132)-1, NA())</f>
        <v>-3.1202102036347767E-2</v>
      </c>
      <c r="K132" s="14">
        <f>IFERROR((TimeLine!K133/TimeLine!K132)-1, NA())</f>
        <v>6.6720042700827431E-3</v>
      </c>
    </row>
    <row r="133" spans="1:11" x14ac:dyDescent="0.2">
      <c r="A133" s="13">
        <f>TimeLine!A134</f>
        <v>46023</v>
      </c>
      <c r="B133" s="14">
        <f>IFERROR((TimeLine!B134/TimeLine!B133)-1, NA())</f>
        <v>6.3031465267088915E-2</v>
      </c>
      <c r="C133" s="14">
        <f>IFERROR((TimeLine!C134/TimeLine!C133)-1, NA())</f>
        <v>7.9358484294498766E-2</v>
      </c>
      <c r="D133" s="14">
        <f>IFERROR((TimeLine!D134/TimeLine!D133)-1, NA())</f>
        <v>1.4283200375410532E-2</v>
      </c>
      <c r="E133" s="14">
        <f>IFERROR((TimeLine!E134/TimeLine!E133)-1, NA())</f>
        <v>-3.0258829371237028E-2</v>
      </c>
      <c r="F133" s="14">
        <f>IFERROR((TimeLine!F134/TimeLine!F133)-1, NA())</f>
        <v>-1.4477211796247724E-3</v>
      </c>
      <c r="G133" s="14">
        <f>IFERROR((TimeLine!G134/TimeLine!G133)-1, NA())</f>
        <v>4.7728700020933656E-2</v>
      </c>
      <c r="H133" s="14">
        <f>IFERROR((TimeLine!H134/TimeLine!H133)-1, NA())</f>
        <v>5.3923818265260159E-3</v>
      </c>
      <c r="I133" s="14">
        <f>IFERROR((TimeLine!I134/TimeLine!I133)-1, NA())</f>
        <v>-2.7859587678091824E-4</v>
      </c>
      <c r="J133" s="14">
        <f>IFERROR((TimeLine!J134/TimeLine!J133)-1, NA())</f>
        <v>2.1245338456322926E-2</v>
      </c>
      <c r="K133" s="14">
        <f>IFERROR((TimeLine!K134/TimeLine!K133)-1, NA())</f>
        <v>5.4215270413573657E-2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F1007-6FB2-45C4-9910-37E53DD30936}">
  <dimension ref="A1:K13"/>
  <sheetViews>
    <sheetView workbookViewId="0">
      <selection activeCell="B4" sqref="B4"/>
    </sheetView>
  </sheetViews>
  <sheetFormatPr defaultRowHeight="14.25" x14ac:dyDescent="0.2"/>
  <cols>
    <col min="1" max="1" width="15.25" customWidth="1"/>
    <col min="2" max="2" width="12.75" customWidth="1"/>
    <col min="3" max="3" width="12.5" customWidth="1"/>
    <col min="4" max="4" width="13.25" customWidth="1"/>
    <col min="5" max="5" width="13.375" customWidth="1"/>
    <col min="6" max="6" width="12.375" customWidth="1"/>
    <col min="12" max="12" width="13.875" customWidth="1"/>
  </cols>
  <sheetData>
    <row r="1" spans="1:11" ht="18.75" thickBot="1" x14ac:dyDescent="0.3">
      <c r="A1" s="106" t="s">
        <v>1310</v>
      </c>
      <c r="B1" s="109"/>
      <c r="C1" s="109"/>
      <c r="D1" s="109"/>
      <c r="E1" s="109"/>
      <c r="F1" s="109"/>
      <c r="G1" s="109"/>
      <c r="H1" s="109"/>
      <c r="I1" s="109"/>
      <c r="J1" s="109"/>
      <c r="K1" s="109"/>
    </row>
    <row r="2" spans="1:11" ht="15" x14ac:dyDescent="0.25">
      <c r="A2" s="37" t="s">
        <v>635</v>
      </c>
      <c r="B2" s="37" t="s">
        <v>139</v>
      </c>
      <c r="C2" s="37" t="s">
        <v>630</v>
      </c>
      <c r="D2" s="37" t="s">
        <v>273</v>
      </c>
      <c r="E2" s="37" t="s">
        <v>369</v>
      </c>
      <c r="F2" s="37" t="s">
        <v>503</v>
      </c>
      <c r="G2" s="37" t="s">
        <v>652</v>
      </c>
      <c r="H2" s="37" t="s">
        <v>783</v>
      </c>
      <c r="I2" s="37" t="s">
        <v>914</v>
      </c>
      <c r="J2" s="37" t="s">
        <v>1042</v>
      </c>
      <c r="K2" s="37" t="s">
        <v>1174</v>
      </c>
    </row>
    <row r="3" spans="1:11" ht="24" customHeight="1" x14ac:dyDescent="0.2">
      <c r="A3" s="7" t="s">
        <v>634</v>
      </c>
      <c r="B3" s="36">
        <f>AVERAGE(Returns!B3:B134)</f>
        <v>1.0176236345987858E-2</v>
      </c>
      <c r="C3" s="36">
        <f>AVERAGE(Returns!C3:C134)</f>
        <v>5.8544244390896245E-3</v>
      </c>
      <c r="D3" s="36">
        <f>AVERAGE(Returns!D3:D134)</f>
        <v>1.0405797429909018E-2</v>
      </c>
      <c r="E3" s="36">
        <f>AVERAGE(Returns!E3:E134)</f>
        <v>1.5624227066414342E-2</v>
      </c>
      <c r="F3" s="36">
        <f>AVERAGE(Returns!F3:F134)</f>
        <v>5.4681936011834242E-2</v>
      </c>
      <c r="G3" s="36">
        <f>AVERAGE(Returns!G3:G134)</f>
        <v>5.4087934986901468E-3</v>
      </c>
      <c r="H3" s="36">
        <f>AVERAGE(Returns!H3:H134)</f>
        <v>-2.7144972200304628E-3</v>
      </c>
      <c r="I3" s="36">
        <f>AVERAGE(Returns!I3:I134)</f>
        <v>1.6933094805579148E-2</v>
      </c>
      <c r="J3" s="36">
        <f>AVERAGE(Returns!J3:J134)</f>
        <v>1.6134462554118288E-3</v>
      </c>
      <c r="K3" s="36">
        <f>AVERAGE(Returns!K3:K134)</f>
        <v>4.681188908518351E-3</v>
      </c>
    </row>
    <row r="4" spans="1:11" ht="28.5" x14ac:dyDescent="0.2">
      <c r="A4" s="12" t="s">
        <v>631</v>
      </c>
      <c r="B4" s="11">
        <f>_xlfn.STDEV.S(Returns!B3:B134)</f>
        <v>4.1340507342477836E-2</v>
      </c>
      <c r="C4" s="11">
        <f>_xlfn.STDEV.S(Returns!C3:C134)</f>
        <v>7.6034358632062843E-2</v>
      </c>
      <c r="D4" s="11">
        <f>_xlfn.STDEV.S(Returns!D3:D134)</f>
        <v>4.343222826695671E-2</v>
      </c>
      <c r="E4" s="11">
        <f>_xlfn.STDEV.S(Returns!E3:E134)</f>
        <v>6.7971876845418985E-2</v>
      </c>
      <c r="F4" s="11">
        <f>_xlfn.STDEV.S(Returns!F3:F134)</f>
        <v>0.13247903541174852</v>
      </c>
      <c r="G4" s="11">
        <f>_xlfn.STDEV.S(Returns!G3:G134)</f>
        <v>4.5545855444135509E-2</v>
      </c>
      <c r="H4" s="11">
        <f>_xlfn.STDEV.S(Returns!H3:H134)</f>
        <v>3.8526618242998641E-2</v>
      </c>
      <c r="I4" s="11">
        <f>_xlfn.STDEV.S(Returns!I3:I134)</f>
        <v>5.6523772974892694E-2</v>
      </c>
      <c r="J4" s="11">
        <f>_xlfn.STDEV.S(Returns!J3:J134)</f>
        <v>5.0466679309418616E-2</v>
      </c>
      <c r="K4" s="11">
        <f>_xlfn.STDEV.S(Returns!K3:K134)</f>
        <v>4.2922149970394403E-2</v>
      </c>
    </row>
    <row r="5" spans="1:11" ht="28.5" x14ac:dyDescent="0.2">
      <c r="A5" s="12" t="s">
        <v>632</v>
      </c>
      <c r="B5" s="11">
        <f>B3*12</f>
        <v>0.1221148361518543</v>
      </c>
      <c r="C5" s="11">
        <f t="shared" ref="C5:K5" si="0">C3*12</f>
        <v>7.0253093269075501E-2</v>
      </c>
      <c r="D5" s="11">
        <f t="shared" si="0"/>
        <v>0.12486956915890821</v>
      </c>
      <c r="E5" s="11">
        <f t="shared" si="0"/>
        <v>0.1874907247969721</v>
      </c>
      <c r="F5" s="11">
        <f t="shared" si="0"/>
        <v>0.65618323214201091</v>
      </c>
      <c r="G5" s="11">
        <f t="shared" si="0"/>
        <v>6.4905521984281761E-2</v>
      </c>
      <c r="H5" s="11">
        <f t="shared" si="0"/>
        <v>-3.2573966640365555E-2</v>
      </c>
      <c r="I5" s="11">
        <f t="shared" si="0"/>
        <v>0.20319713766694977</v>
      </c>
      <c r="J5" s="11">
        <f t="shared" si="0"/>
        <v>1.9361355064941944E-2</v>
      </c>
      <c r="K5" s="11">
        <f t="shared" si="0"/>
        <v>5.6174266902220216E-2</v>
      </c>
    </row>
    <row r="6" spans="1:11" ht="28.5" x14ac:dyDescent="0.2">
      <c r="A6" s="12" t="s">
        <v>633</v>
      </c>
      <c r="B6" s="5">
        <f>B4*SQRT(12)</f>
        <v>0.14320771825569167</v>
      </c>
      <c r="C6" s="5">
        <f t="shared" ref="C6:K6" si="1">C4*SQRT(12)</f>
        <v>0.26339074454329214</v>
      </c>
      <c r="D6" s="5">
        <f t="shared" si="1"/>
        <v>0.15045365208859637</v>
      </c>
      <c r="E6" s="5">
        <f t="shared" si="1"/>
        <v>0.23546148836416045</v>
      </c>
      <c r="F6" s="5">
        <f t="shared" si="1"/>
        <v>0.45892084054172982</v>
      </c>
      <c r="G6" s="5">
        <f t="shared" si="1"/>
        <v>0.15777547140686049</v>
      </c>
      <c r="H6" s="5">
        <f t="shared" si="1"/>
        <v>0.13346012048136727</v>
      </c>
      <c r="I6" s="5">
        <f t="shared" si="1"/>
        <v>0.19580409325600553</v>
      </c>
      <c r="J6" s="5">
        <f t="shared" si="1"/>
        <v>0.17482170530639612</v>
      </c>
      <c r="K6" s="5">
        <f t="shared" si="1"/>
        <v>0.14868668903762816</v>
      </c>
    </row>
    <row r="7" spans="1:11" ht="28.5" customHeight="1" x14ac:dyDescent="0.2">
      <c r="A7" s="12" t="s">
        <v>642</v>
      </c>
      <c r="B7" s="5">
        <f t="shared" ref="B7:K7" si="2">(B5-Risk_Free_rate)/B6</f>
        <v>0.5733967215736343</v>
      </c>
      <c r="C7" s="5">
        <f t="shared" si="2"/>
        <v>0.11486012282448656</v>
      </c>
      <c r="D7" s="5">
        <f t="shared" si="2"/>
        <v>0.56409112029352249</v>
      </c>
      <c r="E7" s="5">
        <f t="shared" si="2"/>
        <v>0.62639001316795218</v>
      </c>
      <c r="F7" s="5">
        <f t="shared" si="2"/>
        <v>1.342678688147267</v>
      </c>
      <c r="G7" s="5">
        <f t="shared" si="2"/>
        <v>0.15785420738853076</v>
      </c>
      <c r="H7" s="5">
        <f t="shared" si="2"/>
        <v>-0.54378766015348989</v>
      </c>
      <c r="I7" s="5">
        <f t="shared" si="2"/>
        <v>0.83347153245451533</v>
      </c>
      <c r="J7" s="5">
        <f t="shared" si="2"/>
        <v>-0.11805539191421535</v>
      </c>
      <c r="K7" s="5">
        <f t="shared" si="2"/>
        <v>0.10878086671313927</v>
      </c>
    </row>
    <row r="13" spans="1:11" x14ac:dyDescent="0.2">
      <c r="A13" s="17" t="s">
        <v>643</v>
      </c>
      <c r="B13" s="5">
        <v>0.04</v>
      </c>
    </row>
  </sheetData>
  <mergeCells count="1">
    <mergeCell ref="A1:K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76258-952D-4D5F-A25A-3F75C79364D4}">
  <dimension ref="A1:K12"/>
  <sheetViews>
    <sheetView workbookViewId="0">
      <selection activeCell="J27" sqref="J27"/>
    </sheetView>
  </sheetViews>
  <sheetFormatPr defaultRowHeight="14.25" x14ac:dyDescent="0.2"/>
  <cols>
    <col min="1" max="1" width="9.75" customWidth="1"/>
  </cols>
  <sheetData>
    <row r="1" spans="1:11" ht="16.5" thickBot="1" x14ac:dyDescent="0.3">
      <c r="A1" s="110" t="s">
        <v>1309</v>
      </c>
      <c r="B1" s="111"/>
      <c r="C1" s="111"/>
      <c r="D1" s="111"/>
      <c r="E1" s="111"/>
      <c r="F1" s="111"/>
      <c r="G1" s="111"/>
      <c r="H1" s="111"/>
      <c r="I1" s="111"/>
      <c r="J1" s="111"/>
      <c r="K1" s="111"/>
    </row>
    <row r="2" spans="1:11" x14ac:dyDescent="0.2">
      <c r="A2" s="4"/>
      <c r="B2" s="4" t="s">
        <v>139</v>
      </c>
      <c r="C2" s="4" t="s">
        <v>630</v>
      </c>
      <c r="D2" s="4" t="s">
        <v>273</v>
      </c>
      <c r="E2" s="4" t="s">
        <v>369</v>
      </c>
      <c r="F2" s="4" t="s">
        <v>503</v>
      </c>
      <c r="G2" s="4" t="s">
        <v>652</v>
      </c>
      <c r="H2" s="4" t="s">
        <v>783</v>
      </c>
      <c r="I2" s="4" t="s">
        <v>914</v>
      </c>
      <c r="J2" s="4" t="s">
        <v>1042</v>
      </c>
      <c r="K2" s="4" t="s">
        <v>1174</v>
      </c>
    </row>
    <row r="3" spans="1:11" x14ac:dyDescent="0.2">
      <c r="A3" t="s">
        <v>139</v>
      </c>
      <c r="B3">
        <v>1</v>
      </c>
    </row>
    <row r="4" spans="1:11" x14ac:dyDescent="0.2">
      <c r="A4" t="s">
        <v>630</v>
      </c>
      <c r="B4">
        <v>-5.260267768466715E-2</v>
      </c>
      <c r="C4">
        <v>1</v>
      </c>
    </row>
    <row r="5" spans="1:11" x14ac:dyDescent="0.2">
      <c r="A5" t="s">
        <v>273</v>
      </c>
      <c r="B5">
        <v>7.5629895119897095E-2</v>
      </c>
      <c r="C5">
        <v>0.48664065700809062</v>
      </c>
      <c r="D5">
        <v>1</v>
      </c>
    </row>
    <row r="6" spans="1:11" x14ac:dyDescent="0.2">
      <c r="A6" t="s">
        <v>369</v>
      </c>
      <c r="B6">
        <v>-0.1547879165974895</v>
      </c>
      <c r="C6">
        <v>0.48366786632972991</v>
      </c>
      <c r="D6">
        <v>0.72201193818759202</v>
      </c>
      <c r="E6">
        <v>1</v>
      </c>
    </row>
    <row r="7" spans="1:11" x14ac:dyDescent="0.2">
      <c r="A7" t="s">
        <v>503</v>
      </c>
      <c r="B7">
        <v>-7.1352850147752694E-2</v>
      </c>
      <c r="C7">
        <v>0.11593508738735987</v>
      </c>
      <c r="D7">
        <v>0.58524838635990162</v>
      </c>
      <c r="E7">
        <v>0.33253513699335091</v>
      </c>
      <c r="F7">
        <v>1</v>
      </c>
    </row>
    <row r="8" spans="1:11" x14ac:dyDescent="0.2">
      <c r="A8" t="s">
        <v>652</v>
      </c>
      <c r="B8">
        <v>0.21463343422478001</v>
      </c>
      <c r="C8">
        <v>0.15856126165150547</v>
      </c>
      <c r="D8">
        <v>0.36666488720873147</v>
      </c>
      <c r="E8">
        <v>0.13910831847473656</v>
      </c>
      <c r="F8">
        <v>5.7880810686453156E-3</v>
      </c>
      <c r="G8">
        <v>1</v>
      </c>
    </row>
    <row r="9" spans="1:11" x14ac:dyDescent="0.2">
      <c r="A9" t="s">
        <v>783</v>
      </c>
      <c r="B9">
        <v>0.37669484082792049</v>
      </c>
      <c r="C9">
        <v>-0.21709239418531145</v>
      </c>
      <c r="D9">
        <v>0.13737212775829666</v>
      </c>
      <c r="E9">
        <v>-0.17214216524851977</v>
      </c>
      <c r="F9">
        <v>0.14482298490661361</v>
      </c>
      <c r="G9">
        <v>0.16097344370462624</v>
      </c>
      <c r="H9">
        <v>1</v>
      </c>
    </row>
    <row r="10" spans="1:11" x14ac:dyDescent="0.2">
      <c r="A10" t="s">
        <v>914</v>
      </c>
      <c r="B10">
        <v>1.9545018701215781E-2</v>
      </c>
      <c r="C10">
        <v>0.28565348891468539</v>
      </c>
      <c r="D10">
        <v>0.90790238397061163</v>
      </c>
      <c r="E10">
        <v>0.54603734196613862</v>
      </c>
      <c r="F10">
        <v>0.71804121939582921</v>
      </c>
      <c r="G10">
        <v>0.2463580436897598</v>
      </c>
      <c r="H10">
        <v>0.19899336849871455</v>
      </c>
      <c r="I10">
        <v>1</v>
      </c>
    </row>
    <row r="11" spans="1:11" x14ac:dyDescent="0.2">
      <c r="A11" t="s">
        <v>1042</v>
      </c>
      <c r="B11">
        <v>0.16130328292020085</v>
      </c>
      <c r="C11">
        <v>0.38133902955768217</v>
      </c>
      <c r="D11">
        <v>0.76601495591614632</v>
      </c>
      <c r="E11">
        <v>0.47083063594644825</v>
      </c>
      <c r="F11">
        <v>0.29478892543813157</v>
      </c>
      <c r="G11">
        <v>0.43599369373086311</v>
      </c>
      <c r="H11">
        <v>0.41804689604770201</v>
      </c>
      <c r="I11">
        <v>0.61115323032460456</v>
      </c>
      <c r="J11">
        <v>1</v>
      </c>
    </row>
    <row r="12" spans="1:11" ht="15" thickBot="1" x14ac:dyDescent="0.25">
      <c r="A12" s="3" t="s">
        <v>1174</v>
      </c>
      <c r="B12" s="3">
        <v>0.23445848739634551</v>
      </c>
      <c r="C12" s="3">
        <v>0.48602042507796278</v>
      </c>
      <c r="D12" s="3">
        <v>0.84742524450340895</v>
      </c>
      <c r="E12" s="3">
        <v>0.67252337571325371</v>
      </c>
      <c r="F12" s="3">
        <v>0.44102698197841</v>
      </c>
      <c r="G12" s="3">
        <v>0.3195241973985693</v>
      </c>
      <c r="H12" s="3">
        <v>0.15733103633554574</v>
      </c>
      <c r="I12" s="3">
        <v>0.72499146230652378</v>
      </c>
      <c r="J12" s="3">
        <v>0.69270347051509651</v>
      </c>
      <c r="K12" s="3">
        <v>1</v>
      </c>
    </row>
  </sheetData>
  <mergeCells count="1">
    <mergeCell ref="A1:K1"/>
  </mergeCells>
  <conditionalFormatting sqref="A2:K12">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BC392-A50B-44F3-B2B2-309B565741FB}">
  <dimension ref="A1:K2"/>
  <sheetViews>
    <sheetView workbookViewId="0">
      <selection activeCell="I2" sqref="I2"/>
    </sheetView>
  </sheetViews>
  <sheetFormatPr defaultRowHeight="14.25" x14ac:dyDescent="0.2"/>
  <cols>
    <col min="14" max="14" width="8.875" customWidth="1"/>
  </cols>
  <sheetData>
    <row r="1" spans="1:11" ht="15.75" x14ac:dyDescent="0.25">
      <c r="A1" s="8"/>
      <c r="B1" s="9" t="s">
        <v>139</v>
      </c>
      <c r="C1" s="9" t="s">
        <v>630</v>
      </c>
      <c r="D1" s="9" t="s">
        <v>273</v>
      </c>
      <c r="E1" s="9" t="s">
        <v>369</v>
      </c>
      <c r="F1" s="9" t="s">
        <v>503</v>
      </c>
      <c r="G1" s="38" t="s">
        <v>652</v>
      </c>
      <c r="H1" s="38" t="s">
        <v>783</v>
      </c>
      <c r="I1" s="38" t="s">
        <v>914</v>
      </c>
      <c r="J1" s="38" t="s">
        <v>1042</v>
      </c>
      <c r="K1" s="38" t="s">
        <v>1174</v>
      </c>
    </row>
    <row r="2" spans="1:11" ht="18.75" customHeight="1" x14ac:dyDescent="0.25">
      <c r="A2" s="39" t="s">
        <v>636</v>
      </c>
      <c r="B2" s="10">
        <f>_xlfn.COVARIANCE.S(Returns!B3:B1000, Returns!$D$3:$D$1000) / _xlfn.VAR.S(Returns!$D$3:$D$1000)</f>
        <v>7.1987516166506241E-2</v>
      </c>
      <c r="C2" s="10">
        <f>_xlfn.COVARIANCE.S(Returns!C3:C1000, Returns!$D$3:$D$1000) / _xlfn.VAR.S(Returns!$D$3:$D$1000)</f>
        <v>0.85193442096652883</v>
      </c>
      <c r="D2" s="10">
        <f>_xlfn.COVARIANCE.S(Returns!D3:D1000, Returns!$D$3:$D$1000) / _xlfn.VAR.S(Returns!$D$3:$D$1000)</f>
        <v>1.0000000000000011</v>
      </c>
      <c r="E2" s="10">
        <f>_xlfn.COVARIANCE.S(Returns!E3:E1000, Returns!$D$3:$D$1000) / _xlfn.VAR.S(Returns!$D$3:$D$1000)</f>
        <v>1.1299559912459463</v>
      </c>
      <c r="F2" s="10">
        <f>_xlfn.COVARIANCE.S(Returns!F3:F1000, Returns!$D$3:$D$1000) / _xlfn.VAR.S(Returns!$D$3:$D$1000)</f>
        <v>1.7851522888644751</v>
      </c>
      <c r="G2" s="10">
        <f>_xlfn.COVARIANCE.S(Returns!G3:G1000, Returns!$D$3:$D$1000) / _xlfn.VAR.S(Returns!$D$3:$D$1000)</f>
        <v>0.38450861527532021</v>
      </c>
      <c r="H2" s="10">
        <f>_xlfn.COVARIANCE.S(Returns!H3:H1000, Returns!$D$3:$D$1000) / _xlfn.VAR.S(Returns!$D$3:$D$1000)</f>
        <v>0.12185613620471004</v>
      </c>
      <c r="I2" s="10">
        <f>_xlfn.COVARIANCE.S(Returns!I3:I1000, Returns!$D$3:$D$1000) / _xlfn.VAR.S(Returns!$D$3:$D$1000)</f>
        <v>1.1815665528255104</v>
      </c>
      <c r="J2" s="10">
        <f>_xlfn.COVARIANCE.S(Returns!J3:J1000, Returns!$D$3:$D$1000) / _xlfn.VAR.S(Returns!$D$3:$D$1000)</f>
        <v>0.89008168977251989</v>
      </c>
      <c r="K2" s="10">
        <f>_xlfn.COVARIANCE.S(Returns!K3:K1000, Returns!$D$3:$D$1000) / _xlfn.VAR.S(Returns!$D$3:$D$1000)</f>
        <v>0.83747288326319524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CD389-A941-4866-B8F3-B51ADEDC78BA}">
  <dimension ref="A1:K40"/>
  <sheetViews>
    <sheetView topLeftCell="A7" zoomScale="85" zoomScaleNormal="85" workbookViewId="0">
      <selection activeCell="C3" sqref="C3"/>
    </sheetView>
  </sheetViews>
  <sheetFormatPr defaultRowHeight="14.25" x14ac:dyDescent="0.2"/>
  <cols>
    <col min="1" max="1" width="13.125" customWidth="1"/>
    <col min="2" max="2" width="14.875" customWidth="1"/>
    <col min="3" max="3" width="12.625" customWidth="1"/>
    <col min="4" max="4" width="11" customWidth="1"/>
    <col min="5" max="5" width="10.625" customWidth="1"/>
    <col min="6" max="6" width="12.25" customWidth="1"/>
  </cols>
  <sheetData>
    <row r="1" spans="1:3" ht="18" x14ac:dyDescent="0.25">
      <c r="A1" s="112" t="s">
        <v>1308</v>
      </c>
      <c r="B1" s="113"/>
      <c r="C1" s="113"/>
    </row>
    <row r="2" spans="1:3" ht="30" x14ac:dyDescent="0.25">
      <c r="A2" s="40" t="s">
        <v>637</v>
      </c>
      <c r="B2" s="40" t="s">
        <v>638</v>
      </c>
      <c r="C2" s="42" t="s">
        <v>632</v>
      </c>
    </row>
    <row r="3" spans="1:3" ht="15.75" x14ac:dyDescent="0.25">
      <c r="A3" s="9" t="s">
        <v>139</v>
      </c>
      <c r="B3" s="5">
        <v>0.1</v>
      </c>
      <c r="C3" s="5">
        <f>INDEX(Risk_Analysis!$B$5:$K$5, MATCH(A3, Risk_Analysis!$B$2:$K$2, 0))</f>
        <v>0.1221148361518543</v>
      </c>
    </row>
    <row r="4" spans="1:3" ht="15.75" x14ac:dyDescent="0.25">
      <c r="A4" s="9" t="s">
        <v>630</v>
      </c>
      <c r="B4" s="5">
        <v>0.05</v>
      </c>
      <c r="C4" s="5">
        <f>INDEX(Risk_Analysis!$B$5:$K$5, MATCH(A4, Risk_Analysis!$B$2:$K$2, 0))</f>
        <v>7.0253093269075501E-2</v>
      </c>
    </row>
    <row r="5" spans="1:3" ht="15.75" x14ac:dyDescent="0.25">
      <c r="A5" s="9" t="s">
        <v>273</v>
      </c>
      <c r="B5" s="5">
        <v>0.25</v>
      </c>
      <c r="C5" s="5">
        <f>INDEX(Risk_Analysis!$B$5:$K$5, MATCH(A5, Risk_Analysis!$B$2:$K$2, 0))</f>
        <v>0.12486956915890821</v>
      </c>
    </row>
    <row r="6" spans="1:3" ht="15.75" x14ac:dyDescent="0.25">
      <c r="A6" s="9" t="s">
        <v>369</v>
      </c>
      <c r="B6" s="5">
        <v>0.05</v>
      </c>
      <c r="C6" s="5">
        <f>INDEX(Risk_Analysis!$B$5:$K$5, MATCH(A6, Risk_Analysis!$B$2:$K$2, 0))</f>
        <v>0.1874907247969721</v>
      </c>
    </row>
    <row r="7" spans="1:3" ht="15.75" x14ac:dyDescent="0.25">
      <c r="A7" s="9" t="s">
        <v>503</v>
      </c>
      <c r="B7" s="5">
        <v>0.05</v>
      </c>
      <c r="C7" s="5">
        <f>INDEX(Risk_Analysis!$B$5:$K$5, MATCH(A7, Risk_Analysis!$B$2:$K$2, 0))</f>
        <v>0.65618323214201091</v>
      </c>
    </row>
    <row r="8" spans="1:3" ht="15.75" x14ac:dyDescent="0.25">
      <c r="A8" s="9" t="s">
        <v>652</v>
      </c>
      <c r="B8" s="5">
        <v>0.05</v>
      </c>
      <c r="C8" s="5">
        <f>INDEX(Risk_Analysis!$B$5:$K$5, MATCH(A8, Risk_Analysis!$B$2:$K$2, 0))</f>
        <v>6.4905521984281761E-2</v>
      </c>
    </row>
    <row r="9" spans="1:3" ht="15.75" x14ac:dyDescent="0.25">
      <c r="A9" s="9" t="s">
        <v>783</v>
      </c>
      <c r="B9" s="5">
        <v>0.1</v>
      </c>
      <c r="C9" s="5">
        <f>INDEX(Risk_Analysis!$B$5:$K$5, MATCH(A9, Risk_Analysis!$B$2:$K$2, 0))</f>
        <v>-3.2573966640365555E-2</v>
      </c>
    </row>
    <row r="10" spans="1:3" ht="15.75" x14ac:dyDescent="0.25">
      <c r="A10" s="9" t="s">
        <v>914</v>
      </c>
      <c r="B10" s="5">
        <v>0.1</v>
      </c>
      <c r="C10" s="5">
        <f>INDEX(Risk_Analysis!$B$5:$K$5, MATCH(A10, Risk_Analysis!$B$2:$K$2, 0))</f>
        <v>0.20319713766694977</v>
      </c>
    </row>
    <row r="11" spans="1:3" ht="15.75" x14ac:dyDescent="0.25">
      <c r="A11" s="9" t="s">
        <v>1042</v>
      </c>
      <c r="B11" s="5">
        <v>0.1</v>
      </c>
      <c r="C11" s="5">
        <f>INDEX(Risk_Analysis!$B$5:$K$5, MATCH(A11, Risk_Analysis!$B$2:$K$2, 0))</f>
        <v>1.9361355064941944E-2</v>
      </c>
    </row>
    <row r="12" spans="1:3" ht="15.75" x14ac:dyDescent="0.25">
      <c r="A12" s="9" t="s">
        <v>1174</v>
      </c>
      <c r="B12" s="5">
        <v>0.15</v>
      </c>
      <c r="C12" s="5">
        <f>INDEX(Risk_Analysis!$B$5:$K$5, MATCH(A12, Risk_Analysis!$B$2:$K$2, 0))</f>
        <v>5.6174266902220216E-2</v>
      </c>
    </row>
    <row r="15" spans="1:3" ht="15" thickBot="1" x14ac:dyDescent="0.25"/>
    <row r="16" spans="1:3" ht="48" thickBot="1" x14ac:dyDescent="0.3">
      <c r="A16" s="43" t="s">
        <v>639</v>
      </c>
      <c r="B16" s="50">
        <f>SUMPRODUCT(B3:B12, C3:C12)</f>
        <v>0.11979509715901515</v>
      </c>
    </row>
    <row r="20" spans="1:11" ht="18" x14ac:dyDescent="0.25">
      <c r="A20" s="112" t="s">
        <v>1311</v>
      </c>
      <c r="B20" s="113"/>
      <c r="C20" s="113"/>
      <c r="D20" s="113"/>
      <c r="E20" s="113"/>
      <c r="F20" s="113"/>
      <c r="G20" s="113"/>
      <c r="H20" s="113"/>
      <c r="I20" s="113"/>
      <c r="J20" s="113"/>
      <c r="K20" s="113"/>
    </row>
    <row r="21" spans="1:11" ht="15.75" x14ac:dyDescent="0.25">
      <c r="A21" s="44"/>
      <c r="B21" s="40" t="s">
        <v>139</v>
      </c>
      <c r="C21" s="40" t="s">
        <v>630</v>
      </c>
      <c r="D21" s="40" t="s">
        <v>273</v>
      </c>
      <c r="E21" s="40" t="s">
        <v>369</v>
      </c>
      <c r="F21" s="40" t="s">
        <v>503</v>
      </c>
      <c r="G21" s="40" t="s">
        <v>652</v>
      </c>
      <c r="H21" s="40" t="s">
        <v>783</v>
      </c>
      <c r="I21" s="40" t="s">
        <v>914</v>
      </c>
      <c r="J21" s="40" t="s">
        <v>1042</v>
      </c>
      <c r="K21" s="40" t="s">
        <v>1174</v>
      </c>
    </row>
    <row r="22" spans="1:11" ht="15.75" x14ac:dyDescent="0.25">
      <c r="A22" s="40" t="s">
        <v>139</v>
      </c>
      <c r="B22">
        <f>VARP(Returns!$B$3:$B$134)</f>
        <v>1.6960902931869985E-3</v>
      </c>
      <c r="C22">
        <f>INDEX($B$22:$K$31,
       MATCH(C$21, $A$22:$A$31, 0),
       MATCH($A22, $B$21:$K$21, 0))</f>
        <v>-1.640933213546074E-4</v>
      </c>
      <c r="D22">
        <f>INDEX($B$22:$K$31,
       MATCH(D$21, $A$22:$A$31, 0),
       MATCH($A22, $B$21:$K$21, 0))</f>
        <v>1.3476551518522428E-4</v>
      </c>
      <c r="E22">
        <f t="shared" ref="E22:K30" si="0">INDEX($B$22:$K$31,
       MATCH(E$21, $A$22:$A$31, 0),
       MATCH($A22, $B$21:$K$21, 0))</f>
        <v>-4.3165769092563702E-4</v>
      </c>
      <c r="F22">
        <f t="shared" si="0"/>
        <v>-3.8782129242243045E-4</v>
      </c>
      <c r="G22">
        <f t="shared" si="0"/>
        <v>4.0106928566998104E-4</v>
      </c>
      <c r="H22">
        <f t="shared" si="0"/>
        <v>5.9542042489091405E-4</v>
      </c>
      <c r="I22">
        <f t="shared" si="0"/>
        <v>4.5325270045048942E-5</v>
      </c>
      <c r="J22">
        <f t="shared" si="0"/>
        <v>3.3398049361019444E-4</v>
      </c>
      <c r="K22">
        <f t="shared" si="0"/>
        <v>4.1287690737837611E-4</v>
      </c>
    </row>
    <row r="23" spans="1:11" ht="15.75" x14ac:dyDescent="0.25">
      <c r="A23" s="40" t="s">
        <v>630</v>
      </c>
      <c r="B23">
        <v>-1.640933213546074E-4</v>
      </c>
      <c r="C23">
        <f>VARP(Returns!$C$3:$C$134)</f>
        <v>5.7374265434028673E-3</v>
      </c>
      <c r="D23">
        <f>INDEX($B$22:$K$31,
       MATCH(D$21, $A$22:$A$31, 0),
       MATCH($A23, $B$21:$K$21, 0))</f>
        <v>1.5948790465283268E-3</v>
      </c>
      <c r="E23">
        <f t="shared" si="0"/>
        <v>2.4807542733914123E-3</v>
      </c>
      <c r="F23">
        <f t="shared" si="0"/>
        <v>1.1589622824317997E-3</v>
      </c>
      <c r="G23">
        <f t="shared" si="0"/>
        <v>5.4494567179852839E-4</v>
      </c>
      <c r="H23">
        <f t="shared" si="0"/>
        <v>-6.3112117145257946E-4</v>
      </c>
      <c r="I23">
        <f t="shared" si="0"/>
        <v>1.2183664393440067E-3</v>
      </c>
      <c r="J23">
        <f t="shared" si="0"/>
        <v>1.4521893172779058E-3</v>
      </c>
      <c r="K23">
        <f t="shared" si="0"/>
        <v>1.5741395837655912E-3</v>
      </c>
    </row>
    <row r="24" spans="1:11" ht="15.75" x14ac:dyDescent="0.25">
      <c r="A24" s="40" t="s">
        <v>273</v>
      </c>
      <c r="B24">
        <v>1.3476551518522428E-4</v>
      </c>
      <c r="C24">
        <v>1.5948790465283268E-3</v>
      </c>
      <c r="D24">
        <f>VARP(Returns!$D$3:$D$134)</f>
        <v>1.8720678578979348E-3</v>
      </c>
      <c r="E24">
        <f t="shared" si="0"/>
        <v>2.1153542920507363E-3</v>
      </c>
      <c r="F24">
        <f t="shared" si="0"/>
        <v>3.3419262214361128E-3</v>
      </c>
      <c r="G24">
        <f t="shared" si="0"/>
        <v>7.1982621974176972E-4</v>
      </c>
      <c r="H24">
        <f t="shared" si="0"/>
        <v>2.2812295587647049E-4</v>
      </c>
      <c r="I24">
        <f t="shared" si="0"/>
        <v>2.2119727655118999E-3</v>
      </c>
      <c r="J24">
        <f t="shared" si="0"/>
        <v>1.6662933223266154E-3</v>
      </c>
      <c r="K24">
        <f t="shared" si="0"/>
        <v>1.5678060666181369E-3</v>
      </c>
    </row>
    <row r="25" spans="1:11" ht="15.75" x14ac:dyDescent="0.25">
      <c r="A25" s="40" t="s">
        <v>369</v>
      </c>
      <c r="B25">
        <v>-4.3165769092563702E-4</v>
      </c>
      <c r="C25">
        <v>2.4807542733914123E-3</v>
      </c>
      <c r="D25">
        <v>2.1153542920507363E-3</v>
      </c>
      <c r="E25">
        <f>VARP(Returns!$E$3:$E$134)</f>
        <v>4.5851747082381322E-3</v>
      </c>
      <c r="F25">
        <f t="shared" si="0"/>
        <v>2.9717435242073132E-3</v>
      </c>
      <c r="G25">
        <f t="shared" si="0"/>
        <v>4.2739416699127811E-4</v>
      </c>
      <c r="H25">
        <f t="shared" si="0"/>
        <v>-4.4737815815013563E-4</v>
      </c>
      <c r="I25">
        <f t="shared" si="0"/>
        <v>2.081997068225051E-3</v>
      </c>
      <c r="J25">
        <f t="shared" si="0"/>
        <v>1.6028617649644836E-3</v>
      </c>
      <c r="K25">
        <f t="shared" si="0"/>
        <v>1.9472220473714852E-3</v>
      </c>
    </row>
    <row r="26" spans="1:11" ht="15.75" x14ac:dyDescent="0.25">
      <c r="A26" s="40" t="s">
        <v>503</v>
      </c>
      <c r="B26">
        <v>-3.8782129242243045E-4</v>
      </c>
      <c r="C26">
        <v>1.1589622824317997E-3</v>
      </c>
      <c r="D26">
        <v>3.3419262214361128E-3</v>
      </c>
      <c r="E26">
        <v>2.9717435242073132E-3</v>
      </c>
      <c r="F26">
        <f>VARP(Returns!$F$3:$F$134)</f>
        <v>1.7417735014357415E-2</v>
      </c>
      <c r="G26">
        <f t="shared" si="0"/>
        <v>3.4659954677299468E-5</v>
      </c>
      <c r="H26">
        <f t="shared" si="0"/>
        <v>7.3357226935953884E-4</v>
      </c>
      <c r="I26">
        <f t="shared" si="0"/>
        <v>5.3361132841730904E-3</v>
      </c>
      <c r="J26">
        <f t="shared" si="0"/>
        <v>1.955962008478666E-3</v>
      </c>
      <c r="K26">
        <f t="shared" si="0"/>
        <v>2.4888065999673593E-3</v>
      </c>
    </row>
    <row r="27" spans="1:11" ht="15.75" x14ac:dyDescent="0.25">
      <c r="A27" s="40" t="s">
        <v>652</v>
      </c>
      <c r="B27">
        <v>4.0106928566998104E-4</v>
      </c>
      <c r="C27">
        <v>5.4494567179852839E-4</v>
      </c>
      <c r="D27">
        <v>7.1982621974176972E-4</v>
      </c>
      <c r="E27">
        <v>4.2739416699127811E-4</v>
      </c>
      <c r="F27">
        <v>3.4659954677299468E-5</v>
      </c>
      <c r="G27">
        <f>VARP(Returns!$G$3:$G$134)</f>
        <v>2.0587096076218904E-3</v>
      </c>
      <c r="H27">
        <f t="shared" si="0"/>
        <v>2.8032469121634694E-4</v>
      </c>
      <c r="I27">
        <f t="shared" si="0"/>
        <v>6.2942518759350266E-4</v>
      </c>
      <c r="J27">
        <f t="shared" si="0"/>
        <v>9.9456040371620827E-4</v>
      </c>
      <c r="K27">
        <f t="shared" si="0"/>
        <v>6.1991400525549976E-4</v>
      </c>
    </row>
    <row r="28" spans="1:11" ht="15.75" x14ac:dyDescent="0.25">
      <c r="A28" s="40" t="s">
        <v>783</v>
      </c>
      <c r="B28">
        <v>5.9542042489091405E-4</v>
      </c>
      <c r="C28">
        <v>-6.3112117145257946E-4</v>
      </c>
      <c r="D28">
        <v>2.2812295587647049E-4</v>
      </c>
      <c r="E28">
        <v>-4.4737815815013563E-4</v>
      </c>
      <c r="F28">
        <v>7.3357226935953884E-4</v>
      </c>
      <c r="G28">
        <v>2.8032469121634694E-4</v>
      </c>
      <c r="H28">
        <f>VARP(Returns!$H$3:$H$134)</f>
        <v>1.473055613899015E-3</v>
      </c>
      <c r="I28">
        <f t="shared" si="0"/>
        <v>4.3005896073817194E-4</v>
      </c>
      <c r="J28">
        <f t="shared" si="0"/>
        <v>8.0665529038274203E-4</v>
      </c>
      <c r="K28">
        <f t="shared" si="0"/>
        <v>2.5819874381286325E-4</v>
      </c>
    </row>
    <row r="29" spans="1:11" ht="15.75" x14ac:dyDescent="0.25">
      <c r="A29" s="40" t="s">
        <v>914</v>
      </c>
      <c r="B29">
        <v>4.5325270045048942E-5</v>
      </c>
      <c r="C29">
        <v>1.2183664393440067E-3</v>
      </c>
      <c r="D29">
        <v>2.2119727655118999E-3</v>
      </c>
      <c r="E29">
        <v>2.081997068225051E-3</v>
      </c>
      <c r="F29">
        <v>5.3361132841730904E-3</v>
      </c>
      <c r="G29">
        <v>6.2942518759350266E-4</v>
      </c>
      <c r="H29">
        <v>4.3005896073817194E-4</v>
      </c>
      <c r="I29">
        <f>VARP(Returns!$I$3:$I$134)</f>
        <v>3.170732843807231E-3</v>
      </c>
      <c r="J29">
        <f t="shared" si="0"/>
        <v>1.7301483731112614E-3</v>
      </c>
      <c r="K29">
        <f t="shared" si="0"/>
        <v>1.7455925017913886E-3</v>
      </c>
    </row>
    <row r="30" spans="1:11" ht="15.75" x14ac:dyDescent="0.25">
      <c r="A30" s="40" t="s">
        <v>1042</v>
      </c>
      <c r="B30">
        <v>3.3398049361019444E-4</v>
      </c>
      <c r="C30">
        <v>1.4521893172779058E-3</v>
      </c>
      <c r="D30">
        <v>1.6662933223266154E-3</v>
      </c>
      <c r="E30">
        <v>1.6028617649644836E-3</v>
      </c>
      <c r="F30">
        <v>1.955962008478666E-3</v>
      </c>
      <c r="G30">
        <v>9.9456040371620827E-4</v>
      </c>
      <c r="H30">
        <v>8.0665529038274203E-4</v>
      </c>
      <c r="I30">
        <v>1.7301483731112614E-3</v>
      </c>
      <c r="J30">
        <f>VARP(Returns!$J$3:$J$134)</f>
        <v>2.5275911317278856E-3</v>
      </c>
      <c r="K30">
        <f t="shared" si="0"/>
        <v>1.4891242115430154E-3</v>
      </c>
    </row>
    <row r="31" spans="1:11" ht="16.5" thickBot="1" x14ac:dyDescent="0.3">
      <c r="A31" s="40" t="s">
        <v>1174</v>
      </c>
      <c r="B31" s="3">
        <v>4.1287690737837611E-4</v>
      </c>
      <c r="C31" s="3">
        <v>1.5741395837655912E-3</v>
      </c>
      <c r="D31" s="3">
        <v>1.5678060666181369E-3</v>
      </c>
      <c r="E31" s="3">
        <v>1.9472220473714852E-3</v>
      </c>
      <c r="F31" s="3">
        <v>2.4888065999673593E-3</v>
      </c>
      <c r="G31" s="3">
        <v>6.1991400525549976E-4</v>
      </c>
      <c r="H31" s="3">
        <v>2.5819874381286325E-4</v>
      </c>
      <c r="I31" s="3">
        <v>1.7455925017913886E-3</v>
      </c>
      <c r="J31" s="3">
        <v>1.4891242115430154E-3</v>
      </c>
      <c r="K31" s="3">
        <f>VARP(Returns!$K$3:$K$134)</f>
        <v>1.8283540568834447E-3</v>
      </c>
    </row>
    <row r="34" spans="1:11" ht="30" x14ac:dyDescent="0.2">
      <c r="A34" s="21" t="s">
        <v>1315</v>
      </c>
      <c r="B34" s="48">
        <f t="array" ref="B34:K34">TRANSPOSE(B3:B12)</f>
        <v>0.1</v>
      </c>
      <c r="C34" s="5">
        <v>0.05</v>
      </c>
      <c r="D34" s="5">
        <v>0.25</v>
      </c>
      <c r="E34" s="5">
        <v>0.05</v>
      </c>
      <c r="F34" s="5">
        <v>0.05</v>
      </c>
      <c r="G34" s="5">
        <v>0.05</v>
      </c>
      <c r="H34" s="5">
        <v>0.1</v>
      </c>
      <c r="I34" s="5">
        <v>0.1</v>
      </c>
      <c r="J34" s="5">
        <v>0.1</v>
      </c>
      <c r="K34" s="5">
        <v>0.15</v>
      </c>
    </row>
    <row r="36" spans="1:11" ht="15" thickBot="1" x14ac:dyDescent="0.25"/>
    <row r="37" spans="1:11" ht="32.25" thickBot="1" x14ac:dyDescent="0.3">
      <c r="A37" s="43" t="s">
        <v>1316</v>
      </c>
      <c r="B37" s="51">
        <f>MMULT( MMULT($B$34:$K$34, $B$22:$K$31), $B$3:$B$12 )</f>
        <v>1.325050129305412E-3</v>
      </c>
    </row>
    <row r="38" spans="1:11" ht="32.25" thickBot="1" x14ac:dyDescent="0.3">
      <c r="A38" s="43" t="s">
        <v>1317</v>
      </c>
      <c r="B38" s="51">
        <f>SQRT(B37)</f>
        <v>3.6401238018856065E-2</v>
      </c>
    </row>
    <row r="39" spans="1:11" ht="32.25" thickBot="1" x14ac:dyDescent="0.3">
      <c r="A39" s="43" t="s">
        <v>1318</v>
      </c>
      <c r="B39" s="51">
        <f>B38*SQRT(12)</f>
        <v>0.12609758741413313</v>
      </c>
    </row>
    <row r="40" spans="1:11" ht="16.5" thickBot="1" x14ac:dyDescent="0.3">
      <c r="A40" s="49" t="s">
        <v>642</v>
      </c>
      <c r="B40" s="51">
        <f>(B16-Risk_Free_rate)/B39</f>
        <v>0.63280431287673977</v>
      </c>
    </row>
  </sheetData>
  <mergeCells count="2">
    <mergeCell ref="A1:C1"/>
    <mergeCell ref="A20:K2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98DEE-164D-4125-BC91-350CD2523756}">
  <dimension ref="A1:W54"/>
  <sheetViews>
    <sheetView topLeftCell="A13" workbookViewId="0">
      <selection activeCell="P46" sqref="P46"/>
    </sheetView>
  </sheetViews>
  <sheetFormatPr defaultRowHeight="14.25" x14ac:dyDescent="0.2"/>
  <cols>
    <col min="2" max="2" width="13" bestFit="1" customWidth="1"/>
    <col min="3" max="3" width="14.625" customWidth="1"/>
    <col min="4" max="4" width="12.25" customWidth="1"/>
    <col min="5" max="5" width="11.875" customWidth="1"/>
    <col min="6" max="6" width="12" customWidth="1"/>
    <col min="7" max="7" width="10.625" customWidth="1"/>
    <col min="9" max="9" width="11.625" customWidth="1"/>
    <col min="14" max="14" width="12" customWidth="1"/>
    <col min="16" max="16" width="12.375" bestFit="1" customWidth="1"/>
  </cols>
  <sheetData>
    <row r="1" spans="1:23" ht="60.75" thickBot="1" x14ac:dyDescent="0.25">
      <c r="E1" s="19" t="s">
        <v>639</v>
      </c>
      <c r="F1" s="20" t="s">
        <v>644</v>
      </c>
      <c r="G1" s="18" t="s">
        <v>645</v>
      </c>
      <c r="H1" s="18" t="s">
        <v>643</v>
      </c>
      <c r="I1" s="21" t="s">
        <v>641</v>
      </c>
      <c r="J1" s="21" t="s">
        <v>640</v>
      </c>
    </row>
    <row r="2" spans="1:23" x14ac:dyDescent="0.2">
      <c r="E2" s="5">
        <f>SUMPRODUCT(B6:B15, C6:C15)</f>
        <v>0.21181043234574864</v>
      </c>
      <c r="F2" s="5">
        <f>(E2-H2)/I2</f>
        <v>1.1705842975767928</v>
      </c>
      <c r="G2" s="22">
        <f>SUM(B6:B15)</f>
        <v>1.0000000002222382</v>
      </c>
      <c r="H2" s="5">
        <v>0.04</v>
      </c>
      <c r="I2" s="5">
        <f>SQRT(J2)*SQRT(12)</f>
        <v>0.1467732248770213</v>
      </c>
      <c r="J2" s="5">
        <f t="array" ref="J2">MMULT(TRANSPOSE($B$6:$B$15),MMULT($N$3:$W$12,$B$6:$B$15))</f>
        <v>1.7951982950667219E-3</v>
      </c>
      <c r="M2" s="5"/>
      <c r="N2" s="5" t="s">
        <v>139</v>
      </c>
      <c r="O2" s="5" t="s">
        <v>630</v>
      </c>
      <c r="P2" s="5" t="s">
        <v>273</v>
      </c>
      <c r="Q2" s="5" t="s">
        <v>369</v>
      </c>
      <c r="R2" s="5" t="s">
        <v>503</v>
      </c>
      <c r="S2" s="5" t="s">
        <v>652</v>
      </c>
      <c r="T2" s="5" t="s">
        <v>783</v>
      </c>
      <c r="U2" s="5" t="s">
        <v>914</v>
      </c>
      <c r="V2" s="5" t="s">
        <v>1042</v>
      </c>
      <c r="W2" s="5" t="s">
        <v>1174</v>
      </c>
    </row>
    <row r="3" spans="1:23" ht="13.5" customHeight="1" x14ac:dyDescent="0.2">
      <c r="M3" s="5" t="s">
        <v>139</v>
      </c>
      <c r="N3" s="5">
        <v>1.6960902931869985E-3</v>
      </c>
      <c r="O3" s="5">
        <v>-1.640933213546074E-4</v>
      </c>
      <c r="P3" s="5">
        <v>1.3476551518522428E-4</v>
      </c>
      <c r="Q3" s="5">
        <v>-4.3165769092563702E-4</v>
      </c>
      <c r="R3" s="5">
        <v>-3.8782129242243045E-4</v>
      </c>
      <c r="S3" s="5">
        <v>4.0106928566998104E-4</v>
      </c>
      <c r="T3" s="5">
        <v>5.9542042489091405E-4</v>
      </c>
      <c r="U3" s="5">
        <v>4.5325270045048942E-5</v>
      </c>
      <c r="V3" s="5">
        <v>3.3398049361019444E-4</v>
      </c>
      <c r="W3" s="5">
        <v>4.1287690737837611E-4</v>
      </c>
    </row>
    <row r="4" spans="1:23" x14ac:dyDescent="0.2">
      <c r="M4" s="5" t="s">
        <v>630</v>
      </c>
      <c r="N4" s="5">
        <v>-1.640933213546074E-4</v>
      </c>
      <c r="O4" s="5">
        <v>5.7374265434028673E-3</v>
      </c>
      <c r="P4" s="59">
        <v>1.5948790465283268E-3</v>
      </c>
      <c r="Q4" s="5">
        <v>2.4807542733914123E-3</v>
      </c>
      <c r="R4" s="5">
        <v>1.1589622824317997E-3</v>
      </c>
      <c r="S4" s="5">
        <v>5.4494567179852839E-4</v>
      </c>
      <c r="T4" s="5">
        <v>-6.3112117145257946E-4</v>
      </c>
      <c r="U4" s="5">
        <v>1.2183664393440067E-3</v>
      </c>
      <c r="V4" s="5">
        <v>1.4521893172779058E-3</v>
      </c>
      <c r="W4" s="5">
        <v>1.5741395837655912E-3</v>
      </c>
    </row>
    <row r="5" spans="1:23" ht="32.25" thickBot="1" x14ac:dyDescent="0.3">
      <c r="A5" s="15" t="s">
        <v>637</v>
      </c>
      <c r="B5" s="15" t="s">
        <v>638</v>
      </c>
      <c r="C5" s="58" t="s">
        <v>1325</v>
      </c>
      <c r="D5" s="64" t="s">
        <v>1323</v>
      </c>
      <c r="E5" s="64" t="s">
        <v>1324</v>
      </c>
      <c r="M5" s="5" t="s">
        <v>273</v>
      </c>
      <c r="N5" s="5">
        <v>1.3476551518522428E-4</v>
      </c>
      <c r="O5" s="5">
        <v>1.5948790465283268E-3</v>
      </c>
      <c r="P5" s="5">
        <v>1.8720678578979348E-3</v>
      </c>
      <c r="Q5" s="5">
        <v>2.1153542920507363E-3</v>
      </c>
      <c r="R5" s="5">
        <v>3.3419262214361128E-3</v>
      </c>
      <c r="S5" s="5">
        <v>7.1982621974176972E-4</v>
      </c>
      <c r="T5" s="5">
        <v>2.2812295587647049E-4</v>
      </c>
      <c r="U5" s="5">
        <v>2.2119727655118999E-3</v>
      </c>
      <c r="V5" s="5">
        <v>1.6662933223266154E-3</v>
      </c>
      <c r="W5" s="5">
        <v>1.5678060666181369E-3</v>
      </c>
    </row>
    <row r="6" spans="1:23" x14ac:dyDescent="0.2">
      <c r="A6" s="16" t="s">
        <v>139</v>
      </c>
      <c r="B6" s="5">
        <v>0.2</v>
      </c>
      <c r="C6" s="11">
        <f>Risk_Analysis!B5</f>
        <v>0.1221148361518543</v>
      </c>
      <c r="D6" s="5">
        <v>0.05</v>
      </c>
      <c r="E6" s="5">
        <v>0.2</v>
      </c>
      <c r="M6" s="5" t="s">
        <v>369</v>
      </c>
      <c r="N6" s="5">
        <v>-4.3165769092563702E-4</v>
      </c>
      <c r="O6" s="5">
        <v>2.4807542733914123E-3</v>
      </c>
      <c r="P6" s="5">
        <v>2.1153542920507363E-3</v>
      </c>
      <c r="Q6" s="5">
        <v>4.5851747082381322E-3</v>
      </c>
      <c r="R6" s="5">
        <v>2.9717435242073132E-3</v>
      </c>
      <c r="S6" s="5">
        <v>4.2739416699127811E-4</v>
      </c>
      <c r="T6" s="5">
        <v>-4.4737815815013563E-4</v>
      </c>
      <c r="U6" s="5">
        <v>2.081997068225051E-3</v>
      </c>
      <c r="V6" s="5">
        <v>1.6028617649644836E-3</v>
      </c>
      <c r="W6" s="5">
        <v>1.9472220473714852E-3</v>
      </c>
    </row>
    <row r="7" spans="1:23" x14ac:dyDescent="0.2">
      <c r="A7" s="16" t="s">
        <v>630</v>
      </c>
      <c r="B7" s="5">
        <v>0</v>
      </c>
      <c r="C7" s="11">
        <f>Risk_Analysis!C5</f>
        <v>7.0253093269075501E-2</v>
      </c>
      <c r="D7" s="5">
        <v>0</v>
      </c>
      <c r="E7" s="5">
        <v>0.1</v>
      </c>
      <c r="M7" s="5" t="s">
        <v>503</v>
      </c>
      <c r="N7" s="5">
        <v>-3.8782129242243045E-4</v>
      </c>
      <c r="O7" s="5">
        <v>1.1589622824317997E-3</v>
      </c>
      <c r="P7" s="5">
        <v>3.3419262214361128E-3</v>
      </c>
      <c r="Q7" s="5">
        <v>2.9717435242073132E-3</v>
      </c>
      <c r="R7" s="5">
        <v>1.7417735014357415E-2</v>
      </c>
      <c r="S7" s="5">
        <v>3.4659954677299468E-5</v>
      </c>
      <c r="T7" s="5">
        <v>7.3357226935953884E-4</v>
      </c>
      <c r="U7" s="5">
        <v>5.3361132841730904E-3</v>
      </c>
      <c r="V7" s="5">
        <v>1.955962008478666E-3</v>
      </c>
      <c r="W7" s="5">
        <v>2.4888065999673593E-3</v>
      </c>
    </row>
    <row r="8" spans="1:23" x14ac:dyDescent="0.2">
      <c r="A8" s="16" t="s">
        <v>273</v>
      </c>
      <c r="B8" s="5">
        <v>0.25000000090120328</v>
      </c>
      <c r="C8" s="11">
        <f>Risk_Analysis!D5</f>
        <v>0.12486956915890821</v>
      </c>
      <c r="D8" s="5">
        <v>0.25</v>
      </c>
      <c r="E8" s="5">
        <v>0.4</v>
      </c>
      <c r="M8" s="5" t="s">
        <v>652</v>
      </c>
      <c r="N8" s="5">
        <v>4.0106928566998104E-4</v>
      </c>
      <c r="O8" s="5">
        <v>5.4494567179852839E-4</v>
      </c>
      <c r="P8" s="5">
        <v>7.1982621974176972E-4</v>
      </c>
      <c r="Q8" s="5">
        <v>4.2739416699127811E-4</v>
      </c>
      <c r="R8" s="5">
        <v>3.4659954677299468E-5</v>
      </c>
      <c r="S8" s="5">
        <v>2.0587096076218904E-3</v>
      </c>
      <c r="T8" s="5">
        <v>2.8032469121634694E-4</v>
      </c>
      <c r="U8" s="5">
        <v>6.2942518759350266E-4</v>
      </c>
      <c r="V8" s="5">
        <v>9.9456040371620827E-4</v>
      </c>
      <c r="W8" s="5">
        <v>6.1991400525549976E-4</v>
      </c>
    </row>
    <row r="9" spans="1:23" x14ac:dyDescent="0.2">
      <c r="A9" s="16" t="s">
        <v>369</v>
      </c>
      <c r="B9" s="5">
        <v>0.15</v>
      </c>
      <c r="C9" s="11">
        <f>Risk_Analysis!E5</f>
        <v>0.1874907247969721</v>
      </c>
      <c r="D9" s="5">
        <v>0</v>
      </c>
      <c r="E9" s="5">
        <v>0.15</v>
      </c>
      <c r="M9" s="5" t="s">
        <v>783</v>
      </c>
      <c r="N9" s="5">
        <v>5.9542042489091405E-4</v>
      </c>
      <c r="O9" s="5">
        <v>-6.3112117145257946E-4</v>
      </c>
      <c r="P9" s="5">
        <v>2.2812295587647049E-4</v>
      </c>
      <c r="Q9" s="5">
        <v>-4.4737815815013563E-4</v>
      </c>
      <c r="R9" s="5">
        <v>7.3357226935953884E-4</v>
      </c>
      <c r="S9" s="5">
        <v>2.8032469121634694E-4</v>
      </c>
      <c r="T9" s="5">
        <v>1.473055613899015E-3</v>
      </c>
      <c r="U9" s="5">
        <v>4.3005896073817194E-4</v>
      </c>
      <c r="V9" s="5">
        <v>8.0665529038274203E-4</v>
      </c>
      <c r="W9" s="5">
        <v>2.5819874381286325E-4</v>
      </c>
    </row>
    <row r="10" spans="1:23" x14ac:dyDescent="0.2">
      <c r="A10" s="16" t="s">
        <v>503</v>
      </c>
      <c r="B10" s="5">
        <v>0.15</v>
      </c>
      <c r="C10" s="11">
        <f>Risk_Analysis!F$5</f>
        <v>0.65618323214201091</v>
      </c>
      <c r="D10" s="5">
        <v>0</v>
      </c>
      <c r="E10" s="5">
        <v>0.15</v>
      </c>
      <c r="M10" s="5" t="s">
        <v>914</v>
      </c>
      <c r="N10" s="5">
        <v>4.5325270045048942E-5</v>
      </c>
      <c r="O10" s="5">
        <v>1.2183664393440067E-3</v>
      </c>
      <c r="P10" s="5">
        <v>2.2119727655118999E-3</v>
      </c>
      <c r="Q10" s="5">
        <v>2.081997068225051E-3</v>
      </c>
      <c r="R10" s="5">
        <v>5.3361132841730904E-3</v>
      </c>
      <c r="S10" s="5">
        <v>6.2942518759350266E-4</v>
      </c>
      <c r="T10" s="5">
        <v>4.3005896073817194E-4</v>
      </c>
      <c r="U10" s="5">
        <v>3.170732843807231E-3</v>
      </c>
      <c r="V10" s="5">
        <v>1.7301483731112614E-3</v>
      </c>
      <c r="W10" s="5">
        <v>1.7455925017913886E-3</v>
      </c>
    </row>
    <row r="11" spans="1:23" x14ac:dyDescent="0.2">
      <c r="A11" s="16" t="s">
        <v>652</v>
      </c>
      <c r="B11" s="5">
        <v>0.1</v>
      </c>
      <c r="C11" s="5">
        <f>Risk_Analysis!G5</f>
        <v>6.4905521984281761E-2</v>
      </c>
      <c r="D11" s="5">
        <v>0</v>
      </c>
      <c r="E11" s="5">
        <v>0.1</v>
      </c>
      <c r="M11" s="5" t="s">
        <v>1042</v>
      </c>
      <c r="N11" s="5">
        <v>3.3398049361019444E-4</v>
      </c>
      <c r="O11" s="5">
        <v>1.4521893172779058E-3</v>
      </c>
      <c r="P11" s="5">
        <v>1.6662933223266154E-3</v>
      </c>
      <c r="Q11" s="5">
        <v>1.6028617649644836E-3</v>
      </c>
      <c r="R11" s="5">
        <v>1.955962008478666E-3</v>
      </c>
      <c r="S11" s="5">
        <v>9.9456040371620827E-4</v>
      </c>
      <c r="T11" s="5">
        <v>8.0665529038274203E-4</v>
      </c>
      <c r="U11" s="5">
        <v>1.7301483731112614E-3</v>
      </c>
      <c r="V11" s="5">
        <v>2.5275911317278856E-3</v>
      </c>
      <c r="W11" s="5">
        <v>1.4891242115430154E-3</v>
      </c>
    </row>
    <row r="12" spans="1:23" x14ac:dyDescent="0.2">
      <c r="A12" s="16" t="s">
        <v>783</v>
      </c>
      <c r="B12" s="5">
        <v>0</v>
      </c>
      <c r="C12" s="5">
        <f>Risk_Analysis!H5</f>
        <v>-3.2573966640365555E-2</v>
      </c>
      <c r="D12" s="5">
        <v>0</v>
      </c>
      <c r="E12" s="5">
        <v>0.2</v>
      </c>
      <c r="M12" s="5" t="s">
        <v>1174</v>
      </c>
      <c r="N12" s="5">
        <v>4.1287690737837611E-4</v>
      </c>
      <c r="O12" s="5">
        <v>1.5741395837655912E-3</v>
      </c>
      <c r="P12" s="5">
        <v>1.5678060666181369E-3</v>
      </c>
      <c r="Q12" s="5">
        <v>1.9472220473714852E-3</v>
      </c>
      <c r="R12" s="5">
        <v>2.4888065999673593E-3</v>
      </c>
      <c r="S12" s="5">
        <v>6.1991400525549976E-4</v>
      </c>
      <c r="T12" s="5">
        <v>2.5819874381286325E-4</v>
      </c>
      <c r="U12" s="5">
        <v>1.7455925017913886E-3</v>
      </c>
      <c r="V12" s="5">
        <v>1.4891242115430154E-3</v>
      </c>
      <c r="W12" s="5">
        <v>1.8283540568834447E-3</v>
      </c>
    </row>
    <row r="13" spans="1:23" x14ac:dyDescent="0.2">
      <c r="A13" s="16" t="s">
        <v>914</v>
      </c>
      <c r="B13" s="5">
        <v>9.9999999321034913E-2</v>
      </c>
      <c r="C13" s="5">
        <f>Risk_Analysis!I5</f>
        <v>0.20319713766694977</v>
      </c>
      <c r="D13" s="5">
        <v>0</v>
      </c>
      <c r="E13" s="5">
        <v>0.15</v>
      </c>
    </row>
    <row r="14" spans="1:23" x14ac:dyDescent="0.2">
      <c r="A14" s="16" t="s">
        <v>1042</v>
      </c>
      <c r="B14" s="5">
        <v>0</v>
      </c>
      <c r="C14" s="5">
        <f>Risk_Analysis!J5</f>
        <v>1.9361355064941944E-2</v>
      </c>
      <c r="D14" s="5">
        <v>0</v>
      </c>
      <c r="E14" s="5">
        <v>0.15</v>
      </c>
    </row>
    <row r="15" spans="1:23" x14ac:dyDescent="0.2">
      <c r="A15" s="16" t="s">
        <v>1174</v>
      </c>
      <c r="B15" s="5">
        <v>0.05</v>
      </c>
      <c r="C15" s="5">
        <f>Risk_Analysis!K5</f>
        <v>5.6174266902220216E-2</v>
      </c>
      <c r="D15" s="5">
        <v>0.05</v>
      </c>
      <c r="E15" s="5">
        <v>0.2</v>
      </c>
    </row>
    <row r="26" spans="1:11" ht="15" x14ac:dyDescent="0.25">
      <c r="A26" s="114" t="s">
        <v>1396</v>
      </c>
      <c r="B26" s="114"/>
      <c r="C26" s="114"/>
      <c r="D26" s="114"/>
      <c r="E26" s="114"/>
    </row>
    <row r="27" spans="1:11" ht="43.5" thickBot="1" x14ac:dyDescent="0.3">
      <c r="A27" s="15" t="s">
        <v>637</v>
      </c>
      <c r="B27" s="64" t="s">
        <v>1395</v>
      </c>
      <c r="C27" s="64" t="s">
        <v>1327</v>
      </c>
      <c r="D27" s="64" t="s">
        <v>1323</v>
      </c>
      <c r="E27" s="64" t="s">
        <v>1324</v>
      </c>
      <c r="G27" s="84" t="s">
        <v>1400</v>
      </c>
      <c r="H27" s="84" t="s">
        <v>1399</v>
      </c>
      <c r="I27" s="84" t="s">
        <v>1398</v>
      </c>
      <c r="J27" s="41" t="s">
        <v>1401</v>
      </c>
      <c r="K27" s="84" t="s">
        <v>1402</v>
      </c>
    </row>
    <row r="28" spans="1:11" x14ac:dyDescent="0.2">
      <c r="A28" s="16" t="s">
        <v>139</v>
      </c>
      <c r="B28" s="5">
        <f>AVERAGEIFS(Returns!B$3:B$1000, Returns!$A$3:$A$1000, "&lt;="&amp;Out_of_Sample!$C$11)</f>
        <v>3.2382798255848875E-3</v>
      </c>
      <c r="C28" s="5">
        <v>0.2</v>
      </c>
      <c r="D28" s="5">
        <v>0.05</v>
      </c>
      <c r="E28" s="5">
        <v>0.2</v>
      </c>
      <c r="G28">
        <f t="array" ref="G28">MMULT(TRANSPOSE($C$28:$C$37),MMULT($B$45:$K$54,$C$28:$C$37))</f>
        <v>1.9476047241863507E-4</v>
      </c>
      <c r="H28">
        <f>SQRT(G28)</f>
        <v>1.3955660945244946E-2</v>
      </c>
      <c r="I28">
        <f>SUMPRODUCT($C$28:$C$37,$B$28:$B$37)</f>
        <v>1.2734211285785136E-2</v>
      </c>
      <c r="J28">
        <f>(I28-(H2/12))/H28</f>
        <v>0.67362470250145501</v>
      </c>
      <c r="K28">
        <f>SUM(C28:C37)</f>
        <v>1.0000000012417634</v>
      </c>
    </row>
    <row r="29" spans="1:11" x14ac:dyDescent="0.2">
      <c r="A29" s="16" t="s">
        <v>630</v>
      </c>
      <c r="B29" s="5">
        <f>AVERAGEIFS(Returns!C$3:C$1000, Returns!$A$3:$A$1000, "&lt;="&amp;Out_of_Sample!$C$11)</f>
        <v>3.1638597878595586E-3</v>
      </c>
      <c r="C29" s="5">
        <v>0</v>
      </c>
      <c r="D29" s="5">
        <v>0</v>
      </c>
      <c r="E29" s="5">
        <v>0.1</v>
      </c>
    </row>
    <row r="30" spans="1:11" x14ac:dyDescent="0.2">
      <c r="A30" s="16" t="s">
        <v>273</v>
      </c>
      <c r="B30" s="5">
        <f>AVERAGEIFS(Returns!D$3:D$1000, Returns!$A$3:$A$1000, "&lt;="&amp;Out_of_Sample!$C$11)</f>
        <v>7.3986602212888159E-3</v>
      </c>
      <c r="C30" s="5">
        <v>0.25</v>
      </c>
      <c r="D30" s="5">
        <v>0.25</v>
      </c>
      <c r="E30" s="5">
        <v>0.4</v>
      </c>
    </row>
    <row r="31" spans="1:11" x14ac:dyDescent="0.2">
      <c r="A31" s="16" t="s">
        <v>369</v>
      </c>
      <c r="B31" s="5">
        <f>AVERAGEIFS(Returns!E$3:E$1000, Returns!$A$3:$A$1000, "&lt;="&amp;Out_of_Sample!$C$11)</f>
        <v>9.5077112849725701E-3</v>
      </c>
      <c r="C31" s="5">
        <v>0.10000000124176341</v>
      </c>
      <c r="D31" s="5">
        <v>0</v>
      </c>
      <c r="E31" s="5">
        <v>0.15</v>
      </c>
    </row>
    <row r="32" spans="1:11" x14ac:dyDescent="0.2">
      <c r="A32" s="16" t="s">
        <v>503</v>
      </c>
      <c r="B32" s="5">
        <f>AVERAGEIFS(Returns!F$3:F$1000, Returns!$A$3:$A$1000, "&lt;="&amp;Out_of_Sample!$C$11)</f>
        <v>4.438668934902202E-2</v>
      </c>
      <c r="C32" s="5">
        <v>0.15</v>
      </c>
      <c r="D32" s="5">
        <v>0</v>
      </c>
      <c r="E32" s="5">
        <v>0.15</v>
      </c>
    </row>
    <row r="33" spans="1:11" x14ac:dyDescent="0.2">
      <c r="A33" s="16" t="s">
        <v>652</v>
      </c>
      <c r="B33" s="5">
        <f>AVERAGEIFS(Returns!G$3:G$1000, Returns!$A$3:$A$1000, "&lt;="&amp;Out_of_Sample!$C$11)</f>
        <v>5.3666132200855133E-3</v>
      </c>
      <c r="C33" s="5">
        <v>0.1</v>
      </c>
      <c r="D33" s="5">
        <v>0</v>
      </c>
      <c r="E33" s="5">
        <v>0.1</v>
      </c>
    </row>
    <row r="34" spans="1:11" x14ac:dyDescent="0.2">
      <c r="A34" s="16" t="s">
        <v>783</v>
      </c>
      <c r="B34" s="5">
        <f>AVERAGEIFS(Returns!H$3:H$1000, Returns!$A$3:$A$1000, "&lt;="&amp;Out_of_Sample!$C$11)</f>
        <v>-2.5943284104599819E-3</v>
      </c>
      <c r="C34" s="5">
        <v>0</v>
      </c>
      <c r="D34" s="5">
        <v>0</v>
      </c>
      <c r="E34" s="5">
        <v>0.2</v>
      </c>
    </row>
    <row r="35" spans="1:11" x14ac:dyDescent="0.2">
      <c r="A35" s="16" t="s">
        <v>914</v>
      </c>
      <c r="B35" s="5">
        <f>AVERAGEIFS(Returns!I$3:I$1000, Returns!$A$3:$A$1000, "&lt;="&amp;Out_of_Sample!$C$11)</f>
        <v>1.3824872544629158E-2</v>
      </c>
      <c r="C35" s="5">
        <v>0.15</v>
      </c>
      <c r="D35" s="5">
        <v>0</v>
      </c>
      <c r="E35" s="5">
        <v>0.15</v>
      </c>
    </row>
    <row r="36" spans="1:11" x14ac:dyDescent="0.2">
      <c r="A36" s="16" t="s">
        <v>1042</v>
      </c>
      <c r="B36" s="5">
        <f>AVERAGEIFS(Returns!J$3:J$1000, Returns!$A$3:$A$1000, "&lt;="&amp;Out_of_Sample!$C$11)</f>
        <v>4.8231538626578512E-4</v>
      </c>
      <c r="C36" s="5">
        <v>0</v>
      </c>
      <c r="D36" s="5">
        <v>0</v>
      </c>
      <c r="E36" s="5">
        <v>0.15</v>
      </c>
    </row>
    <row r="37" spans="1:11" x14ac:dyDescent="0.2">
      <c r="A37" s="16" t="s">
        <v>1174</v>
      </c>
      <c r="B37" s="5">
        <f>AVERAGEIFS(Returns!K$3:K$1000, Returns!$A$3:$A$1000, "&lt;="&amp;Out_of_Sample!$C$11)</f>
        <v>3.5447037972287197E-4</v>
      </c>
      <c r="C37" s="5">
        <v>0.05</v>
      </c>
      <c r="D37" s="5">
        <v>0.05</v>
      </c>
      <c r="E37" s="5">
        <v>0.2</v>
      </c>
    </row>
    <row r="43" spans="1:11" ht="15" x14ac:dyDescent="0.25">
      <c r="A43" s="114" t="s">
        <v>1397</v>
      </c>
      <c r="B43" s="114"/>
      <c r="C43" s="114"/>
      <c r="D43" s="114"/>
      <c r="E43" s="114"/>
      <c r="F43" s="114"/>
      <c r="G43" s="114"/>
      <c r="H43" s="114"/>
      <c r="I43" s="114"/>
      <c r="J43" s="114"/>
      <c r="K43" s="114"/>
    </row>
    <row r="44" spans="1:11" ht="15.75" x14ac:dyDescent="0.25">
      <c r="A44" s="44"/>
      <c r="B44" s="40" t="s">
        <v>139</v>
      </c>
      <c r="C44" s="40" t="s">
        <v>630</v>
      </c>
      <c r="D44" s="40" t="s">
        <v>273</v>
      </c>
      <c r="E44" s="40" t="s">
        <v>369</v>
      </c>
      <c r="F44" s="40" t="s">
        <v>503</v>
      </c>
      <c r="G44" s="40" t="s">
        <v>652</v>
      </c>
      <c r="H44" s="40" t="s">
        <v>783</v>
      </c>
      <c r="I44" s="40" t="s">
        <v>914</v>
      </c>
      <c r="J44" s="40" t="s">
        <v>1042</v>
      </c>
      <c r="K44" s="40" t="s">
        <v>1174</v>
      </c>
    </row>
    <row r="45" spans="1:11" ht="15.75" x14ac:dyDescent="0.25">
      <c r="A45" s="40" t="s">
        <v>139</v>
      </c>
      <c r="B45" s="5">
        <f t="array" ref="B45">_xlfn.COVARIANCE.P(
IF(Returns!$A$3:$A$1000&lt;=Out_of_Sample!$C$11, INDEX(Returns!$B$3:$K$1000,0, MATCH(B$44, Returns!$B$2:$K$2,0))),
IF(Returns!$A$3:$A$1000&lt;=Out_of_Sample!$C$11, INDEX(Returns!$B$3:$K$1000,0, MATCH($A45, Returns!$B$2:$K$2,0)))
)</f>
        <v>1.5352463084956168E-4</v>
      </c>
      <c r="C45" s="5">
        <f t="array" ref="C45">_xlfn.COVARIANCE.P(
IF(Returns!$A$3:$A$1000&lt;=Out_of_Sample!$C$11, INDEX(Returns!$B$3:$K$1000,0, MATCH(C$44, Returns!$B$2:$K$2,0))),
IF(Returns!$A$3:$A$1000&lt;=Out_of_Sample!$C$11, INDEX(Returns!$B$3:$K$1000,0, MATCH($A45, Returns!$B$2:$K$2,0)))
)</f>
        <v>-2.4770178340528585E-5</v>
      </c>
      <c r="D45" s="5">
        <f t="array" ref="D45">_xlfn.COVARIANCE.P(
IF(Returns!$A$3:$A$1000&lt;=Out_of_Sample!$C$11, INDEX(Returns!$B$3:$K$1000,0, MATCH(D$44, Returns!$B$2:$K$2,0))),
IF(Returns!$A$3:$A$1000&lt;=Out_of_Sample!$C$11, INDEX(Returns!$B$3:$K$1000,0, MATCH($A45, Returns!$B$2:$K$2,0)))
)</f>
        <v>1.5184674349226872E-5</v>
      </c>
      <c r="E45" s="5">
        <f t="array" ref="E45">_xlfn.COVARIANCE.P(
IF(Returns!$A$3:$A$1000&lt;=Out_of_Sample!$C$11, INDEX(Returns!$B$3:$K$1000,0, MATCH(E$44, Returns!$B$2:$K$2,0))),
IF(Returns!$A$3:$A$1000&lt;=Out_of_Sample!$C$11, INDEX(Returns!$B$3:$K$1000,0, MATCH($A45, Returns!$B$2:$K$2,0)))
)</f>
        <v>-5.1627519185752576E-5</v>
      </c>
      <c r="F45" s="5">
        <f t="array" ref="F45">_xlfn.COVARIANCE.P(
IF(Returns!$A$3:$A$1000&lt;=Out_of_Sample!$C$11, INDEX(Returns!$B$3:$K$1000,0, MATCH(F$44, Returns!$B$2:$K$2,0))),
IF(Returns!$A$3:$A$1000&lt;=Out_of_Sample!$C$11, INDEX(Returns!$B$3:$K$1000,0, MATCH($A45, Returns!$B$2:$K$2,0)))
)</f>
        <v>-2.0347259903082268E-5</v>
      </c>
      <c r="G45" s="5">
        <f t="array" ref="G45">_xlfn.COVARIANCE.P(
IF(Returns!$A$3:$A$1000&lt;=Out_of_Sample!$C$11, INDEX(Returns!$B$3:$K$1000,0, MATCH(G$44, Returns!$B$2:$K$2,0))),
IF(Returns!$A$3:$A$1000&lt;=Out_of_Sample!$C$11, INDEX(Returns!$B$3:$K$1000,0, MATCH($A45, Returns!$B$2:$K$2,0)))
)</f>
        <v>4.8966403426920341E-5</v>
      </c>
      <c r="H45" s="5">
        <f t="array" ref="H45">_xlfn.COVARIANCE.P(
IF(Returns!$A$3:$A$1000&lt;=Out_of_Sample!$C$11, INDEX(Returns!$B$3:$K$1000,0, MATCH(H$44, Returns!$B$2:$K$2,0))),
IF(Returns!$A$3:$A$1000&lt;=Out_of_Sample!$C$11, INDEX(Returns!$B$3:$K$1000,0, MATCH($A45, Returns!$B$2:$K$2,0)))
)</f>
        <v>5.4520224432968703E-5</v>
      </c>
      <c r="I45" s="5">
        <f t="array" ref="I45">_xlfn.COVARIANCE.P(
IF(Returns!$A$3:$A$1000&lt;=Out_of_Sample!$C$11, INDEX(Returns!$B$3:$K$1000,0, MATCH(I$44, Returns!$B$2:$K$2,0))),
IF(Returns!$A$3:$A$1000&lt;=Out_of_Sample!$C$11, INDEX(Returns!$B$3:$K$1000,0, MATCH($A45, Returns!$B$2:$K$2,0)))
)</f>
        <v>1.3122402338653766E-5</v>
      </c>
      <c r="J45" s="5">
        <f t="array" ref="J45">_xlfn.COVARIANCE.P(
IF(Returns!$A$3:$A$1000&lt;=Out_of_Sample!$C$11, INDEX(Returns!$B$3:$K$1000,0, MATCH(J$44, Returns!$B$2:$K$2,0))),
IF(Returns!$A$3:$A$1000&lt;=Out_of_Sample!$C$11, INDEX(Returns!$B$3:$K$1000,0, MATCH($A45, Returns!$B$2:$K$2,0)))
)</f>
        <v>2.8189962164148753E-5</v>
      </c>
      <c r="K45" s="5">
        <f t="array" ref="K45">_xlfn.COVARIANCE.P(
IF(Returns!$A$3:$A$1000&lt;=Out_of_Sample!$C$11, INDEX(Returns!$B$3:$K$1000,0, MATCH(K$44, Returns!$B$2:$K$2,0))),
IF(Returns!$A$3:$A$1000&lt;=Out_of_Sample!$C$11, INDEX(Returns!$B$3:$K$1000,0, MATCH($A45, Returns!$B$2:$K$2,0)))
)</f>
        <v>2.0607085766205462E-5</v>
      </c>
    </row>
    <row r="46" spans="1:11" ht="15.75" x14ac:dyDescent="0.25">
      <c r="A46" s="40" t="s">
        <v>630</v>
      </c>
      <c r="B46" s="5">
        <f t="array" ref="B46">_xlfn.COVARIANCE.P(
IF(Returns!$A$3:$A$1000&lt;=Out_of_Sample!$C$11, INDEX(Returns!$B$3:$K$1000,0, MATCH(B$44, Returns!$B$2:$K$2,0))),
IF(Returns!$A$3:$A$1000&lt;=Out_of_Sample!$C$11, INDEX(Returns!$B$3:$K$1000,0, MATCH($A46, Returns!$B$2:$K$2,0)))
)</f>
        <v>-2.4770178340528585E-5</v>
      </c>
      <c r="C46" s="5">
        <f t="array" ref="C46">_xlfn.COVARIANCE.P(
IF(Returns!$A$3:$A$1000&lt;=Out_of_Sample!$C$11, INDEX(Returns!$B$3:$K$1000,0, MATCH(C$44, Returns!$B$2:$K$2,0))),
IF(Returns!$A$3:$A$1000&lt;=Out_of_Sample!$C$11, INDEX(Returns!$B$3:$K$1000,0, MATCH($A46, Returns!$B$2:$K$2,0)))
)</f>
        <v>6.0956077500558075E-4</v>
      </c>
      <c r="D46" s="5">
        <f t="array" ref="D46">_xlfn.COVARIANCE.P(
IF(Returns!$A$3:$A$1000&lt;=Out_of_Sample!$C$11, INDEX(Returns!$B$3:$K$1000,0, MATCH(D$44, Returns!$B$2:$K$2,0))),
IF(Returns!$A$3:$A$1000&lt;=Out_of_Sample!$C$11, INDEX(Returns!$B$3:$K$1000,0, MATCH($A46, Returns!$B$2:$K$2,0)))
)</f>
        <v>1.9561779003711934E-4</v>
      </c>
      <c r="E46" s="5">
        <f t="array" ref="E46">_xlfn.COVARIANCE.P(
IF(Returns!$A$3:$A$1000&lt;=Out_of_Sample!$C$11, INDEX(Returns!$B$3:$K$1000,0, MATCH(E$44, Returns!$B$2:$K$2,0))),
IF(Returns!$A$3:$A$1000&lt;=Out_of_Sample!$C$11, INDEX(Returns!$B$3:$K$1000,0, MATCH($A46, Returns!$B$2:$K$2,0)))
)</f>
        <v>2.7664456928512446E-4</v>
      </c>
      <c r="F46" s="5">
        <f t="array" ref="F46">_xlfn.COVARIANCE.P(
IF(Returns!$A$3:$A$1000&lt;=Out_of_Sample!$C$11, INDEX(Returns!$B$3:$K$1000,0, MATCH(F$44, Returns!$B$2:$K$2,0))),
IF(Returns!$A$3:$A$1000&lt;=Out_of_Sample!$C$11, INDEX(Returns!$B$3:$K$1000,0, MATCH($A46, Returns!$B$2:$K$2,0)))
)</f>
        <v>1.8862721309135548E-4</v>
      </c>
      <c r="G46" s="5">
        <f t="array" ref="G46">_xlfn.COVARIANCE.P(
IF(Returns!$A$3:$A$1000&lt;=Out_of_Sample!$C$11, INDEX(Returns!$B$3:$K$1000,0, MATCH(G$44, Returns!$B$2:$K$2,0))),
IF(Returns!$A$3:$A$1000&lt;=Out_of_Sample!$C$11, INDEX(Returns!$B$3:$K$1000,0, MATCH($A46, Returns!$B$2:$K$2,0)))
)</f>
        <v>3.4539900239622813E-5</v>
      </c>
      <c r="H46" s="5">
        <f t="array" ref="H46">_xlfn.COVARIANCE.P(
IF(Returns!$A$3:$A$1000&lt;=Out_of_Sample!$C$11, INDEX(Returns!$B$3:$K$1000,0, MATCH(H$44, Returns!$B$2:$K$2,0))),
IF(Returns!$A$3:$A$1000&lt;=Out_of_Sample!$C$11, INDEX(Returns!$B$3:$K$1000,0, MATCH($A46, Returns!$B$2:$K$2,0)))
)</f>
        <v>-8.7675439778807368E-5</v>
      </c>
      <c r="I46" s="5">
        <f t="array" ref="I46">_xlfn.COVARIANCE.P(
IF(Returns!$A$3:$A$1000&lt;=Out_of_Sample!$C$11, INDEX(Returns!$B$3:$K$1000,0, MATCH(I$44, Returns!$B$2:$K$2,0))),
IF(Returns!$A$3:$A$1000&lt;=Out_of_Sample!$C$11, INDEX(Returns!$B$3:$K$1000,0, MATCH($A46, Returns!$B$2:$K$2,0)))
)</f>
        <v>1.7885689400206424E-4</v>
      </c>
      <c r="J46" s="5">
        <f t="array" ref="J46">_xlfn.COVARIANCE.P(
IF(Returns!$A$3:$A$1000&lt;=Out_of_Sample!$C$11, INDEX(Returns!$B$3:$K$1000,0, MATCH(J$44, Returns!$B$2:$K$2,0))),
IF(Returns!$A$3:$A$1000&lt;=Out_of_Sample!$C$11, INDEX(Returns!$B$3:$K$1000,0, MATCH($A46, Returns!$B$2:$K$2,0)))
)</f>
        <v>1.6981182261584915E-4</v>
      </c>
      <c r="K46" s="5">
        <f t="array" ref="K46">_xlfn.COVARIANCE.P(
IF(Returns!$A$3:$A$1000&lt;=Out_of_Sample!$C$11, INDEX(Returns!$B$3:$K$1000,0, MATCH(K$44, Returns!$B$2:$K$2,0))),
IF(Returns!$A$3:$A$1000&lt;=Out_of_Sample!$C$11, INDEX(Returns!$B$3:$K$1000,0, MATCH($A46, Returns!$B$2:$K$2,0)))
)</f>
        <v>1.8833708771136731E-4</v>
      </c>
    </row>
    <row r="47" spans="1:11" ht="15.75" x14ac:dyDescent="0.25">
      <c r="A47" s="40" t="s">
        <v>273</v>
      </c>
      <c r="B47" s="5">
        <f t="array" ref="B47">_xlfn.COVARIANCE.P(
IF(Returns!$A$3:$A$1000&lt;=Out_of_Sample!$C$11, INDEX(Returns!$B$3:$K$1000,0, MATCH(B$44, Returns!$B$2:$K$2,0))),
IF(Returns!$A$3:$A$1000&lt;=Out_of_Sample!$C$11, INDEX(Returns!$B$3:$K$1000,0, MATCH($A47, Returns!$B$2:$K$2,0)))
)</f>
        <v>1.5184674349226872E-5</v>
      </c>
      <c r="C47" s="5">
        <f t="array" ref="C47">_xlfn.COVARIANCE.P(
IF(Returns!$A$3:$A$1000&lt;=Out_of_Sample!$C$11, INDEX(Returns!$B$3:$K$1000,0, MATCH(C$44, Returns!$B$2:$K$2,0))),
IF(Returns!$A$3:$A$1000&lt;=Out_of_Sample!$C$11, INDEX(Returns!$B$3:$K$1000,0, MATCH($A47, Returns!$B$2:$K$2,0)))
)</f>
        <v>1.9561779003711934E-4</v>
      </c>
      <c r="D47" s="5">
        <f t="array" ref="D47">_xlfn.COVARIANCE.P(
IF(Returns!$A$3:$A$1000&lt;=Out_of_Sample!$C$11, INDEX(Returns!$B$3:$K$1000,0, MATCH(D$44, Returns!$B$2:$K$2,0))),
IF(Returns!$A$3:$A$1000&lt;=Out_of_Sample!$C$11, INDEX(Returns!$B$3:$K$1000,0, MATCH($A47, Returns!$B$2:$K$2,0)))
)</f>
        <v>2.0392374528652884E-4</v>
      </c>
      <c r="E47" s="5">
        <f t="array" ref="E47">_xlfn.COVARIANCE.P(
IF(Returns!$A$3:$A$1000&lt;=Out_of_Sample!$C$11, INDEX(Returns!$B$3:$K$1000,0, MATCH(E$44, Returns!$B$2:$K$2,0))),
IF(Returns!$A$3:$A$1000&lt;=Out_of_Sample!$C$11, INDEX(Returns!$B$3:$K$1000,0, MATCH($A47, Returns!$B$2:$K$2,0)))
)</f>
        <v>2.2243060529924879E-4</v>
      </c>
      <c r="F47" s="5">
        <f t="array" ref="F47">_xlfn.COVARIANCE.P(
IF(Returns!$A$3:$A$1000&lt;=Out_of_Sample!$C$11, INDEX(Returns!$B$3:$K$1000,0, MATCH(F$44, Returns!$B$2:$K$2,0))),
IF(Returns!$A$3:$A$1000&lt;=Out_of_Sample!$C$11, INDEX(Returns!$B$3:$K$1000,0, MATCH($A47, Returns!$B$2:$K$2,0)))
)</f>
        <v>3.6018943527676989E-4</v>
      </c>
      <c r="G47" s="5">
        <f t="array" ref="G47">_xlfn.COVARIANCE.P(
IF(Returns!$A$3:$A$1000&lt;=Out_of_Sample!$C$11, INDEX(Returns!$B$3:$K$1000,0, MATCH(G$44, Returns!$B$2:$K$2,0))),
IF(Returns!$A$3:$A$1000&lt;=Out_of_Sample!$C$11, INDEX(Returns!$B$3:$K$1000,0, MATCH($A47, Returns!$B$2:$K$2,0)))
)</f>
        <v>7.6256292257426101E-5</v>
      </c>
      <c r="H47" s="5">
        <f t="array" ref="H47">_xlfn.COVARIANCE.P(
IF(Returns!$A$3:$A$1000&lt;=Out_of_Sample!$C$11, INDEX(Returns!$B$3:$K$1000,0, MATCH(H$44, Returns!$B$2:$K$2,0))),
IF(Returns!$A$3:$A$1000&lt;=Out_of_Sample!$C$11, INDEX(Returns!$B$3:$K$1000,0, MATCH($A47, Returns!$B$2:$K$2,0)))
)</f>
        <v>-6.8071369886947605E-6</v>
      </c>
      <c r="I47" s="5">
        <f t="array" ref="I47">_xlfn.COVARIANCE.P(
IF(Returns!$A$3:$A$1000&lt;=Out_of_Sample!$C$11, INDEX(Returns!$B$3:$K$1000,0, MATCH(I$44, Returns!$B$2:$K$2,0))),
IF(Returns!$A$3:$A$1000&lt;=Out_of_Sample!$C$11, INDEX(Returns!$B$3:$K$1000,0, MATCH($A47, Returns!$B$2:$K$2,0)))
)</f>
        <v>2.3982609372485655E-4</v>
      </c>
      <c r="J47" s="5">
        <f t="array" ref="J47">_xlfn.COVARIANCE.P(
IF(Returns!$A$3:$A$1000&lt;=Out_of_Sample!$C$11, INDEX(Returns!$B$3:$K$1000,0, MATCH(J$44, Returns!$B$2:$K$2,0))),
IF(Returns!$A$3:$A$1000&lt;=Out_of_Sample!$C$11, INDEX(Returns!$B$3:$K$1000,0, MATCH($A47, Returns!$B$2:$K$2,0)))
)</f>
        <v>1.7168973424217337E-4</v>
      </c>
      <c r="K47" s="5">
        <f t="array" ref="K47">_xlfn.COVARIANCE.P(
IF(Returns!$A$3:$A$1000&lt;=Out_of_Sample!$C$11, INDEX(Returns!$B$3:$K$1000,0, MATCH(K$44, Returns!$B$2:$K$2,0))),
IF(Returns!$A$3:$A$1000&lt;=Out_of_Sample!$C$11, INDEX(Returns!$B$3:$K$1000,0, MATCH($A47, Returns!$B$2:$K$2,0)))
)</f>
        <v>1.7013345132139903E-4</v>
      </c>
    </row>
    <row r="48" spans="1:11" ht="15.75" x14ac:dyDescent="0.25">
      <c r="A48" s="40" t="s">
        <v>369</v>
      </c>
      <c r="B48" s="5">
        <f t="array" ref="B48">_xlfn.COVARIANCE.P(
IF(Returns!$A$3:$A$1000&lt;=Out_of_Sample!$C$11, INDEX(Returns!$B$3:$K$1000,0, MATCH(B$44, Returns!$B$2:$K$2,0))),
IF(Returns!$A$3:$A$1000&lt;=Out_of_Sample!$C$11, INDEX(Returns!$B$3:$K$1000,0, MATCH($A48, Returns!$B$2:$K$2,0)))
)</f>
        <v>-5.1627519185752576E-5</v>
      </c>
      <c r="C48" s="5">
        <f t="array" ref="C48">_xlfn.COVARIANCE.P(
IF(Returns!$A$3:$A$1000&lt;=Out_of_Sample!$C$11, INDEX(Returns!$B$3:$K$1000,0, MATCH(C$44, Returns!$B$2:$K$2,0))),
IF(Returns!$A$3:$A$1000&lt;=Out_of_Sample!$C$11, INDEX(Returns!$B$3:$K$1000,0, MATCH($A48, Returns!$B$2:$K$2,0)))
)</f>
        <v>2.7664456928512446E-4</v>
      </c>
      <c r="D48" s="5">
        <f t="array" ref="D48">_xlfn.COVARIANCE.P(
IF(Returns!$A$3:$A$1000&lt;=Out_of_Sample!$C$11, INDEX(Returns!$B$3:$K$1000,0, MATCH(D$44, Returns!$B$2:$K$2,0))),
IF(Returns!$A$3:$A$1000&lt;=Out_of_Sample!$C$11, INDEX(Returns!$B$3:$K$1000,0, MATCH($A48, Returns!$B$2:$K$2,0)))
)</f>
        <v>2.2243060529924879E-4</v>
      </c>
      <c r="E48" s="5">
        <f t="array" ref="E48">_xlfn.COVARIANCE.P(
IF(Returns!$A$3:$A$1000&lt;=Out_of_Sample!$C$11, INDEX(Returns!$B$3:$K$1000,0, MATCH(E$44, Returns!$B$2:$K$2,0))),
IF(Returns!$A$3:$A$1000&lt;=Out_of_Sample!$C$11, INDEX(Returns!$B$3:$K$1000,0, MATCH($A48, Returns!$B$2:$K$2,0)))
)</f>
        <v>4.6076334155870476E-4</v>
      </c>
      <c r="F48" s="5">
        <f t="array" ref="F48">_xlfn.COVARIANCE.P(
IF(Returns!$A$3:$A$1000&lt;=Out_of_Sample!$C$11, INDEX(Returns!$B$3:$K$1000,0, MATCH(F$44, Returns!$B$2:$K$2,0))),
IF(Returns!$A$3:$A$1000&lt;=Out_of_Sample!$C$11, INDEX(Returns!$B$3:$K$1000,0, MATCH($A48, Returns!$B$2:$K$2,0)))
)</f>
        <v>3.2878421604217036E-4</v>
      </c>
      <c r="G48" s="5">
        <f t="array" ref="G48">_xlfn.COVARIANCE.P(
IF(Returns!$A$3:$A$1000&lt;=Out_of_Sample!$C$11, INDEX(Returns!$B$3:$K$1000,0, MATCH(G$44, Returns!$B$2:$K$2,0))),
IF(Returns!$A$3:$A$1000&lt;=Out_of_Sample!$C$11, INDEX(Returns!$B$3:$K$1000,0, MATCH($A48, Returns!$B$2:$K$2,0)))
)</f>
        <v>3.3809549066674269E-5</v>
      </c>
      <c r="H48" s="5">
        <f t="array" ref="H48">_xlfn.COVARIANCE.P(
IF(Returns!$A$3:$A$1000&lt;=Out_of_Sample!$C$11, INDEX(Returns!$B$3:$K$1000,0, MATCH(H$44, Returns!$B$2:$K$2,0))),
IF(Returns!$A$3:$A$1000&lt;=Out_of_Sample!$C$11, INDEX(Returns!$B$3:$K$1000,0, MATCH($A48, Returns!$B$2:$K$2,0)))
)</f>
        <v>-9.015323522471975E-5</v>
      </c>
      <c r="I48" s="5">
        <f t="array" ref="I48">_xlfn.COVARIANCE.P(
IF(Returns!$A$3:$A$1000&lt;=Out_of_Sample!$C$11, INDEX(Returns!$B$3:$K$1000,0, MATCH(I$44, Returns!$B$2:$K$2,0))),
IF(Returns!$A$3:$A$1000&lt;=Out_of_Sample!$C$11, INDEX(Returns!$B$3:$K$1000,0, MATCH($A48, Returns!$B$2:$K$2,0)))
)</f>
        <v>2.2580447752098526E-4</v>
      </c>
      <c r="J48" s="5">
        <f t="array" ref="J48">_xlfn.COVARIANCE.P(
IF(Returns!$A$3:$A$1000&lt;=Out_of_Sample!$C$11, INDEX(Returns!$B$3:$K$1000,0, MATCH(J$44, Returns!$B$2:$K$2,0))),
IF(Returns!$A$3:$A$1000&lt;=Out_of_Sample!$C$11, INDEX(Returns!$B$3:$K$1000,0, MATCH($A48, Returns!$B$2:$K$2,0)))
)</f>
        <v>1.4352842045706397E-4</v>
      </c>
      <c r="K48" s="5">
        <f t="array" ref="K48">_xlfn.COVARIANCE.P(
IF(Returns!$A$3:$A$1000&lt;=Out_of_Sample!$C$11, INDEX(Returns!$B$3:$K$1000,0, MATCH(K$44, Returns!$B$2:$K$2,0))),
IF(Returns!$A$3:$A$1000&lt;=Out_of_Sample!$C$11, INDEX(Returns!$B$3:$K$1000,0, MATCH($A48, Returns!$B$2:$K$2,0)))
)</f>
        <v>2.102817796738636E-4</v>
      </c>
    </row>
    <row r="49" spans="1:11" ht="15.75" x14ac:dyDescent="0.25">
      <c r="A49" s="40" t="s">
        <v>503</v>
      </c>
      <c r="B49" s="5">
        <f t="array" ref="B49">_xlfn.COVARIANCE.P(
IF(Returns!$A$3:$A$1000&lt;=Out_of_Sample!$C$11, INDEX(Returns!$B$3:$K$1000,0, MATCH(B$44, Returns!$B$2:$K$2,0))),
IF(Returns!$A$3:$A$1000&lt;=Out_of_Sample!$C$11, INDEX(Returns!$B$3:$K$1000,0, MATCH($A49, Returns!$B$2:$K$2,0)))
)</f>
        <v>-2.0347259903082268E-5</v>
      </c>
      <c r="C49" s="5">
        <f t="array" ref="C49">_xlfn.COVARIANCE.P(
IF(Returns!$A$3:$A$1000&lt;=Out_of_Sample!$C$11, INDEX(Returns!$B$3:$K$1000,0, MATCH(C$44, Returns!$B$2:$K$2,0))),
IF(Returns!$A$3:$A$1000&lt;=Out_of_Sample!$C$11, INDEX(Returns!$B$3:$K$1000,0, MATCH($A49, Returns!$B$2:$K$2,0)))
)</f>
        <v>1.8862721309135548E-4</v>
      </c>
      <c r="D49" s="5">
        <f t="array" ref="D49">_xlfn.COVARIANCE.P(
IF(Returns!$A$3:$A$1000&lt;=Out_of_Sample!$C$11, INDEX(Returns!$B$3:$K$1000,0, MATCH(D$44, Returns!$B$2:$K$2,0))),
IF(Returns!$A$3:$A$1000&lt;=Out_of_Sample!$C$11, INDEX(Returns!$B$3:$K$1000,0, MATCH($A49, Returns!$B$2:$K$2,0)))
)</f>
        <v>3.6018943527676989E-4</v>
      </c>
      <c r="E49" s="5">
        <f t="array" ref="E49">_xlfn.COVARIANCE.P(
IF(Returns!$A$3:$A$1000&lt;=Out_of_Sample!$C$11, INDEX(Returns!$B$3:$K$1000,0, MATCH(E$44, Returns!$B$2:$K$2,0))),
IF(Returns!$A$3:$A$1000&lt;=Out_of_Sample!$C$11, INDEX(Returns!$B$3:$K$1000,0, MATCH($A49, Returns!$B$2:$K$2,0)))
)</f>
        <v>3.2878421604217036E-4</v>
      </c>
      <c r="F49" s="5">
        <f t="array" ref="F49">_xlfn.COVARIANCE.P(
IF(Returns!$A$3:$A$1000&lt;=Out_of_Sample!$C$11, INDEX(Returns!$B$3:$K$1000,0, MATCH(F$44, Returns!$B$2:$K$2,0))),
IF(Returns!$A$3:$A$1000&lt;=Out_of_Sample!$C$11, INDEX(Returns!$B$3:$K$1000,0, MATCH($A49, Returns!$B$2:$K$2,0)))
)</f>
        <v>1.837367672790123E-3</v>
      </c>
      <c r="G49" s="5">
        <f t="array" ref="G49">_xlfn.COVARIANCE.P(
IF(Returns!$A$3:$A$1000&lt;=Out_of_Sample!$C$11, INDEX(Returns!$B$3:$K$1000,0, MATCH(G$44, Returns!$B$2:$K$2,0))),
IF(Returns!$A$3:$A$1000&lt;=Out_of_Sample!$C$11, INDEX(Returns!$B$3:$K$1000,0, MATCH($A49, Returns!$B$2:$K$2,0)))
)</f>
        <v>1.2817612745062208E-5</v>
      </c>
      <c r="H49" s="5">
        <f t="array" ref="H49">_xlfn.COVARIANCE.P(
IF(Returns!$A$3:$A$1000&lt;=Out_of_Sample!$C$11, INDEX(Returns!$B$3:$K$1000,0, MATCH(H$44, Returns!$B$2:$K$2,0))),
IF(Returns!$A$3:$A$1000&lt;=Out_of_Sample!$C$11, INDEX(Returns!$B$3:$K$1000,0, MATCH($A49, Returns!$B$2:$K$2,0)))
)</f>
        <v>3.0054557822716963E-5</v>
      </c>
      <c r="I49" s="5">
        <f t="array" ref="I49">_xlfn.COVARIANCE.P(
IF(Returns!$A$3:$A$1000&lt;=Out_of_Sample!$C$11, INDEX(Returns!$B$3:$K$1000,0, MATCH(I$44, Returns!$B$2:$K$2,0))),
IF(Returns!$A$3:$A$1000&lt;=Out_of_Sample!$C$11, INDEX(Returns!$B$3:$K$1000,0, MATCH($A49, Returns!$B$2:$K$2,0)))
)</f>
        <v>5.5483114967353386E-4</v>
      </c>
      <c r="J49" s="5">
        <f t="array" ref="J49">_xlfn.COVARIANCE.P(
IF(Returns!$A$3:$A$1000&lt;=Out_of_Sample!$C$11, INDEX(Returns!$B$3:$K$1000,0, MATCH(J$44, Returns!$B$2:$K$2,0))),
IF(Returns!$A$3:$A$1000&lt;=Out_of_Sample!$C$11, INDEX(Returns!$B$3:$K$1000,0, MATCH($A49, Returns!$B$2:$K$2,0)))
)</f>
        <v>1.9780025975637552E-4</v>
      </c>
      <c r="K49" s="5">
        <f t="array" ref="K49">_xlfn.COVARIANCE.P(
IF(Returns!$A$3:$A$1000&lt;=Out_of_Sample!$C$11, INDEX(Returns!$B$3:$K$1000,0, MATCH(K$44, Returns!$B$2:$K$2,0))),
IF(Returns!$A$3:$A$1000&lt;=Out_of_Sample!$C$11, INDEX(Returns!$B$3:$K$1000,0, MATCH($A49, Returns!$B$2:$K$2,0)))
)</f>
        <v>2.6170033302679713E-4</v>
      </c>
    </row>
    <row r="50" spans="1:11" ht="15.75" x14ac:dyDescent="0.25">
      <c r="A50" s="40" t="s">
        <v>652</v>
      </c>
      <c r="B50" s="5">
        <f t="array" ref="B50">_xlfn.COVARIANCE.P(
IF(Returns!$A$3:$A$1000&lt;=Out_of_Sample!$C$11, INDEX(Returns!$B$3:$K$1000,0, MATCH(B$44, Returns!$B$2:$K$2,0))),
IF(Returns!$A$3:$A$1000&lt;=Out_of_Sample!$C$11, INDEX(Returns!$B$3:$K$1000,0, MATCH($A50, Returns!$B$2:$K$2,0)))
)</f>
        <v>4.8966403426920341E-5</v>
      </c>
      <c r="C50" s="5">
        <f t="array" ref="C50">_xlfn.COVARIANCE.P(
IF(Returns!$A$3:$A$1000&lt;=Out_of_Sample!$C$11, INDEX(Returns!$B$3:$K$1000,0, MATCH(C$44, Returns!$B$2:$K$2,0))),
IF(Returns!$A$3:$A$1000&lt;=Out_of_Sample!$C$11, INDEX(Returns!$B$3:$K$1000,0, MATCH($A50, Returns!$B$2:$K$2,0)))
)</f>
        <v>3.4539900239622813E-5</v>
      </c>
      <c r="D50" s="5">
        <f t="array" ref="D50">_xlfn.COVARIANCE.P(
IF(Returns!$A$3:$A$1000&lt;=Out_of_Sample!$C$11, INDEX(Returns!$B$3:$K$1000,0, MATCH(D$44, Returns!$B$2:$K$2,0))),
IF(Returns!$A$3:$A$1000&lt;=Out_of_Sample!$C$11, INDEX(Returns!$B$3:$K$1000,0, MATCH($A50, Returns!$B$2:$K$2,0)))
)</f>
        <v>7.6256292257426101E-5</v>
      </c>
      <c r="E50" s="5">
        <f t="array" ref="E50">_xlfn.COVARIANCE.P(
IF(Returns!$A$3:$A$1000&lt;=Out_of_Sample!$C$11, INDEX(Returns!$B$3:$K$1000,0, MATCH(E$44, Returns!$B$2:$K$2,0))),
IF(Returns!$A$3:$A$1000&lt;=Out_of_Sample!$C$11, INDEX(Returns!$B$3:$K$1000,0, MATCH($A50, Returns!$B$2:$K$2,0)))
)</f>
        <v>3.3809549066674269E-5</v>
      </c>
      <c r="F50" s="5">
        <f t="array" ref="F50">_xlfn.COVARIANCE.P(
IF(Returns!$A$3:$A$1000&lt;=Out_of_Sample!$C$11, INDEX(Returns!$B$3:$K$1000,0, MATCH(F$44, Returns!$B$2:$K$2,0))),
IF(Returns!$A$3:$A$1000&lt;=Out_of_Sample!$C$11, INDEX(Returns!$B$3:$K$1000,0, MATCH($A50, Returns!$B$2:$K$2,0)))
)</f>
        <v>1.2817612745062208E-5</v>
      </c>
      <c r="G50" s="5">
        <f t="array" ref="G50">_xlfn.COVARIANCE.P(
IF(Returns!$A$3:$A$1000&lt;=Out_of_Sample!$C$11, INDEX(Returns!$B$3:$K$1000,0, MATCH(G$44, Returns!$B$2:$K$2,0))),
IF(Returns!$A$3:$A$1000&lt;=Out_of_Sample!$C$11, INDEX(Returns!$B$3:$K$1000,0, MATCH($A50, Returns!$B$2:$K$2,0)))
)</f>
        <v>1.8840613961611087E-4</v>
      </c>
      <c r="H50" s="5">
        <f t="array" ref="H50">_xlfn.COVARIANCE.P(
IF(Returns!$A$3:$A$1000&lt;=Out_of_Sample!$C$11, INDEX(Returns!$B$3:$K$1000,0, MATCH(H$44, Returns!$B$2:$K$2,0))),
IF(Returns!$A$3:$A$1000&lt;=Out_of_Sample!$C$11, INDEX(Returns!$B$3:$K$1000,0, MATCH($A50, Returns!$B$2:$K$2,0)))
)</f>
        <v>1.9615343067529671E-5</v>
      </c>
      <c r="I50" s="5">
        <f t="array" ref="I50">_xlfn.COVARIANCE.P(
IF(Returns!$A$3:$A$1000&lt;=Out_of_Sample!$C$11, INDEX(Returns!$B$3:$K$1000,0, MATCH(I$44, Returns!$B$2:$K$2,0))),
IF(Returns!$A$3:$A$1000&lt;=Out_of_Sample!$C$11, INDEX(Returns!$B$3:$K$1000,0, MATCH($A50, Returns!$B$2:$K$2,0)))
)</f>
        <v>8.0262961874630955E-5</v>
      </c>
      <c r="J50" s="5">
        <f t="array" ref="J50">_xlfn.COVARIANCE.P(
IF(Returns!$A$3:$A$1000&lt;=Out_of_Sample!$C$11, INDEX(Returns!$B$3:$K$1000,0, MATCH(J$44, Returns!$B$2:$K$2,0))),
IF(Returns!$A$3:$A$1000&lt;=Out_of_Sample!$C$11, INDEX(Returns!$B$3:$K$1000,0, MATCH($A50, Returns!$B$2:$K$2,0)))
)</f>
        <v>1.0811453507606257E-4</v>
      </c>
      <c r="K50" s="5">
        <f t="array" ref="K50">_xlfn.COVARIANCE.P(
IF(Returns!$A$3:$A$1000&lt;=Out_of_Sample!$C$11, INDEX(Returns!$B$3:$K$1000,0, MATCH(K$44, Returns!$B$2:$K$2,0))),
IF(Returns!$A$3:$A$1000&lt;=Out_of_Sample!$C$11, INDEX(Returns!$B$3:$K$1000,0, MATCH($A50, Returns!$B$2:$K$2,0)))
)</f>
        <v>5.5079294797319821E-5</v>
      </c>
    </row>
    <row r="51" spans="1:11" ht="15.75" x14ac:dyDescent="0.25">
      <c r="A51" s="40" t="s">
        <v>783</v>
      </c>
      <c r="B51" s="5">
        <f t="array" ref="B51">_xlfn.COVARIANCE.P(
IF(Returns!$A$3:$A$1000&lt;=Out_of_Sample!$C$11, INDEX(Returns!$B$3:$K$1000,0, MATCH(B$44, Returns!$B$2:$K$2,0))),
IF(Returns!$A$3:$A$1000&lt;=Out_of_Sample!$C$11, INDEX(Returns!$B$3:$K$1000,0, MATCH($A51, Returns!$B$2:$K$2,0)))
)</f>
        <v>5.4520224432968703E-5</v>
      </c>
      <c r="C51" s="5">
        <f t="array" ref="C51">_xlfn.COVARIANCE.P(
IF(Returns!$A$3:$A$1000&lt;=Out_of_Sample!$C$11, INDEX(Returns!$B$3:$K$1000,0, MATCH(C$44, Returns!$B$2:$K$2,0))),
IF(Returns!$A$3:$A$1000&lt;=Out_of_Sample!$C$11, INDEX(Returns!$B$3:$K$1000,0, MATCH($A51, Returns!$B$2:$K$2,0)))
)</f>
        <v>-8.7675439778807368E-5</v>
      </c>
      <c r="D51" s="5">
        <f t="array" ref="D51">_xlfn.COVARIANCE.P(
IF(Returns!$A$3:$A$1000&lt;=Out_of_Sample!$C$11, INDEX(Returns!$B$3:$K$1000,0, MATCH(D$44, Returns!$B$2:$K$2,0))),
IF(Returns!$A$3:$A$1000&lt;=Out_of_Sample!$C$11, INDEX(Returns!$B$3:$K$1000,0, MATCH($A51, Returns!$B$2:$K$2,0)))
)</f>
        <v>-6.8071369886947605E-6</v>
      </c>
      <c r="E51" s="5">
        <f t="array" ref="E51">_xlfn.COVARIANCE.P(
IF(Returns!$A$3:$A$1000&lt;=Out_of_Sample!$C$11, INDEX(Returns!$B$3:$K$1000,0, MATCH(E$44, Returns!$B$2:$K$2,0))),
IF(Returns!$A$3:$A$1000&lt;=Out_of_Sample!$C$11, INDEX(Returns!$B$3:$K$1000,0, MATCH($A51, Returns!$B$2:$K$2,0)))
)</f>
        <v>-9.015323522471975E-5</v>
      </c>
      <c r="F51" s="5">
        <f t="array" ref="F51">_xlfn.COVARIANCE.P(
IF(Returns!$A$3:$A$1000&lt;=Out_of_Sample!$C$11, INDEX(Returns!$B$3:$K$1000,0, MATCH(F$44, Returns!$B$2:$K$2,0))),
IF(Returns!$A$3:$A$1000&lt;=Out_of_Sample!$C$11, INDEX(Returns!$B$3:$K$1000,0, MATCH($A51, Returns!$B$2:$K$2,0)))
)</f>
        <v>3.0054557822716963E-5</v>
      </c>
      <c r="G51" s="5">
        <f t="array" ref="G51">_xlfn.COVARIANCE.P(
IF(Returns!$A$3:$A$1000&lt;=Out_of_Sample!$C$11, INDEX(Returns!$B$3:$K$1000,0, MATCH(G$44, Returns!$B$2:$K$2,0))),
IF(Returns!$A$3:$A$1000&lt;=Out_of_Sample!$C$11, INDEX(Returns!$B$3:$K$1000,0, MATCH($A51, Returns!$B$2:$K$2,0)))
)</f>
        <v>1.9615343067529671E-5</v>
      </c>
      <c r="H51" s="5">
        <f t="array" ref="H51">_xlfn.COVARIANCE.P(
IF(Returns!$A$3:$A$1000&lt;=Out_of_Sample!$C$11, INDEX(Returns!$B$3:$K$1000,0, MATCH(H$44, Returns!$B$2:$K$2,0))),
IF(Returns!$A$3:$A$1000&lt;=Out_of_Sample!$C$11, INDEX(Returns!$B$3:$K$1000,0, MATCH($A51, Returns!$B$2:$K$2,0)))
)</f>
        <v>1.2744669963603482E-4</v>
      </c>
      <c r="I51" s="5">
        <f t="array" ref="I51">_xlfn.COVARIANCE.P(
IF(Returns!$A$3:$A$1000&lt;=Out_of_Sample!$C$11, INDEX(Returns!$B$3:$K$1000,0, MATCH(I$44, Returns!$B$2:$K$2,0))),
IF(Returns!$A$3:$A$1000&lt;=Out_of_Sample!$C$11, INDEX(Returns!$B$3:$K$1000,0, MATCH($A51, Returns!$B$2:$K$2,0)))
)</f>
        <v>1.0858861072438554E-5</v>
      </c>
      <c r="J51" s="5">
        <f t="array" ref="J51">_xlfn.COVARIANCE.P(
IF(Returns!$A$3:$A$1000&lt;=Out_of_Sample!$C$11, INDEX(Returns!$B$3:$K$1000,0, MATCH(J$44, Returns!$B$2:$K$2,0))),
IF(Returns!$A$3:$A$1000&lt;=Out_of_Sample!$C$11, INDEX(Returns!$B$3:$K$1000,0, MATCH($A51, Returns!$B$2:$K$2,0)))
)</f>
        <v>4.2046182815941839E-5</v>
      </c>
      <c r="K51" s="5">
        <f t="array" ref="K51">_xlfn.COVARIANCE.P(
IF(Returns!$A$3:$A$1000&lt;=Out_of_Sample!$C$11, INDEX(Returns!$B$3:$K$1000,0, MATCH(K$44, Returns!$B$2:$K$2,0))),
IF(Returns!$A$3:$A$1000&lt;=Out_of_Sample!$C$11, INDEX(Returns!$B$3:$K$1000,0, MATCH($A51, Returns!$B$2:$K$2,0)))
)</f>
        <v>-1.3767191140772569E-5</v>
      </c>
    </row>
    <row r="52" spans="1:11" ht="15.75" x14ac:dyDescent="0.25">
      <c r="A52" s="40" t="s">
        <v>914</v>
      </c>
      <c r="B52" s="5">
        <f t="array" ref="B52">_xlfn.COVARIANCE.P(
IF(Returns!$A$3:$A$1000&lt;=Out_of_Sample!$C$11, INDEX(Returns!$B$3:$K$1000,0, MATCH(B$44, Returns!$B$2:$K$2,0))),
IF(Returns!$A$3:$A$1000&lt;=Out_of_Sample!$C$11, INDEX(Returns!$B$3:$K$1000,0, MATCH($A52, Returns!$B$2:$K$2,0)))
)</f>
        <v>1.3122402338653766E-5</v>
      </c>
      <c r="C52" s="5">
        <f t="array" ref="C52">_xlfn.COVARIANCE.P(
IF(Returns!$A$3:$A$1000&lt;=Out_of_Sample!$C$11, INDEX(Returns!$B$3:$K$1000,0, MATCH(C$44, Returns!$B$2:$K$2,0))),
IF(Returns!$A$3:$A$1000&lt;=Out_of_Sample!$C$11, INDEX(Returns!$B$3:$K$1000,0, MATCH($A52, Returns!$B$2:$K$2,0)))
)</f>
        <v>1.7885689400206424E-4</v>
      </c>
      <c r="D52" s="5">
        <f t="array" ref="D52">_xlfn.COVARIANCE.P(
IF(Returns!$A$3:$A$1000&lt;=Out_of_Sample!$C$11, INDEX(Returns!$B$3:$K$1000,0, MATCH(D$44, Returns!$B$2:$K$2,0))),
IF(Returns!$A$3:$A$1000&lt;=Out_of_Sample!$C$11, INDEX(Returns!$B$3:$K$1000,0, MATCH($A52, Returns!$B$2:$K$2,0)))
)</f>
        <v>2.3982609372485655E-4</v>
      </c>
      <c r="E52" s="5">
        <f t="array" ref="E52">_xlfn.COVARIANCE.P(
IF(Returns!$A$3:$A$1000&lt;=Out_of_Sample!$C$11, INDEX(Returns!$B$3:$K$1000,0, MATCH(E$44, Returns!$B$2:$K$2,0))),
IF(Returns!$A$3:$A$1000&lt;=Out_of_Sample!$C$11, INDEX(Returns!$B$3:$K$1000,0, MATCH($A52, Returns!$B$2:$K$2,0)))
)</f>
        <v>2.2580447752098526E-4</v>
      </c>
      <c r="F52" s="5">
        <f t="array" ref="F52">_xlfn.COVARIANCE.P(
IF(Returns!$A$3:$A$1000&lt;=Out_of_Sample!$C$11, INDEX(Returns!$B$3:$K$1000,0, MATCH(F$44, Returns!$B$2:$K$2,0))),
IF(Returns!$A$3:$A$1000&lt;=Out_of_Sample!$C$11, INDEX(Returns!$B$3:$K$1000,0, MATCH($A52, Returns!$B$2:$K$2,0)))
)</f>
        <v>5.5483114967353386E-4</v>
      </c>
      <c r="G52" s="5">
        <f t="array" ref="G52">_xlfn.COVARIANCE.P(
IF(Returns!$A$3:$A$1000&lt;=Out_of_Sample!$C$11, INDEX(Returns!$B$3:$K$1000,0, MATCH(G$44, Returns!$B$2:$K$2,0))),
IF(Returns!$A$3:$A$1000&lt;=Out_of_Sample!$C$11, INDEX(Returns!$B$3:$K$1000,0, MATCH($A52, Returns!$B$2:$K$2,0)))
)</f>
        <v>8.0262961874630955E-5</v>
      </c>
      <c r="H52" s="5">
        <f t="array" ref="H52">_xlfn.COVARIANCE.P(
IF(Returns!$A$3:$A$1000&lt;=Out_of_Sample!$C$11, INDEX(Returns!$B$3:$K$1000,0, MATCH(H$44, Returns!$B$2:$K$2,0))),
IF(Returns!$A$3:$A$1000&lt;=Out_of_Sample!$C$11, INDEX(Returns!$B$3:$K$1000,0, MATCH($A52, Returns!$B$2:$K$2,0)))
)</f>
        <v>1.0858861072438554E-5</v>
      </c>
      <c r="I52" s="5">
        <f t="array" ref="I52">_xlfn.COVARIANCE.P(
IF(Returns!$A$3:$A$1000&lt;=Out_of_Sample!$C$11, INDEX(Returns!$B$3:$K$1000,0, MATCH(I$44, Returns!$B$2:$K$2,0))),
IF(Returns!$A$3:$A$1000&lt;=Out_of_Sample!$C$11, INDEX(Returns!$B$3:$K$1000,0, MATCH($A52, Returns!$B$2:$K$2,0)))
)</f>
        <v>3.3098014977204994E-4</v>
      </c>
      <c r="J52" s="5">
        <f t="array" ref="J52">_xlfn.COVARIANCE.P(
IF(Returns!$A$3:$A$1000&lt;=Out_of_Sample!$C$11, INDEX(Returns!$B$3:$K$1000,0, MATCH(J$44, Returns!$B$2:$K$2,0))),
IF(Returns!$A$3:$A$1000&lt;=Out_of_Sample!$C$11, INDEX(Returns!$B$3:$K$1000,0, MATCH($A52, Returns!$B$2:$K$2,0)))
)</f>
        <v>1.8357264786752009E-4</v>
      </c>
      <c r="K52" s="5">
        <f t="array" ref="K52">_xlfn.COVARIANCE.P(
IF(Returns!$A$3:$A$1000&lt;=Out_of_Sample!$C$11, INDEX(Returns!$B$3:$K$1000,0, MATCH(K$44, Returns!$B$2:$K$2,0))),
IF(Returns!$A$3:$A$1000&lt;=Out_of_Sample!$C$11, INDEX(Returns!$B$3:$K$1000,0, MATCH($A52, Returns!$B$2:$K$2,0)))
)</f>
        <v>1.9347994308703827E-4</v>
      </c>
    </row>
    <row r="53" spans="1:11" ht="15.75" x14ac:dyDescent="0.25">
      <c r="A53" s="40" t="s">
        <v>1042</v>
      </c>
      <c r="B53" s="5">
        <f t="array" ref="B53">_xlfn.COVARIANCE.P(
IF(Returns!$A$3:$A$1000&lt;=Out_of_Sample!$C$11, INDEX(Returns!$B$3:$K$1000,0, MATCH(B$44, Returns!$B$2:$K$2,0))),
IF(Returns!$A$3:$A$1000&lt;=Out_of_Sample!$C$11, INDEX(Returns!$B$3:$K$1000,0, MATCH($A53, Returns!$B$2:$K$2,0)))
)</f>
        <v>2.8189962164148753E-5</v>
      </c>
      <c r="C53" s="5">
        <f t="array" ref="C53">_xlfn.COVARIANCE.P(
IF(Returns!$A$3:$A$1000&lt;=Out_of_Sample!$C$11, INDEX(Returns!$B$3:$K$1000,0, MATCH(C$44, Returns!$B$2:$K$2,0))),
IF(Returns!$A$3:$A$1000&lt;=Out_of_Sample!$C$11, INDEX(Returns!$B$3:$K$1000,0, MATCH($A53, Returns!$B$2:$K$2,0)))
)</f>
        <v>1.6981182261584915E-4</v>
      </c>
      <c r="D53" s="5">
        <f t="array" ref="D53">_xlfn.COVARIANCE.P(
IF(Returns!$A$3:$A$1000&lt;=Out_of_Sample!$C$11, INDEX(Returns!$B$3:$K$1000,0, MATCH(D$44, Returns!$B$2:$K$2,0))),
IF(Returns!$A$3:$A$1000&lt;=Out_of_Sample!$C$11, INDEX(Returns!$B$3:$K$1000,0, MATCH($A53, Returns!$B$2:$K$2,0)))
)</f>
        <v>1.7168973424217337E-4</v>
      </c>
      <c r="E53" s="5">
        <f t="array" ref="E53">_xlfn.COVARIANCE.P(
IF(Returns!$A$3:$A$1000&lt;=Out_of_Sample!$C$11, INDEX(Returns!$B$3:$K$1000,0, MATCH(E$44, Returns!$B$2:$K$2,0))),
IF(Returns!$A$3:$A$1000&lt;=Out_of_Sample!$C$11, INDEX(Returns!$B$3:$K$1000,0, MATCH($A53, Returns!$B$2:$K$2,0)))
)</f>
        <v>1.4352842045706397E-4</v>
      </c>
      <c r="F53" s="5">
        <f t="array" ref="F53">_xlfn.COVARIANCE.P(
IF(Returns!$A$3:$A$1000&lt;=Out_of_Sample!$C$11, INDEX(Returns!$B$3:$K$1000,0, MATCH(F$44, Returns!$B$2:$K$2,0))),
IF(Returns!$A$3:$A$1000&lt;=Out_of_Sample!$C$11, INDEX(Returns!$B$3:$K$1000,0, MATCH($A53, Returns!$B$2:$K$2,0)))
)</f>
        <v>1.9780025975637552E-4</v>
      </c>
      <c r="G53" s="5">
        <f t="array" ref="G53">_xlfn.COVARIANCE.P(
IF(Returns!$A$3:$A$1000&lt;=Out_of_Sample!$C$11, INDEX(Returns!$B$3:$K$1000,0, MATCH(G$44, Returns!$B$2:$K$2,0))),
IF(Returns!$A$3:$A$1000&lt;=Out_of_Sample!$C$11, INDEX(Returns!$B$3:$K$1000,0, MATCH($A53, Returns!$B$2:$K$2,0)))
)</f>
        <v>1.0811453507606257E-4</v>
      </c>
      <c r="H53" s="5">
        <f t="array" ref="H53">_xlfn.COVARIANCE.P(
IF(Returns!$A$3:$A$1000&lt;=Out_of_Sample!$C$11, INDEX(Returns!$B$3:$K$1000,0, MATCH(H$44, Returns!$B$2:$K$2,0))),
IF(Returns!$A$3:$A$1000&lt;=Out_of_Sample!$C$11, INDEX(Returns!$B$3:$K$1000,0, MATCH($A53, Returns!$B$2:$K$2,0)))
)</f>
        <v>4.2046182815941839E-5</v>
      </c>
      <c r="I53" s="5">
        <f t="array" ref="I53">_xlfn.COVARIANCE.P(
IF(Returns!$A$3:$A$1000&lt;=Out_of_Sample!$C$11, INDEX(Returns!$B$3:$K$1000,0, MATCH(I$44, Returns!$B$2:$K$2,0))),
IF(Returns!$A$3:$A$1000&lt;=Out_of_Sample!$C$11, INDEX(Returns!$B$3:$K$1000,0, MATCH($A53, Returns!$B$2:$K$2,0)))
)</f>
        <v>1.8357264786752009E-4</v>
      </c>
      <c r="J53" s="5">
        <f t="array" ref="J53">_xlfn.COVARIANCE.P(
IF(Returns!$A$3:$A$1000&lt;=Out_of_Sample!$C$11, INDEX(Returns!$B$3:$K$1000,0, MATCH(J$44, Returns!$B$2:$K$2,0))),
IF(Returns!$A$3:$A$1000&lt;=Out_of_Sample!$C$11, INDEX(Returns!$B$3:$K$1000,0, MATCH($A53, Returns!$B$2:$K$2,0)))
)</f>
        <v>2.4559937506681093E-4</v>
      </c>
      <c r="K53" s="5">
        <f t="array" ref="K53">_xlfn.COVARIANCE.P(
IF(Returns!$A$3:$A$1000&lt;=Out_of_Sample!$C$11, INDEX(Returns!$B$3:$K$1000,0, MATCH(K$44, Returns!$B$2:$K$2,0))),
IF(Returns!$A$3:$A$1000&lt;=Out_of_Sample!$C$11, INDEX(Returns!$B$3:$K$1000,0, MATCH($A53, Returns!$B$2:$K$2,0)))
)</f>
        <v>1.4144281451245144E-4</v>
      </c>
    </row>
    <row r="54" spans="1:11" ht="15.75" x14ac:dyDescent="0.25">
      <c r="A54" s="40" t="s">
        <v>1174</v>
      </c>
      <c r="B54" s="5">
        <f t="array" ref="B54">_xlfn.COVARIANCE.P(
IF(Returns!$A$3:$A$1000&lt;=Out_of_Sample!$C$11, INDEX(Returns!$B$3:$K$1000,0, MATCH(B$44, Returns!$B$2:$K$2,0))),
IF(Returns!$A$3:$A$1000&lt;=Out_of_Sample!$C$11, INDEX(Returns!$B$3:$K$1000,0, MATCH($A54, Returns!$B$2:$K$2,0)))
)</f>
        <v>2.0607085766205462E-5</v>
      </c>
      <c r="C54" s="5">
        <f t="array" ref="C54">_xlfn.COVARIANCE.P(
IF(Returns!$A$3:$A$1000&lt;=Out_of_Sample!$C$11, INDEX(Returns!$B$3:$K$1000,0, MATCH(C$44, Returns!$B$2:$K$2,0))),
IF(Returns!$A$3:$A$1000&lt;=Out_of_Sample!$C$11, INDEX(Returns!$B$3:$K$1000,0, MATCH($A54, Returns!$B$2:$K$2,0)))
)</f>
        <v>1.8833708771136731E-4</v>
      </c>
      <c r="D54" s="5">
        <f t="array" ref="D54">_xlfn.COVARIANCE.P(
IF(Returns!$A$3:$A$1000&lt;=Out_of_Sample!$C$11, INDEX(Returns!$B$3:$K$1000,0, MATCH(D$44, Returns!$B$2:$K$2,0))),
IF(Returns!$A$3:$A$1000&lt;=Out_of_Sample!$C$11, INDEX(Returns!$B$3:$K$1000,0, MATCH($A54, Returns!$B$2:$K$2,0)))
)</f>
        <v>1.7013345132139903E-4</v>
      </c>
      <c r="E54" s="5">
        <f t="array" ref="E54">_xlfn.COVARIANCE.P(
IF(Returns!$A$3:$A$1000&lt;=Out_of_Sample!$C$11, INDEX(Returns!$B$3:$K$1000,0, MATCH(E$44, Returns!$B$2:$K$2,0))),
IF(Returns!$A$3:$A$1000&lt;=Out_of_Sample!$C$11, INDEX(Returns!$B$3:$K$1000,0, MATCH($A54, Returns!$B$2:$K$2,0)))
)</f>
        <v>2.102817796738636E-4</v>
      </c>
      <c r="F54" s="5">
        <f t="array" ref="F54">_xlfn.COVARIANCE.P(
IF(Returns!$A$3:$A$1000&lt;=Out_of_Sample!$C$11, INDEX(Returns!$B$3:$K$1000,0, MATCH(F$44, Returns!$B$2:$K$2,0))),
IF(Returns!$A$3:$A$1000&lt;=Out_of_Sample!$C$11, INDEX(Returns!$B$3:$K$1000,0, MATCH($A54, Returns!$B$2:$K$2,0)))
)</f>
        <v>2.6170033302679713E-4</v>
      </c>
      <c r="G54" s="5">
        <f t="array" ref="G54">_xlfn.COVARIANCE.P(
IF(Returns!$A$3:$A$1000&lt;=Out_of_Sample!$C$11, INDEX(Returns!$B$3:$K$1000,0, MATCH(G$44, Returns!$B$2:$K$2,0))),
IF(Returns!$A$3:$A$1000&lt;=Out_of_Sample!$C$11, INDEX(Returns!$B$3:$K$1000,0, MATCH($A54, Returns!$B$2:$K$2,0)))
)</f>
        <v>5.5079294797319821E-5</v>
      </c>
      <c r="H54" s="5">
        <f t="array" ref="H54">_xlfn.COVARIANCE.P(
IF(Returns!$A$3:$A$1000&lt;=Out_of_Sample!$C$11, INDEX(Returns!$B$3:$K$1000,0, MATCH(H$44, Returns!$B$2:$K$2,0))),
IF(Returns!$A$3:$A$1000&lt;=Out_of_Sample!$C$11, INDEX(Returns!$B$3:$K$1000,0, MATCH($A54, Returns!$B$2:$K$2,0)))
)</f>
        <v>-1.3767191140772569E-5</v>
      </c>
      <c r="I54" s="5">
        <f t="array" ref="I54">_xlfn.COVARIANCE.P(
IF(Returns!$A$3:$A$1000&lt;=Out_of_Sample!$C$11, INDEX(Returns!$B$3:$K$1000,0, MATCH(I$44, Returns!$B$2:$K$2,0))),
IF(Returns!$A$3:$A$1000&lt;=Out_of_Sample!$C$11, INDEX(Returns!$B$3:$K$1000,0, MATCH($A54, Returns!$B$2:$K$2,0)))
)</f>
        <v>1.9347994308703827E-4</v>
      </c>
      <c r="J54" s="5">
        <f t="array" ref="J54">_xlfn.COVARIANCE.P(
IF(Returns!$A$3:$A$1000&lt;=Out_of_Sample!$C$11, INDEX(Returns!$B$3:$K$1000,0, MATCH(J$44, Returns!$B$2:$K$2,0))),
IF(Returns!$A$3:$A$1000&lt;=Out_of_Sample!$C$11, INDEX(Returns!$B$3:$K$1000,0, MATCH($A54, Returns!$B$2:$K$2,0)))
)</f>
        <v>1.4144281451245144E-4</v>
      </c>
      <c r="K54" s="5">
        <f t="array" ref="K54">_xlfn.COVARIANCE.P(
IF(Returns!$A$3:$A$1000&lt;=Out_of_Sample!$C$11, INDEX(Returns!$B$3:$K$1000,0, MATCH(K$44, Returns!$B$2:$K$2,0))),
IF(Returns!$A$3:$A$1000&lt;=Out_of_Sample!$C$11, INDEX(Returns!$B$3:$K$1000,0, MATCH($A54, Returns!$B$2:$K$2,0)))
)</f>
        <v>1.8409090651253025E-4</v>
      </c>
    </row>
  </sheetData>
  <mergeCells count="2">
    <mergeCell ref="A43:K43"/>
    <mergeCell ref="A26:E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9CE9-A742-4CA1-AAA8-E64A2B001B74}">
  <dimension ref="A1:AA71"/>
  <sheetViews>
    <sheetView zoomScale="64" zoomScaleNormal="64" workbookViewId="0">
      <selection activeCell="AF21" sqref="AF21"/>
    </sheetView>
  </sheetViews>
  <sheetFormatPr defaultRowHeight="14.25" x14ac:dyDescent="0.2"/>
  <cols>
    <col min="3" max="3" width="10.5" customWidth="1"/>
    <col min="6" max="6" width="11.75" customWidth="1"/>
    <col min="7" max="7" width="12.375" customWidth="1"/>
    <col min="8" max="8" width="15.375" customWidth="1"/>
    <col min="13" max="13" width="9.5" customWidth="1"/>
    <col min="14" max="14" width="9.875" bestFit="1" customWidth="1"/>
    <col min="15" max="15" width="10.375" bestFit="1" customWidth="1"/>
    <col min="17" max="17" width="12" customWidth="1"/>
    <col min="18" max="18" width="12.5" customWidth="1"/>
    <col min="19" max="19" width="15.5" customWidth="1"/>
  </cols>
  <sheetData>
    <row r="1" spans="1:27" ht="28.5" customHeight="1" x14ac:dyDescent="0.4">
      <c r="A1" s="117" t="s">
        <v>646</v>
      </c>
      <c r="B1" s="118"/>
      <c r="C1" s="118"/>
      <c r="D1" s="118"/>
      <c r="E1" s="118"/>
      <c r="F1" s="118"/>
      <c r="G1" s="118"/>
      <c r="H1" s="118"/>
      <c r="I1" s="118"/>
      <c r="J1" s="118"/>
      <c r="K1" s="118"/>
      <c r="L1" s="118"/>
      <c r="M1" s="118"/>
      <c r="N1" s="118"/>
      <c r="O1" s="118"/>
      <c r="P1" s="118"/>
      <c r="Q1" s="118"/>
      <c r="R1" s="118"/>
      <c r="S1" s="118"/>
      <c r="T1" s="118"/>
      <c r="U1" s="118"/>
      <c r="V1" s="118"/>
    </row>
    <row r="4" spans="1:27" ht="14.25" customHeight="1" x14ac:dyDescent="0.2"/>
    <row r="5" spans="1:27" ht="14.25" customHeight="1" x14ac:dyDescent="0.2"/>
    <row r="10" spans="1:27" ht="15" thickBot="1" x14ac:dyDescent="0.25"/>
    <row r="11" spans="1:27" ht="14.25" customHeight="1" x14ac:dyDescent="0.2">
      <c r="A11" s="115" t="s">
        <v>647</v>
      </c>
      <c r="B11" s="119"/>
      <c r="C11" s="119"/>
      <c r="D11" s="119"/>
      <c r="E11" s="119"/>
      <c r="F11" s="119"/>
      <c r="G11" s="119"/>
      <c r="H11" s="119"/>
      <c r="I11" s="119"/>
      <c r="J11" s="120"/>
      <c r="K11" s="45"/>
      <c r="L11" s="115" t="s">
        <v>648</v>
      </c>
      <c r="M11" s="119"/>
      <c r="N11" s="119"/>
      <c r="O11" s="119"/>
      <c r="P11" s="119"/>
      <c r="Q11" s="119"/>
      <c r="R11" s="119"/>
      <c r="S11" s="119"/>
      <c r="T11" s="119"/>
      <c r="U11" s="120"/>
      <c r="V11" s="115"/>
      <c r="W11" s="115"/>
      <c r="X11" s="115"/>
      <c r="Y11" s="115"/>
      <c r="Z11" s="115"/>
      <c r="AA11" s="115"/>
    </row>
    <row r="12" spans="1:27" ht="15" customHeight="1" x14ac:dyDescent="0.2">
      <c r="A12" s="116"/>
      <c r="B12" s="121"/>
      <c r="C12" s="121"/>
      <c r="D12" s="121"/>
      <c r="E12" s="121"/>
      <c r="F12" s="121"/>
      <c r="G12" s="121"/>
      <c r="H12" s="121"/>
      <c r="I12" s="121"/>
      <c r="J12" s="122"/>
      <c r="K12" s="23"/>
      <c r="L12" s="116"/>
      <c r="M12" s="121"/>
      <c r="N12" s="121"/>
      <c r="O12" s="121"/>
      <c r="P12" s="121"/>
      <c r="Q12" s="121"/>
      <c r="R12" s="121"/>
      <c r="S12" s="121"/>
      <c r="T12" s="121"/>
      <c r="U12" s="122"/>
      <c r="V12" s="116"/>
      <c r="W12" s="116"/>
      <c r="X12" s="116"/>
      <c r="Y12" s="116"/>
      <c r="Z12" s="116"/>
      <c r="AA12" s="116"/>
    </row>
    <row r="13" spans="1:27" x14ac:dyDescent="0.2">
      <c r="K13" s="23"/>
    </row>
    <row r="14" spans="1:27" ht="37.5" customHeight="1" x14ac:dyDescent="0.2">
      <c r="B14" s="47" t="s">
        <v>637</v>
      </c>
      <c r="C14" s="47" t="s">
        <v>638</v>
      </c>
      <c r="F14" s="46" t="s">
        <v>1322</v>
      </c>
      <c r="G14" s="46" t="s">
        <v>1313</v>
      </c>
      <c r="H14" s="46" t="s">
        <v>1314</v>
      </c>
      <c r="I14" s="41"/>
      <c r="J14" s="41"/>
      <c r="K14" s="23"/>
      <c r="M14" s="47" t="s">
        <v>637</v>
      </c>
      <c r="N14" s="47" t="s">
        <v>638</v>
      </c>
      <c r="Q14" s="46" t="s">
        <v>1321</v>
      </c>
      <c r="R14" s="47" t="s">
        <v>1313</v>
      </c>
      <c r="S14" s="47" t="s">
        <v>1320</v>
      </c>
    </row>
    <row r="15" spans="1:27" ht="18.75" customHeight="1" x14ac:dyDescent="0.3">
      <c r="B15" s="61" t="s">
        <v>139</v>
      </c>
      <c r="C15" s="60">
        <v>0.54727927448453784</v>
      </c>
      <c r="F15" s="66">
        <v>0.29666048099999998</v>
      </c>
      <c r="G15" s="67">
        <v>1.53398864</v>
      </c>
      <c r="H15" s="66">
        <v>0.16731574599999999</v>
      </c>
      <c r="K15" s="23"/>
      <c r="M15" s="61" t="s">
        <v>139</v>
      </c>
      <c r="N15" s="65">
        <v>0.2</v>
      </c>
      <c r="Q15" s="66">
        <v>0.21181041214821772</v>
      </c>
      <c r="R15" s="67">
        <v>1.170584299019864</v>
      </c>
      <c r="S15" s="66">
        <v>0.14677320744185224</v>
      </c>
    </row>
    <row r="16" spans="1:27" ht="18.75" x14ac:dyDescent="0.3">
      <c r="B16" s="61" t="s">
        <v>630</v>
      </c>
      <c r="C16" s="60">
        <v>0</v>
      </c>
      <c r="K16" s="23"/>
      <c r="M16" s="61" t="s">
        <v>630</v>
      </c>
      <c r="N16" s="65">
        <v>0</v>
      </c>
    </row>
    <row r="17" spans="2:19" ht="19.5" customHeight="1" x14ac:dyDescent="0.3">
      <c r="B17" s="61" t="s">
        <v>273</v>
      </c>
      <c r="C17" s="60">
        <v>0</v>
      </c>
      <c r="H17" t="s">
        <v>1312</v>
      </c>
      <c r="K17" s="23"/>
      <c r="M17" s="61" t="s">
        <v>273</v>
      </c>
      <c r="N17" s="65">
        <v>0.25</v>
      </c>
    </row>
    <row r="18" spans="2:19" ht="20.25" customHeight="1" x14ac:dyDescent="0.3">
      <c r="B18" s="61" t="s">
        <v>369</v>
      </c>
      <c r="C18" s="60">
        <v>0.14345988197070547</v>
      </c>
      <c r="K18" s="23"/>
      <c r="M18" s="61" t="s">
        <v>369</v>
      </c>
      <c r="N18" s="65">
        <v>0.15</v>
      </c>
      <c r="Q18" s="123" t="s">
        <v>651</v>
      </c>
      <c r="R18" s="124"/>
      <c r="S18" s="125"/>
    </row>
    <row r="19" spans="2:19" ht="18.75" x14ac:dyDescent="0.3">
      <c r="B19" s="61" t="s">
        <v>503</v>
      </c>
      <c r="C19" s="60">
        <v>0.30926084354475664</v>
      </c>
      <c r="K19" s="23"/>
      <c r="M19" s="61" t="s">
        <v>503</v>
      </c>
      <c r="N19" s="65">
        <v>0.14999999999999997</v>
      </c>
      <c r="Q19" s="62" t="s">
        <v>637</v>
      </c>
      <c r="R19" s="62" t="s">
        <v>649</v>
      </c>
      <c r="S19" s="62" t="s">
        <v>650</v>
      </c>
    </row>
    <row r="20" spans="2:19" ht="18.75" x14ac:dyDescent="0.3">
      <c r="B20" s="61" t="s">
        <v>652</v>
      </c>
      <c r="C20" s="60">
        <v>0</v>
      </c>
      <c r="K20" s="23"/>
      <c r="M20" s="61" t="s">
        <v>652</v>
      </c>
      <c r="N20" s="65">
        <v>0.1</v>
      </c>
      <c r="Q20" s="63" t="s">
        <v>139</v>
      </c>
      <c r="R20" s="65">
        <v>0.05</v>
      </c>
      <c r="S20" s="65">
        <v>0.2</v>
      </c>
    </row>
    <row r="21" spans="2:19" ht="18.75" x14ac:dyDescent="0.3">
      <c r="B21" s="61" t="s">
        <v>783</v>
      </c>
      <c r="C21" s="60">
        <v>0</v>
      </c>
      <c r="K21" s="23"/>
      <c r="M21" s="61" t="s">
        <v>783</v>
      </c>
      <c r="N21" s="65">
        <v>0</v>
      </c>
      <c r="Q21" s="63" t="s">
        <v>630</v>
      </c>
      <c r="R21" s="65">
        <v>0</v>
      </c>
      <c r="S21" s="65">
        <v>0.1</v>
      </c>
    </row>
    <row r="22" spans="2:19" ht="18.75" x14ac:dyDescent="0.3">
      <c r="B22" s="61" t="s">
        <v>914</v>
      </c>
      <c r="C22" s="60">
        <v>0</v>
      </c>
      <c r="K22" s="23"/>
      <c r="M22" s="61" t="s">
        <v>914</v>
      </c>
      <c r="N22" s="65">
        <v>9.9999900476148373E-2</v>
      </c>
      <c r="Q22" s="63" t="s">
        <v>273</v>
      </c>
      <c r="R22" s="65">
        <v>0.25</v>
      </c>
      <c r="S22" s="65">
        <v>0.4</v>
      </c>
    </row>
    <row r="23" spans="2:19" ht="18.75" x14ac:dyDescent="0.3">
      <c r="B23" s="61" t="s">
        <v>1042</v>
      </c>
      <c r="C23" s="60">
        <v>0</v>
      </c>
      <c r="K23" s="23"/>
      <c r="M23" s="61" t="s">
        <v>1042</v>
      </c>
      <c r="N23" s="65">
        <v>0</v>
      </c>
      <c r="Q23" s="63" t="s">
        <v>369</v>
      </c>
      <c r="R23" s="65">
        <v>0</v>
      </c>
      <c r="S23" s="65">
        <v>0.15</v>
      </c>
    </row>
    <row r="24" spans="2:19" ht="18.75" x14ac:dyDescent="0.3">
      <c r="B24" s="61" t="s">
        <v>1174</v>
      </c>
      <c r="C24" s="60">
        <v>0</v>
      </c>
      <c r="K24" s="23"/>
      <c r="M24" s="61" t="s">
        <v>1174</v>
      </c>
      <c r="N24" s="65">
        <v>0.05</v>
      </c>
      <c r="Q24" s="63" t="s">
        <v>503</v>
      </c>
      <c r="R24" s="65">
        <v>0</v>
      </c>
      <c r="S24" s="65">
        <v>0.15</v>
      </c>
    </row>
    <row r="25" spans="2:19" ht="15.75" x14ac:dyDescent="0.25">
      <c r="K25" s="23"/>
      <c r="Q25" s="63" t="s">
        <v>652</v>
      </c>
      <c r="R25" s="65">
        <v>0</v>
      </c>
      <c r="S25" s="65">
        <v>0.1</v>
      </c>
    </row>
    <row r="26" spans="2:19" ht="15.75" x14ac:dyDescent="0.25">
      <c r="K26" s="23"/>
      <c r="Q26" s="63" t="s">
        <v>783</v>
      </c>
      <c r="R26" s="65">
        <v>0</v>
      </c>
      <c r="S26" s="65">
        <v>0.2</v>
      </c>
    </row>
    <row r="27" spans="2:19" ht="15.75" x14ac:dyDescent="0.25">
      <c r="K27" s="23"/>
      <c r="Q27" s="63" t="s">
        <v>914</v>
      </c>
      <c r="R27" s="65">
        <v>0</v>
      </c>
      <c r="S27" s="65">
        <v>0.15</v>
      </c>
    </row>
    <row r="28" spans="2:19" ht="15.75" x14ac:dyDescent="0.25">
      <c r="K28" s="23"/>
      <c r="Q28" s="63" t="s">
        <v>1042</v>
      </c>
      <c r="R28" s="65">
        <v>0</v>
      </c>
      <c r="S28" s="65">
        <v>0.15</v>
      </c>
    </row>
    <row r="29" spans="2:19" ht="15.75" x14ac:dyDescent="0.25">
      <c r="K29" s="23"/>
      <c r="Q29" s="63" t="s">
        <v>1174</v>
      </c>
      <c r="R29" s="65">
        <v>0.05</v>
      </c>
      <c r="S29" s="65">
        <v>0.2</v>
      </c>
    </row>
    <row r="30" spans="2:19" x14ac:dyDescent="0.2">
      <c r="K30" s="23"/>
    </row>
    <row r="31" spans="2:19" x14ac:dyDescent="0.2">
      <c r="K31" s="23"/>
    </row>
    <row r="32" spans="2:19" x14ac:dyDescent="0.2">
      <c r="K32" s="23"/>
    </row>
    <row r="33" spans="10:11" x14ac:dyDescent="0.2">
      <c r="J33" s="25"/>
      <c r="K33" s="23"/>
    </row>
    <row r="34" spans="10:11" x14ac:dyDescent="0.2">
      <c r="K34" s="23"/>
    </row>
    <row r="35" spans="10:11" x14ac:dyDescent="0.2">
      <c r="K35" s="23"/>
    </row>
    <row r="36" spans="10:11" x14ac:dyDescent="0.2">
      <c r="K36" s="23"/>
    </row>
    <row r="37" spans="10:11" x14ac:dyDescent="0.2">
      <c r="K37" s="23"/>
    </row>
    <row r="38" spans="10:11" x14ac:dyDescent="0.2">
      <c r="K38" s="23"/>
    </row>
    <row r="39" spans="10:11" x14ac:dyDescent="0.2">
      <c r="K39" s="23"/>
    </row>
    <row r="40" spans="10:11" x14ac:dyDescent="0.2">
      <c r="K40" s="23"/>
    </row>
    <row r="41" spans="10:11" x14ac:dyDescent="0.2">
      <c r="K41" s="23"/>
    </row>
    <row r="42" spans="10:11" x14ac:dyDescent="0.2">
      <c r="K42" s="23"/>
    </row>
    <row r="43" spans="10:11" x14ac:dyDescent="0.2">
      <c r="K43" s="23"/>
    </row>
    <row r="44" spans="10:11" x14ac:dyDescent="0.2">
      <c r="K44" s="23"/>
    </row>
    <row r="45" spans="10:11" x14ac:dyDescent="0.2">
      <c r="K45" s="23"/>
    </row>
    <row r="46" spans="10:11" x14ac:dyDescent="0.2">
      <c r="K46" s="23"/>
    </row>
    <row r="47" spans="10:11" x14ac:dyDescent="0.2">
      <c r="K47" s="23"/>
    </row>
    <row r="48" spans="10:11" x14ac:dyDescent="0.2">
      <c r="K48" s="23"/>
    </row>
    <row r="49" spans="11:11" x14ac:dyDescent="0.2">
      <c r="K49" s="23"/>
    </row>
    <row r="50" spans="11:11" x14ac:dyDescent="0.2">
      <c r="K50" s="23"/>
    </row>
    <row r="51" spans="11:11" x14ac:dyDescent="0.2">
      <c r="K51" s="23"/>
    </row>
    <row r="52" spans="11:11" x14ac:dyDescent="0.2">
      <c r="K52" s="23"/>
    </row>
    <row r="53" spans="11:11" x14ac:dyDescent="0.2">
      <c r="K53" s="23"/>
    </row>
    <row r="54" spans="11:11" x14ac:dyDescent="0.2">
      <c r="K54" s="23"/>
    </row>
    <row r="55" spans="11:11" x14ac:dyDescent="0.2">
      <c r="K55" s="23"/>
    </row>
    <row r="56" spans="11:11" x14ac:dyDescent="0.2">
      <c r="K56" s="23"/>
    </row>
    <row r="57" spans="11:11" x14ac:dyDescent="0.2">
      <c r="K57" s="23"/>
    </row>
    <row r="58" spans="11:11" x14ac:dyDescent="0.2">
      <c r="K58" s="23"/>
    </row>
    <row r="59" spans="11:11" x14ac:dyDescent="0.2">
      <c r="K59" s="23"/>
    </row>
    <row r="60" spans="11:11" x14ac:dyDescent="0.2">
      <c r="K60" s="23"/>
    </row>
    <row r="61" spans="11:11" x14ac:dyDescent="0.2">
      <c r="K61" s="23"/>
    </row>
    <row r="62" spans="11:11" x14ac:dyDescent="0.2">
      <c r="K62" s="23"/>
    </row>
    <row r="63" spans="11:11" x14ac:dyDescent="0.2">
      <c r="K63" s="23"/>
    </row>
    <row r="64" spans="11:11" x14ac:dyDescent="0.2">
      <c r="K64" s="23"/>
    </row>
    <row r="65" spans="11:11" x14ac:dyDescent="0.2">
      <c r="K65" s="23"/>
    </row>
    <row r="66" spans="11:11" x14ac:dyDescent="0.2">
      <c r="K66" s="23"/>
    </row>
    <row r="67" spans="11:11" x14ac:dyDescent="0.2">
      <c r="K67" s="23"/>
    </row>
    <row r="68" spans="11:11" x14ac:dyDescent="0.2">
      <c r="K68" s="23"/>
    </row>
    <row r="69" spans="11:11" x14ac:dyDescent="0.2">
      <c r="K69" s="23"/>
    </row>
    <row r="70" spans="11:11" x14ac:dyDescent="0.2">
      <c r="K70" s="23"/>
    </row>
    <row r="71" spans="11:11" ht="15" thickBot="1" x14ac:dyDescent="0.25">
      <c r="K71" s="24"/>
    </row>
  </sheetData>
  <mergeCells count="10">
    <mergeCell ref="A1:V1"/>
    <mergeCell ref="A11:J12"/>
    <mergeCell ref="Q18:S18"/>
    <mergeCell ref="L11:U12"/>
    <mergeCell ref="V11:V12"/>
    <mergeCell ref="W11:W12"/>
    <mergeCell ref="X11:X12"/>
    <mergeCell ref="Y11:Y12"/>
    <mergeCell ref="Z11:Z12"/>
    <mergeCell ref="AA11:AA1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339B1-DBA8-4E2E-8F1A-7550DC95311F}">
  <dimension ref="B2:F22"/>
  <sheetViews>
    <sheetView workbookViewId="0">
      <selection activeCell="F6" sqref="F6"/>
    </sheetView>
  </sheetViews>
  <sheetFormatPr defaultRowHeight="14.25" x14ac:dyDescent="0.2"/>
  <cols>
    <col min="2" max="2" width="13.5" bestFit="1" customWidth="1"/>
    <col min="3" max="3" width="15" customWidth="1"/>
    <col min="4" max="4" width="16" bestFit="1" customWidth="1"/>
    <col min="5" max="5" width="9.5" customWidth="1"/>
  </cols>
  <sheetData>
    <row r="2" spans="2:6" ht="15" x14ac:dyDescent="0.25">
      <c r="B2" s="114" t="s">
        <v>1342</v>
      </c>
      <c r="C2" s="114"/>
      <c r="D2" s="114"/>
      <c r="E2" s="114"/>
      <c r="F2" s="114"/>
    </row>
    <row r="3" spans="2:6" ht="15" x14ac:dyDescent="0.25">
      <c r="B3" s="37" t="s">
        <v>1334</v>
      </c>
      <c r="C3" s="37" t="s">
        <v>1335</v>
      </c>
      <c r="D3" s="37" t="s">
        <v>1321</v>
      </c>
      <c r="E3" s="37" t="s">
        <v>1339</v>
      </c>
      <c r="F3" s="37" t="s">
        <v>1336</v>
      </c>
    </row>
    <row r="4" spans="2:6" x14ac:dyDescent="0.2">
      <c r="B4" s="70" t="s">
        <v>4</v>
      </c>
      <c r="C4" s="5">
        <v>0.02</v>
      </c>
      <c r="D4" s="69">
        <v>0.2118104120882483</v>
      </c>
      <c r="E4" s="69">
        <v>0.1467732074173374</v>
      </c>
      <c r="F4" s="5">
        <v>1.3068489505911753</v>
      </c>
    </row>
    <row r="5" spans="2:6" x14ac:dyDescent="0.2">
      <c r="B5" s="70" t="s">
        <v>1338</v>
      </c>
      <c r="C5" s="5">
        <v>0.04</v>
      </c>
      <c r="D5" s="69">
        <v>0.21181041214821772</v>
      </c>
      <c r="E5" s="69">
        <v>0.14677320744185224</v>
      </c>
      <c r="F5" s="5">
        <v>1.170584299019864</v>
      </c>
    </row>
    <row r="6" spans="2:6" x14ac:dyDescent="0.2">
      <c r="B6" s="70" t="s">
        <v>3</v>
      </c>
      <c r="C6" s="5">
        <v>0.06</v>
      </c>
      <c r="D6" s="69">
        <v>0.2183476692887156</v>
      </c>
      <c r="E6" s="69">
        <v>0.15285654388648554</v>
      </c>
      <c r="F6" s="5">
        <v>1.0359233910607575</v>
      </c>
    </row>
    <row r="11" spans="2:6" ht="15" x14ac:dyDescent="0.25">
      <c r="B11" s="114" t="s">
        <v>1343</v>
      </c>
      <c r="C11" s="114"/>
      <c r="D11" s="114"/>
      <c r="E11" s="114"/>
    </row>
    <row r="12" spans="2:6" ht="15" x14ac:dyDescent="0.25">
      <c r="B12" s="37" t="s">
        <v>637</v>
      </c>
      <c r="C12" s="37" t="s">
        <v>1341</v>
      </c>
      <c r="D12" s="37" t="s">
        <v>1337</v>
      </c>
      <c r="E12" s="37" t="s">
        <v>1340</v>
      </c>
    </row>
    <row r="13" spans="2:6" x14ac:dyDescent="0.2">
      <c r="B13" s="70" t="s">
        <v>139</v>
      </c>
      <c r="C13" s="5">
        <v>0.2</v>
      </c>
      <c r="D13" s="5">
        <v>0.2</v>
      </c>
      <c r="E13" s="5">
        <v>0.2</v>
      </c>
    </row>
    <row r="14" spans="2:6" x14ac:dyDescent="0.2">
      <c r="B14" s="70" t="s">
        <v>630</v>
      </c>
      <c r="C14" s="5">
        <v>0</v>
      </c>
      <c r="D14" s="5">
        <v>0</v>
      </c>
      <c r="E14" s="5">
        <v>0</v>
      </c>
    </row>
    <row r="15" spans="2:6" x14ac:dyDescent="0.2">
      <c r="B15" s="70" t="s">
        <v>273</v>
      </c>
      <c r="C15" s="5">
        <v>0.25</v>
      </c>
      <c r="D15" s="5">
        <v>0.25</v>
      </c>
      <c r="E15" s="5">
        <v>0.25000000090120328</v>
      </c>
    </row>
    <row r="16" spans="2:6" x14ac:dyDescent="0.2">
      <c r="B16" s="70" t="s">
        <v>369</v>
      </c>
      <c r="C16" s="5">
        <v>0.15</v>
      </c>
      <c r="D16" s="5">
        <v>0.15</v>
      </c>
      <c r="E16" s="5">
        <v>0.15</v>
      </c>
    </row>
    <row r="17" spans="2:5" x14ac:dyDescent="0.2">
      <c r="B17" s="70" t="s">
        <v>503</v>
      </c>
      <c r="C17" s="5">
        <v>0.15</v>
      </c>
      <c r="D17" s="5">
        <v>0.15</v>
      </c>
      <c r="E17" s="5">
        <v>0.15</v>
      </c>
    </row>
    <row r="18" spans="2:5" x14ac:dyDescent="0.2">
      <c r="B18" s="70" t="s">
        <v>652</v>
      </c>
      <c r="C18" s="5">
        <v>0.1</v>
      </c>
      <c r="D18" s="5">
        <v>0.1</v>
      </c>
      <c r="E18" s="5">
        <v>5.2728607944510342E-2</v>
      </c>
    </row>
    <row r="19" spans="2:5" x14ac:dyDescent="0.2">
      <c r="B19" s="70" t="s">
        <v>783</v>
      </c>
      <c r="C19" s="5">
        <v>0</v>
      </c>
      <c r="D19" s="5">
        <v>0</v>
      </c>
      <c r="E19" s="5">
        <v>0</v>
      </c>
    </row>
    <row r="20" spans="2:5" x14ac:dyDescent="0.2">
      <c r="B20" s="70" t="s">
        <v>914</v>
      </c>
      <c r="C20" s="5">
        <v>0.1</v>
      </c>
      <c r="D20" s="5">
        <v>0.1</v>
      </c>
      <c r="E20" s="5">
        <v>0.14727139019562438</v>
      </c>
    </row>
    <row r="21" spans="2:5" x14ac:dyDescent="0.2">
      <c r="B21" s="70" t="s">
        <v>1042</v>
      </c>
      <c r="C21" s="5">
        <v>0</v>
      </c>
      <c r="D21" s="5">
        <v>0</v>
      </c>
      <c r="E21" s="5">
        <v>0</v>
      </c>
    </row>
    <row r="22" spans="2:5" x14ac:dyDescent="0.2">
      <c r="B22" s="70" t="s">
        <v>1174</v>
      </c>
      <c r="C22" s="5">
        <v>0.05</v>
      </c>
      <c r="D22" s="5">
        <v>0.05</v>
      </c>
      <c r="E22" s="5">
        <v>0.05</v>
      </c>
    </row>
  </sheetData>
  <mergeCells count="2">
    <mergeCell ref="B2:F2"/>
    <mergeCell ref="B11:E1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3E34-F1A7-4260-BBB8-5807B6F2ACF7}">
  <dimension ref="B2:AA162"/>
  <sheetViews>
    <sheetView zoomScale="70" zoomScaleNormal="70" workbookViewId="0">
      <selection activeCell="D19" sqref="D19"/>
    </sheetView>
  </sheetViews>
  <sheetFormatPr defaultRowHeight="14.25" x14ac:dyDescent="0.2"/>
  <cols>
    <col min="2" max="2" width="13.625" customWidth="1"/>
    <col min="3" max="3" width="11.125" customWidth="1"/>
    <col min="4" max="4" width="13.625" bestFit="1" customWidth="1"/>
    <col min="5" max="5" width="10.5" bestFit="1" customWidth="1"/>
    <col min="6" max="6" width="9.875" bestFit="1" customWidth="1"/>
    <col min="7" max="7" width="10.125" customWidth="1"/>
    <col min="8" max="8" width="12.125" customWidth="1"/>
    <col min="9" max="9" width="14" customWidth="1"/>
    <col min="10" max="10" width="9.75" customWidth="1"/>
    <col min="11" max="11" width="9.875" customWidth="1"/>
    <col min="14" max="14" width="15.625" customWidth="1"/>
    <col min="15" max="15" width="9.5" customWidth="1"/>
    <col min="16" max="16" width="10" customWidth="1"/>
    <col min="19" max="19" width="10.875" customWidth="1"/>
    <col min="20" max="20" width="15.75" customWidth="1"/>
    <col min="21" max="21" width="11.5" customWidth="1"/>
    <col min="22" max="22" width="10.75" customWidth="1"/>
    <col min="23" max="23" width="11.75" customWidth="1"/>
    <col min="24" max="24" width="10.5" customWidth="1"/>
    <col min="27" max="27" width="15" bestFit="1" customWidth="1"/>
  </cols>
  <sheetData>
    <row r="2" spans="2:27" ht="15.75" x14ac:dyDescent="0.25">
      <c r="B2" s="126" t="s">
        <v>1385</v>
      </c>
      <c r="C2" s="126"/>
      <c r="G2" s="127"/>
      <c r="H2" s="127"/>
      <c r="I2" s="129" t="s">
        <v>1409</v>
      </c>
      <c r="J2" s="129"/>
      <c r="K2" s="129"/>
      <c r="N2" s="129" t="s">
        <v>1410</v>
      </c>
      <c r="O2" s="129"/>
      <c r="P2" s="129"/>
      <c r="T2" t="s">
        <v>1403</v>
      </c>
      <c r="U2">
        <f>0.04/12</f>
        <v>3.3333333333333335E-3</v>
      </c>
    </row>
    <row r="3" spans="2:27" x14ac:dyDescent="0.2">
      <c r="B3" s="5" t="s">
        <v>1383</v>
      </c>
      <c r="C3" s="5" t="s">
        <v>1384</v>
      </c>
      <c r="I3" s="5" t="s">
        <v>1394</v>
      </c>
      <c r="J3" s="5" t="s">
        <v>1393</v>
      </c>
      <c r="K3" s="5" t="s">
        <v>1389</v>
      </c>
      <c r="N3" s="5" t="s">
        <v>1394</v>
      </c>
      <c r="O3" s="5" t="s">
        <v>1393</v>
      </c>
      <c r="P3" s="5" t="s">
        <v>1389</v>
      </c>
      <c r="T3" t="s">
        <v>1404</v>
      </c>
      <c r="U3">
        <v>0.04</v>
      </c>
    </row>
    <row r="4" spans="2:27" x14ac:dyDescent="0.2">
      <c r="B4" s="5">
        <v>0.7</v>
      </c>
      <c r="C4" s="5">
        <v>0.3</v>
      </c>
      <c r="I4" s="5" t="s">
        <v>1407</v>
      </c>
      <c r="J4" s="5">
        <f>AVERAGEIF($C$19:$C$1000,"Train",$D$19:$D$1000)</f>
        <v>1.2734211285785139E-2</v>
      </c>
      <c r="K4" s="5">
        <f>AVERAGEIF($C$19:$C$1000,"Test",$D$19:$D$1000)</f>
        <v>2.9175146185755989E-2</v>
      </c>
      <c r="N4" s="5" t="s">
        <v>1321</v>
      </c>
      <c r="O4" s="97">
        <f>(1+J4)^12-1</f>
        <v>0.16398068606075755</v>
      </c>
      <c r="P4" s="97">
        <f>(1+K4)^12-1</f>
        <v>0.41211958799266069</v>
      </c>
    </row>
    <row r="5" spans="2:27" x14ac:dyDescent="0.2">
      <c r="I5" s="5" t="s">
        <v>1339</v>
      </c>
      <c r="J5" s="5">
        <f t="array" ref="J5">_xlfn.STDEV.S(IF($C$19:$C$1000="Train",$D$19:$D$1000))</f>
        <v>4.3613499350142353E-2</v>
      </c>
      <c r="K5" s="5">
        <f t="array" ref="K5">_xlfn.STDEV.S(IF($C$19:$C$1000="Test",$D$19:$D$1000))</f>
        <v>3.9352198648987792E-2</v>
      </c>
      <c r="N5" s="5" t="s">
        <v>1339</v>
      </c>
      <c r="O5" s="5">
        <f>J5*SQRT(12)</f>
        <v>0.15108159354063752</v>
      </c>
      <c r="P5" s="5">
        <f>K5*SQRT(12)</f>
        <v>0.13632001489918036</v>
      </c>
    </row>
    <row r="6" spans="2:27" x14ac:dyDescent="0.2">
      <c r="I6" s="5" t="s">
        <v>1336</v>
      </c>
      <c r="J6" s="5">
        <f>(J4-$U$2)/J5</f>
        <v>0.21554972869704209</v>
      </c>
      <c r="K6" s="5">
        <f>(K4-$U$2)/K5</f>
        <v>0.65668028063502759</v>
      </c>
      <c r="N6" s="5" t="s">
        <v>1336</v>
      </c>
      <c r="O6" s="98">
        <f>J6*SQRT(12)</f>
        <v>0.74668616332192828</v>
      </c>
      <c r="P6" s="98">
        <f>K6*SQRT(12)</f>
        <v>2.2748072207769128</v>
      </c>
    </row>
    <row r="7" spans="2:27" ht="15" x14ac:dyDescent="0.25">
      <c r="B7" s="126" t="s">
        <v>1386</v>
      </c>
      <c r="C7" s="126"/>
      <c r="T7" s="128" t="s">
        <v>1417</v>
      </c>
      <c r="U7" s="128"/>
      <c r="V7" s="128"/>
      <c r="W7" s="128"/>
      <c r="X7" s="128"/>
      <c r="AA7" t="s">
        <v>1461</v>
      </c>
    </row>
    <row r="8" spans="2:27" x14ac:dyDescent="0.2">
      <c r="B8" s="5" t="s">
        <v>1387</v>
      </c>
      <c r="C8" s="5">
        <f>ROWS(Table_RawData[Date])</f>
        <v>133</v>
      </c>
      <c r="T8" s="5" t="s">
        <v>1394</v>
      </c>
      <c r="U8" s="5" t="s">
        <v>1415</v>
      </c>
      <c r="V8" s="5" t="s">
        <v>273</v>
      </c>
      <c r="W8" s="5" t="s">
        <v>1416</v>
      </c>
      <c r="AA8" s="99">
        <f>B159/B162</f>
        <v>0.71552932717462592</v>
      </c>
    </row>
    <row r="9" spans="2:27" x14ac:dyDescent="0.2">
      <c r="B9" s="5" t="s">
        <v>1388</v>
      </c>
      <c r="C9" s="5">
        <f>ROUND(C8*B4,0)</f>
        <v>93</v>
      </c>
      <c r="I9" s="130" t="s">
        <v>1406</v>
      </c>
      <c r="J9" s="130"/>
      <c r="K9" s="130"/>
      <c r="N9" s="130" t="s">
        <v>1408</v>
      </c>
      <c r="O9" s="130"/>
      <c r="P9" s="130"/>
      <c r="T9" s="5" t="s">
        <v>1321</v>
      </c>
      <c r="U9" s="5">
        <f>P4</f>
        <v>0.41211958799266069</v>
      </c>
      <c r="V9" s="97">
        <f>P11</f>
        <v>0.22885977354919507</v>
      </c>
      <c r="W9" s="5">
        <f>U9-V9</f>
        <v>0.18325981444346562</v>
      </c>
    </row>
    <row r="10" spans="2:27" x14ac:dyDescent="0.2">
      <c r="B10" s="5" t="s">
        <v>1389</v>
      </c>
      <c r="C10" s="5">
        <f>C8-C9</f>
        <v>40</v>
      </c>
      <c r="I10" s="5" t="s">
        <v>1394</v>
      </c>
      <c r="J10" s="5" t="s">
        <v>1393</v>
      </c>
      <c r="K10" s="5" t="s">
        <v>1389</v>
      </c>
      <c r="N10" s="5" t="s">
        <v>1394</v>
      </c>
      <c r="O10" s="5" t="s">
        <v>1393</v>
      </c>
      <c r="P10" s="5" t="s">
        <v>1389</v>
      </c>
      <c r="T10" s="5" t="s">
        <v>1339</v>
      </c>
      <c r="U10" s="5">
        <f>P5</f>
        <v>0.13632001489918036</v>
      </c>
      <c r="V10" s="5">
        <f>P12</f>
        <v>0.12837571678722901</v>
      </c>
      <c r="W10" s="5">
        <f>U10-V10</f>
        <v>7.9442981119513534E-3</v>
      </c>
    </row>
    <row r="11" spans="2:27" x14ac:dyDescent="0.2">
      <c r="B11" s="5" t="s">
        <v>1390</v>
      </c>
      <c r="C11" s="74">
        <f>INDEX(Table_RawData[Date],Out_of_Sample!C9)</f>
        <v>44805</v>
      </c>
      <c r="I11" s="5" t="s">
        <v>1407</v>
      </c>
      <c r="J11" s="5">
        <f>AVERAGEIF($C$19:$C$1000,"Train",$E$19:$E$1000)</f>
        <v>7.3986602212888159E-3</v>
      </c>
      <c r="K11" s="5">
        <f>AVERAGEIF($C$19:$C$1000,"Test",$E$19:$E$1000)</f>
        <v>1.7322213009735479E-2</v>
      </c>
      <c r="N11" s="5" t="s">
        <v>1321</v>
      </c>
      <c r="O11" s="5">
        <f>(1+J11)^12-1</f>
        <v>9.2487375917108539E-2</v>
      </c>
      <c r="P11" s="5">
        <f>(1+K11)^12-1</f>
        <v>0.22885977354919507</v>
      </c>
      <c r="T11" s="5" t="s">
        <v>1336</v>
      </c>
      <c r="U11" s="5">
        <f>P6</f>
        <v>2.2748072207769128</v>
      </c>
      <c r="V11" s="5">
        <f>P13</f>
        <v>1.4711487365029698</v>
      </c>
      <c r="W11" s="5">
        <f>U11-V11</f>
        <v>0.80365848427394293</v>
      </c>
    </row>
    <row r="12" spans="2:27" x14ac:dyDescent="0.2">
      <c r="B12" s="5" t="s">
        <v>1391</v>
      </c>
      <c r="C12" s="74">
        <f>INDEX(Table_RawData[Date],Out_of_Sample!C9+1)</f>
        <v>44835</v>
      </c>
      <c r="I12" s="5" t="s">
        <v>1339</v>
      </c>
      <c r="J12" s="5">
        <f t="array" ref="J12">_xlfn.STDEV.S(IF($C$19:$C$1000="Train",$E$19:$E$1000))</f>
        <v>4.5790551054059686E-2</v>
      </c>
      <c r="K12" s="5">
        <f t="array" ref="K12">_xlfn.STDEV.S(IF($C$19:$C$1000="Test",$E$19:$E$1000))</f>
        <v>3.7058877322258911E-2</v>
      </c>
      <c r="N12" s="5" t="s">
        <v>1339</v>
      </c>
      <c r="O12" s="5">
        <f>J12*SQRT(12)</f>
        <v>0.15862312186441596</v>
      </c>
      <c r="P12" s="5">
        <f>K12*SQRT(12)</f>
        <v>0.12837571678722901</v>
      </c>
    </row>
    <row r="13" spans="2:27" x14ac:dyDescent="0.2">
      <c r="I13" s="5" t="s">
        <v>1336</v>
      </c>
      <c r="J13" s="5">
        <f>(J11-$U$2)/J12</f>
        <v>8.8780912095947795E-2</v>
      </c>
      <c r="K13" s="5">
        <f>(K11-$U$2)/K12</f>
        <v>0.37747715762560119</v>
      </c>
      <c r="N13" s="5" t="s">
        <v>1336</v>
      </c>
      <c r="O13" s="5">
        <f>(O11-U3)/O12</f>
        <v>0.33089360050530608</v>
      </c>
      <c r="P13" s="5">
        <f>(P11-U3)/P12</f>
        <v>1.4711487365029698</v>
      </c>
    </row>
    <row r="17" spans="2:10" ht="42.75" x14ac:dyDescent="0.2">
      <c r="B17" s="85" t="s">
        <v>0</v>
      </c>
      <c r="C17" s="85" t="s">
        <v>1392</v>
      </c>
      <c r="D17" s="85" t="s">
        <v>1326</v>
      </c>
      <c r="E17" s="85" t="s">
        <v>1405</v>
      </c>
      <c r="F17" s="86" t="s">
        <v>1411</v>
      </c>
      <c r="G17" s="86" t="s">
        <v>1412</v>
      </c>
      <c r="H17" s="86" t="s">
        <v>1413</v>
      </c>
      <c r="I17" s="86" t="s">
        <v>1414</v>
      </c>
      <c r="J17" s="86" t="s">
        <v>1462</v>
      </c>
    </row>
    <row r="18" spans="2:10" x14ac:dyDescent="0.2">
      <c r="B18" s="82"/>
      <c r="C18" s="83" t="str">
        <f>IF(B18="","",IF(B18&lt;=$C$11,"Train","Test"))</f>
        <v/>
      </c>
      <c r="D18" s="17"/>
      <c r="E18" s="17"/>
      <c r="F18" s="17"/>
      <c r="G18" s="17"/>
      <c r="H18" s="17"/>
      <c r="I18" s="17"/>
      <c r="J18" s="17"/>
    </row>
    <row r="19" spans="2:10" x14ac:dyDescent="0.2">
      <c r="B19" s="79">
        <f>IFERROR(INDEX(Table_RawData[Date], ROWS($B$18:B19)), "")</f>
        <v>42036</v>
      </c>
      <c r="C19" s="78" t="str">
        <f t="shared" ref="C19:C82" si="0">IF(B19="","",IF(B19&lt;=$C$11,"Train","Test"))</f>
        <v>Train</v>
      </c>
      <c r="D19" s="5">
        <f t="array" ref="D19">MMULT(
INDEX(Returns!$B$3:$K$1000, MATCH($B19, Returns!$A$3:$A$1000, 0), 0),
Solver_Optimization!$C$28:$C$37
)</f>
        <v>5.3187883742838934E-2</v>
      </c>
      <c r="E19" s="5">
        <f>INDEX(Returns!$D$3:$D$1000, MATCH($B19, Returns!$A$3:$A$1000, 0))</f>
        <v>5.6204562547004233E-2</v>
      </c>
      <c r="F19" s="5">
        <f>1*(1+D19)</f>
        <v>1.053187883742839</v>
      </c>
      <c r="G19" s="5">
        <f>1*(1+E19)</f>
        <v>1.0562045625470042</v>
      </c>
      <c r="H19" s="5">
        <f>IF($C19="Train",$F19,NA())</f>
        <v>1.053187883742839</v>
      </c>
      <c r="I19" s="5" t="e">
        <f>IF($C19="Test",$F19,NA())</f>
        <v>#N/A</v>
      </c>
      <c r="J19" s="5">
        <f>D19-E19</f>
        <v>-3.0166788041652987E-3</v>
      </c>
    </row>
    <row r="20" spans="2:10" x14ac:dyDescent="0.2">
      <c r="B20" s="79">
        <f>IFERROR(INDEX(Table_RawData[Date], ROWS($B$18:B20)), "")</f>
        <v>42064</v>
      </c>
      <c r="C20" s="78" t="str">
        <f t="shared" si="0"/>
        <v>Train</v>
      </c>
      <c r="D20" s="5">
        <f t="array" ref="D20">MMULT(
INDEX(Returns!$B$3:$K$1000, MATCH($B20, Returns!$A$3:$A$1000, 0), 0),
Solver_Optimization!$C$28:$C$37
)</f>
        <v>-2.698759849419715E-2</v>
      </c>
      <c r="E20" s="5">
        <f>INDEX(Returns!$D$3:$D$1000, MATCH($B20, Returns!$A$3:$A$1000, 0))</f>
        <v>-2.0079749359156907E-2</v>
      </c>
      <c r="F20" s="5">
        <f>F19*(1+D20)</f>
        <v>1.024764871997434</v>
      </c>
      <c r="G20" s="5">
        <f>G19*(1+E20)</f>
        <v>1.0349962396590624</v>
      </c>
      <c r="H20" s="5">
        <f t="shared" ref="H20:H83" si="1">IF($C20="Train",$F20,NA())</f>
        <v>1.024764871997434</v>
      </c>
      <c r="I20" s="5" t="e">
        <f t="shared" ref="I20:I83" si="2">IF($C20="Test",$F20,NA())</f>
        <v>#N/A</v>
      </c>
      <c r="J20" s="5">
        <f t="shared" ref="J20:J83" si="3">D20-E20</f>
        <v>-6.9078491350402435E-3</v>
      </c>
    </row>
    <row r="21" spans="2:10" x14ac:dyDescent="0.2">
      <c r="B21" s="79">
        <f>IFERROR(INDEX(Table_RawData[Date], ROWS($B$18:B21)), "")</f>
        <v>42095</v>
      </c>
      <c r="C21" s="78" t="str">
        <f t="shared" si="0"/>
        <v>Train</v>
      </c>
      <c r="D21" s="5">
        <f t="array" ref="D21">MMULT(
INDEX(Returns!$B$3:$K$1000, MATCH($B21, Returns!$A$3:$A$1000, 0), 0),
Solver_Optimization!$C$28:$C$37
)</f>
        <v>1.6568686875070078E-2</v>
      </c>
      <c r="E21" s="5">
        <f>INDEX(Returns!$D$3:$D$1000, MATCH($B21, Returns!$A$3:$A$1000, 0))</f>
        <v>9.8338419803323252E-3</v>
      </c>
      <c r="F21" s="5">
        <f t="shared" ref="F21:F84" si="4">F20*(1+D21)</f>
        <v>1.0417438802821308</v>
      </c>
      <c r="G21" s="5">
        <f t="shared" ref="G21:G84" si="5">G20*(1+E21)</f>
        <v>1.0451742291301078</v>
      </c>
      <c r="H21" s="5">
        <f t="shared" si="1"/>
        <v>1.0417438802821308</v>
      </c>
      <c r="I21" s="5" t="e">
        <f t="shared" si="2"/>
        <v>#N/A</v>
      </c>
      <c r="J21" s="5">
        <f t="shared" si="3"/>
        <v>6.7348448947377529E-3</v>
      </c>
    </row>
    <row r="22" spans="2:10" x14ac:dyDescent="0.2">
      <c r="B22" s="79">
        <f>IFERROR(INDEX(Table_RawData[Date], ROWS($B$18:B22)), "")</f>
        <v>42125</v>
      </c>
      <c r="C22" s="78" t="str">
        <f t="shared" si="0"/>
        <v>Train</v>
      </c>
      <c r="D22" s="5">
        <f t="array" ref="D22">MMULT(
INDEX(Returns!$B$3:$K$1000, MATCH($B22, Returns!$A$3:$A$1000, 0), 0),
Solver_Optimization!$C$28:$C$37
)</f>
        <v>1.0184520062027306E-2</v>
      </c>
      <c r="E22" s="5">
        <f>INDEX(Returns!$D$3:$D$1000, MATCH($B22, Returns!$A$3:$A$1000, 0))</f>
        <v>1.2856183440468127E-2</v>
      </c>
      <c r="F22" s="5">
        <f t="shared" si="4"/>
        <v>1.0523535417303584</v>
      </c>
      <c r="G22" s="5">
        <f t="shared" si="5"/>
        <v>1.0586111807470544</v>
      </c>
      <c r="H22" s="5">
        <f t="shared" si="1"/>
        <v>1.0523535417303584</v>
      </c>
      <c r="I22" s="5" t="e">
        <f t="shared" si="2"/>
        <v>#N/A</v>
      </c>
      <c r="J22" s="5">
        <f t="shared" si="3"/>
        <v>-2.6716633784408216E-3</v>
      </c>
    </row>
    <row r="23" spans="2:10" x14ac:dyDescent="0.2">
      <c r="B23" s="79">
        <f>IFERROR(INDEX(Table_RawData[Date], ROWS($B$18:B23)), "")</f>
        <v>42156</v>
      </c>
      <c r="C23" s="78" t="str">
        <f t="shared" si="0"/>
        <v>Train</v>
      </c>
      <c r="D23" s="5">
        <f t="array" ref="D23">MMULT(
INDEX(Returns!$B$3:$K$1000, MATCH($B23, Returns!$A$3:$A$1000, 0), 0),
Solver_Optimization!$C$28:$C$37
)</f>
        <v>-2.7888594036151307E-2</v>
      </c>
      <c r="E23" s="5">
        <f>INDEX(Returns!$D$3:$D$1000, MATCH($B23, Returns!$A$3:$A$1000, 0))</f>
        <v>-2.5054466230936767E-2</v>
      </c>
      <c r="F23" s="5">
        <f t="shared" si="4"/>
        <v>1.0230048810225345</v>
      </c>
      <c r="G23" s="5">
        <f t="shared" si="5"/>
        <v>1.0320882426673352</v>
      </c>
      <c r="H23" s="5">
        <f t="shared" si="1"/>
        <v>1.0230048810225345</v>
      </c>
      <c r="I23" s="5" t="e">
        <f t="shared" si="2"/>
        <v>#N/A</v>
      </c>
      <c r="J23" s="5">
        <f t="shared" si="3"/>
        <v>-2.8341278052145397E-3</v>
      </c>
    </row>
    <row r="24" spans="2:10" x14ac:dyDescent="0.2">
      <c r="B24" s="79">
        <f>IFERROR(INDEX(Table_RawData[Date], ROWS($B$18:B24)), "")</f>
        <v>42186</v>
      </c>
      <c r="C24" s="78" t="str">
        <f t="shared" si="0"/>
        <v>Train</v>
      </c>
      <c r="D24" s="5">
        <f t="array" ref="D24">MMULT(
INDEX(Returns!$B$3:$K$1000, MATCH($B24, Returns!$A$3:$A$1000, 0), 0),
Solver_Optimization!$C$28:$C$37
)</f>
        <v>-5.3017621103100872E-3</v>
      </c>
      <c r="E24" s="5">
        <f>INDEX(Returns!$D$3:$D$1000, MATCH($B24, Returns!$A$3:$A$1000, 0))</f>
        <v>2.2589264027204292E-2</v>
      </c>
      <c r="F24" s="5">
        <f t="shared" si="4"/>
        <v>1.0175811525056671</v>
      </c>
      <c r="G24" s="5">
        <f t="shared" si="5"/>
        <v>1.055402356480321</v>
      </c>
      <c r="H24" s="5">
        <f t="shared" si="1"/>
        <v>1.0175811525056671</v>
      </c>
      <c r="I24" s="5" t="e">
        <f t="shared" si="2"/>
        <v>#N/A</v>
      </c>
      <c r="J24" s="5">
        <f t="shared" si="3"/>
        <v>-2.7891026137514381E-2</v>
      </c>
    </row>
    <row r="25" spans="2:10" x14ac:dyDescent="0.2">
      <c r="B25" s="79">
        <f>IFERROR(INDEX(Table_RawData[Date], ROWS($B$18:B25)), "")</f>
        <v>42217</v>
      </c>
      <c r="C25" s="78" t="str">
        <f t="shared" si="0"/>
        <v>Train</v>
      </c>
      <c r="D25" s="5">
        <f t="array" ref="D25">MMULT(
INDEX(Returns!$B$3:$K$1000, MATCH($B25, Returns!$A$3:$A$1000, 0), 0),
Solver_Optimization!$C$28:$C$37
)</f>
        <v>-1.656392172102281E-2</v>
      </c>
      <c r="E25" s="5">
        <f>INDEX(Returns!$D$3:$D$1000, MATCH($B25, Returns!$A$3:$A$1000, 0))</f>
        <v>-6.0950118764845684E-2</v>
      </c>
      <c r="F25" s="5">
        <f t="shared" si="4"/>
        <v>1.0007260179507751</v>
      </c>
      <c r="G25" s="5">
        <f t="shared" si="5"/>
        <v>0.99107545750814741</v>
      </c>
      <c r="H25" s="5">
        <f t="shared" si="1"/>
        <v>1.0007260179507751</v>
      </c>
      <c r="I25" s="5" t="e">
        <f t="shared" si="2"/>
        <v>#N/A</v>
      </c>
      <c r="J25" s="5">
        <f t="shared" si="3"/>
        <v>4.4386197043822878E-2</v>
      </c>
    </row>
    <row r="26" spans="2:10" x14ac:dyDescent="0.2">
      <c r="B26" s="79">
        <f>IFERROR(INDEX(Table_RawData[Date], ROWS($B$18:B26)), "")</f>
        <v>42248</v>
      </c>
      <c r="C26" s="78" t="str">
        <f t="shared" si="0"/>
        <v>Train</v>
      </c>
      <c r="D26" s="5">
        <f t="array" ref="D26">MMULT(
INDEX(Returns!$B$3:$K$1000, MATCH($B26, Returns!$A$3:$A$1000, 0), 0),
Solver_Optimization!$C$28:$C$37
)</f>
        <v>-3.8547198399667844E-3</v>
      </c>
      <c r="E26" s="5">
        <f>INDEX(Returns!$D$3:$D$1000, MATCH($B26, Returns!$A$3:$A$1000, 0))</f>
        <v>-3.0555977133606471E-2</v>
      </c>
      <c r="F26" s="5">
        <f t="shared" si="4"/>
        <v>0.99686849951500933</v>
      </c>
      <c r="G26" s="5">
        <f t="shared" si="5"/>
        <v>0.96079217849084986</v>
      </c>
      <c r="H26" s="5">
        <f t="shared" si="1"/>
        <v>0.99686849951500933</v>
      </c>
      <c r="I26" s="5" t="e">
        <f t="shared" si="2"/>
        <v>#N/A</v>
      </c>
      <c r="J26" s="5">
        <f t="shared" si="3"/>
        <v>2.6701257293639688E-2</v>
      </c>
    </row>
    <row r="27" spans="2:10" x14ac:dyDescent="0.2">
      <c r="B27" s="79">
        <f>IFERROR(INDEX(Table_RawData[Date], ROWS($B$18:B27)), "")</f>
        <v>42278</v>
      </c>
      <c r="C27" s="78" t="str">
        <f t="shared" si="0"/>
        <v>Train</v>
      </c>
      <c r="D27" s="5">
        <f t="array" ref="D27">MMULT(
INDEX(Returns!$B$3:$K$1000, MATCH($B27, Returns!$A$3:$A$1000, 0), 0),
Solver_Optimization!$C$28:$C$37
)</f>
        <v>7.7972358843800729E-2</v>
      </c>
      <c r="E27" s="5">
        <f>INDEX(Returns!$D$3:$D$1000, MATCH($B27, Returns!$A$3:$A$1000, 0))</f>
        <v>8.5059750560976921E-2</v>
      </c>
      <c r="F27" s="5">
        <f t="shared" si="4"/>
        <v>1.074596687879275</v>
      </c>
      <c r="G27" s="5">
        <f t="shared" si="5"/>
        <v>1.0425169215342192</v>
      </c>
      <c r="H27" s="5">
        <f t="shared" si="1"/>
        <v>1.074596687879275</v>
      </c>
      <c r="I27" s="5" t="e">
        <f t="shared" si="2"/>
        <v>#N/A</v>
      </c>
      <c r="J27" s="5">
        <f t="shared" si="3"/>
        <v>-7.0873917171761919E-3</v>
      </c>
    </row>
    <row r="28" spans="2:10" x14ac:dyDescent="0.2">
      <c r="B28" s="79">
        <f>IFERROR(INDEX(Table_RawData[Date], ROWS($B$18:B28)), "")</f>
        <v>42309</v>
      </c>
      <c r="C28" s="78" t="str">
        <f t="shared" si="0"/>
        <v>Train</v>
      </c>
      <c r="D28" s="5">
        <f t="array" ref="D28">MMULT(
INDEX(Returns!$B$3:$K$1000, MATCH($B28, Returns!$A$3:$A$1000, 0), 0),
Solver_Optimization!$C$28:$C$37
)</f>
        <v>7.1975376271045128E-3</v>
      </c>
      <c r="E28" s="5">
        <f>INDEX(Returns!$D$3:$D$1000, MATCH($B28, Returns!$A$3:$A$1000, 0))</f>
        <v>3.655076227576437E-3</v>
      </c>
      <c r="F28" s="5">
        <f t="shared" si="4"/>
        <v>1.082331137974248</v>
      </c>
      <c r="G28" s="5">
        <f t="shared" si="5"/>
        <v>1.0463274003509651</v>
      </c>
      <c r="H28" s="5">
        <f t="shared" si="1"/>
        <v>1.082331137974248</v>
      </c>
      <c r="I28" s="5" t="e">
        <f t="shared" si="2"/>
        <v>#N/A</v>
      </c>
      <c r="J28" s="5">
        <f t="shared" si="3"/>
        <v>3.5424613995280758E-3</v>
      </c>
    </row>
    <row r="29" spans="2:10" x14ac:dyDescent="0.2">
      <c r="B29" s="79">
        <f>IFERROR(INDEX(Table_RawData[Date], ROWS($B$18:B29)), "")</f>
        <v>42339</v>
      </c>
      <c r="C29" s="78" t="str">
        <f t="shared" si="0"/>
        <v>Train</v>
      </c>
      <c r="D29" s="5">
        <f t="array" ref="D29">MMULT(
INDEX(Returns!$B$3:$K$1000, MATCH($B29, Returns!$A$3:$A$1000, 0), 0),
Solver_Optimization!$C$28:$C$37
)</f>
        <v>-1.9826405126606708E-3</v>
      </c>
      <c r="E29" s="5">
        <f>INDEX(Returns!$D$3:$D$1000, MATCH($B29, Returns!$A$3:$A$1000, 0))</f>
        <v>-2.3096458862427505E-2</v>
      </c>
      <c r="F29" s="5">
        <f t="shared" si="4"/>
        <v>1.0801852644119863</v>
      </c>
      <c r="G29" s="5">
        <f t="shared" si="5"/>
        <v>1.0221609425921283</v>
      </c>
      <c r="H29" s="5">
        <f t="shared" si="1"/>
        <v>1.0801852644119863</v>
      </c>
      <c r="I29" s="5" t="e">
        <f t="shared" si="2"/>
        <v>#N/A</v>
      </c>
      <c r="J29" s="5">
        <f t="shared" si="3"/>
        <v>2.1113818349766833E-2</v>
      </c>
    </row>
    <row r="30" spans="2:10" x14ac:dyDescent="0.2">
      <c r="B30" s="79">
        <f>IFERROR(INDEX(Table_RawData[Date], ROWS($B$18:B30)), "")</f>
        <v>42370</v>
      </c>
      <c r="C30" s="78" t="str">
        <f t="shared" si="0"/>
        <v>Train</v>
      </c>
      <c r="D30" s="5">
        <f t="array" ref="D30">MMULT(
INDEX(Returns!$B$3:$K$1000, MATCH($B30, Returns!$A$3:$A$1000, 0), 0),
Solver_Optimization!$C$28:$C$37
)</f>
        <v>-3.6642688261993392E-2</v>
      </c>
      <c r="E30" s="5">
        <f>INDEX(Returns!$D$3:$D$1000, MATCH($B30, Returns!$A$3:$A$1000, 0))</f>
        <v>-4.9786628733997196E-2</v>
      </c>
      <c r="F30" s="5">
        <f t="shared" si="4"/>
        <v>1.040604372502939</v>
      </c>
      <c r="G30" s="5">
        <f t="shared" si="5"/>
        <v>0.97127099523690141</v>
      </c>
      <c r="H30" s="5">
        <f t="shared" si="1"/>
        <v>1.040604372502939</v>
      </c>
      <c r="I30" s="5" t="e">
        <f t="shared" si="2"/>
        <v>#N/A</v>
      </c>
      <c r="J30" s="5">
        <f t="shared" si="3"/>
        <v>1.3143940472003804E-2</v>
      </c>
    </row>
    <row r="31" spans="2:10" x14ac:dyDescent="0.2">
      <c r="B31" s="79">
        <f>IFERROR(INDEX(Table_RawData[Date], ROWS($B$18:B31)), "")</f>
        <v>42401</v>
      </c>
      <c r="C31" s="78" t="str">
        <f t="shared" si="0"/>
        <v>Train</v>
      </c>
      <c r="D31" s="5">
        <f t="array" ref="D31">MMULT(
INDEX(Returns!$B$3:$K$1000, MATCH($B31, Returns!$A$3:$A$1000, 0), 0),
Solver_Optimization!$C$28:$C$37
)</f>
        <v>2.214839243084786E-2</v>
      </c>
      <c r="E31" s="5">
        <f>INDEX(Returns!$D$3:$D$1000, MATCH($B31, Returns!$A$3:$A$1000, 0))</f>
        <v>-8.2593433822009121E-4</v>
      </c>
      <c r="F31" s="5">
        <f t="shared" si="4"/>
        <v>1.0636520865103902</v>
      </c>
      <c r="G31" s="5">
        <f t="shared" si="5"/>
        <v>0.97046878917021806</v>
      </c>
      <c r="H31" s="5">
        <f t="shared" si="1"/>
        <v>1.0636520865103902</v>
      </c>
      <c r="I31" s="5" t="e">
        <f t="shared" si="2"/>
        <v>#N/A</v>
      </c>
      <c r="J31" s="5">
        <f t="shared" si="3"/>
        <v>2.2974326769067951E-2</v>
      </c>
    </row>
    <row r="32" spans="2:10" x14ac:dyDescent="0.2">
      <c r="B32" s="79">
        <f>IFERROR(INDEX(Table_RawData[Date], ROWS($B$18:B32)), "")</f>
        <v>42430</v>
      </c>
      <c r="C32" s="78" t="str">
        <f t="shared" si="0"/>
        <v>Train</v>
      </c>
      <c r="D32" s="5">
        <f t="array" ref="D32">MMULT(
INDEX(Returns!$B$3:$K$1000, MATCH($B32, Returns!$A$3:$A$1000, 0), 0),
Solver_Optimization!$C$28:$C$37
)</f>
        <v>5.9373254978486611E-2</v>
      </c>
      <c r="E32" s="5">
        <f>INDEX(Returns!$D$3:$D$1000, MATCH($B32, Returns!$A$3:$A$1000, 0))</f>
        <v>6.1789625955775973E-2</v>
      </c>
      <c r="F32" s="5">
        <f t="shared" si="4"/>
        <v>1.1268045730511709</v>
      </c>
      <c r="G32" s="5">
        <f t="shared" si="5"/>
        <v>1.0304336926548006</v>
      </c>
      <c r="H32" s="5">
        <f t="shared" si="1"/>
        <v>1.1268045730511709</v>
      </c>
      <c r="I32" s="5" t="e">
        <f t="shared" si="2"/>
        <v>#N/A</v>
      </c>
      <c r="J32" s="5">
        <f t="shared" si="3"/>
        <v>-2.4163709772893616E-3</v>
      </c>
    </row>
    <row r="33" spans="2:10" x14ac:dyDescent="0.2">
      <c r="B33" s="79">
        <f>IFERROR(INDEX(Table_RawData[Date], ROWS($B$18:B33)), "")</f>
        <v>42461</v>
      </c>
      <c r="C33" s="78" t="str">
        <f t="shared" si="0"/>
        <v>Train</v>
      </c>
      <c r="D33" s="5">
        <f t="array" ref="D33">MMULT(
INDEX(Returns!$B$3:$K$1000, MATCH($B33, Returns!$A$3:$A$1000, 0), 0),
Solver_Optimization!$C$28:$C$37
)</f>
        <v>9.3308677511065915E-3</v>
      </c>
      <c r="E33" s="5">
        <f>INDEX(Returns!$D$3:$D$1000, MATCH($B33, Returns!$A$3:$A$1000, 0))</f>
        <v>3.9412222654728879E-3</v>
      </c>
      <c r="F33" s="5">
        <f t="shared" si="4"/>
        <v>1.1373186375036535</v>
      </c>
      <c r="G33" s="5">
        <f t="shared" si="5"/>
        <v>1.0344948608673852</v>
      </c>
      <c r="H33" s="5">
        <f t="shared" si="1"/>
        <v>1.1373186375036535</v>
      </c>
      <c r="I33" s="5" t="e">
        <f t="shared" si="2"/>
        <v>#N/A</v>
      </c>
      <c r="J33" s="5">
        <f t="shared" si="3"/>
        <v>5.3896454856337036E-3</v>
      </c>
    </row>
    <row r="34" spans="2:10" x14ac:dyDescent="0.2">
      <c r="B34" s="79">
        <f>IFERROR(INDEX(Table_RawData[Date], ROWS($B$18:B34)), "")</f>
        <v>42491</v>
      </c>
      <c r="C34" s="78" t="str">
        <f t="shared" si="0"/>
        <v>Train</v>
      </c>
      <c r="D34" s="5">
        <f t="array" ref="D34">MMULT(
INDEX(Returns!$B$3:$K$1000, MATCH($B34, Returns!$A$3:$A$1000, 0), 0),
Solver_Optimization!$C$28:$C$37
)</f>
        <v>5.1117084640910242E-2</v>
      </c>
      <c r="E34" s="5">
        <f>INDEX(Returns!$D$3:$D$1000, MATCH($B34, Returns!$A$3:$A$1000, 0))</f>
        <v>1.7011583385838192E-2</v>
      </c>
      <c r="F34" s="5">
        <f t="shared" si="4"/>
        <v>1.1954550505606123</v>
      </c>
      <c r="G34" s="5">
        <f t="shared" si="5"/>
        <v>1.0520932564552519</v>
      </c>
      <c r="H34" s="5">
        <f t="shared" si="1"/>
        <v>1.1954550505606123</v>
      </c>
      <c r="I34" s="5" t="e">
        <f t="shared" si="2"/>
        <v>#N/A</v>
      </c>
      <c r="J34" s="5">
        <f t="shared" si="3"/>
        <v>3.410550125507205E-2</v>
      </c>
    </row>
    <row r="35" spans="2:10" x14ac:dyDescent="0.2">
      <c r="B35" s="79">
        <f>IFERROR(INDEX(Table_RawData[Date], ROWS($B$18:B35)), "")</f>
        <v>42522</v>
      </c>
      <c r="C35" s="78" t="str">
        <f t="shared" si="0"/>
        <v>Train</v>
      </c>
      <c r="D35" s="5">
        <f t="array" ref="D35">MMULT(
INDEX(Returns!$B$3:$K$1000, MATCH($B35, Returns!$A$3:$A$1000, 0), 0),
Solver_Optimization!$C$28:$C$37
)</f>
        <v>1.3452797731149201E-2</v>
      </c>
      <c r="E35" s="5">
        <f>INDEX(Returns!$D$3:$D$1000, MATCH($B35, Returns!$A$3:$A$1000, 0))</f>
        <v>-1.7632481890964558E-3</v>
      </c>
      <c r="F35" s="5">
        <f t="shared" si="4"/>
        <v>1.211537265552485</v>
      </c>
      <c r="G35" s="5">
        <f t="shared" si="5"/>
        <v>1.0502381549260467</v>
      </c>
      <c r="H35" s="5">
        <f t="shared" si="1"/>
        <v>1.211537265552485</v>
      </c>
      <c r="I35" s="5" t="e">
        <f t="shared" si="2"/>
        <v>#N/A</v>
      </c>
      <c r="J35" s="5">
        <f t="shared" si="3"/>
        <v>1.5216045920245657E-2</v>
      </c>
    </row>
    <row r="36" spans="2:10" x14ac:dyDescent="0.2">
      <c r="B36" s="79">
        <f>IFERROR(INDEX(Table_RawData[Date], ROWS($B$18:B36)), "")</f>
        <v>42552</v>
      </c>
      <c r="C36" s="78" t="str">
        <f t="shared" si="0"/>
        <v>Train</v>
      </c>
      <c r="D36" s="5">
        <f t="array" ref="D36">MMULT(
INDEX(Returns!$B$3:$K$1000, MATCH($B36, Returns!$A$3:$A$1000, 0), 0),
Solver_Optimization!$C$28:$C$37
)</f>
        <v>6.2529748446856936E-2</v>
      </c>
      <c r="E36" s="5">
        <f>INDEX(Returns!$D$3:$D$1000, MATCH($B36, Returns!$A$3:$A$1000, 0))</f>
        <v>3.6520742827135244E-2</v>
      </c>
      <c r="F36" s="5">
        <f t="shared" si="4"/>
        <v>1.2872943860014749</v>
      </c>
      <c r="G36" s="5">
        <f t="shared" si="5"/>
        <v>1.0885936324893459</v>
      </c>
      <c r="H36" s="5">
        <f t="shared" si="1"/>
        <v>1.2872943860014749</v>
      </c>
      <c r="I36" s="5" t="e">
        <f t="shared" si="2"/>
        <v>#N/A</v>
      </c>
      <c r="J36" s="5">
        <f t="shared" si="3"/>
        <v>2.6009005619721692E-2</v>
      </c>
    </row>
    <row r="37" spans="2:10" x14ac:dyDescent="0.2">
      <c r="B37" s="79">
        <f>IFERROR(INDEX(Table_RawData[Date], ROWS($B$18:B37)), "")</f>
        <v>42583</v>
      </c>
      <c r="C37" s="78" t="str">
        <f t="shared" si="0"/>
        <v>Train</v>
      </c>
      <c r="D37" s="5">
        <f t="array" ref="D37">MMULT(
INDEX(Returns!$B$3:$K$1000, MATCH($B37, Returns!$A$3:$A$1000, 0), 0),
Solver_Optimization!$C$28:$C$37
)</f>
        <v>1.5532497967518899E-2</v>
      </c>
      <c r="E37" s="5">
        <f>INDEX(Returns!$D$3:$D$1000, MATCH($B37, Returns!$A$3:$A$1000, 0))</f>
        <v>1.1974944731023562E-3</v>
      </c>
      <c r="F37" s="5">
        <f t="shared" si="4"/>
        <v>1.3072892834356413</v>
      </c>
      <c r="G37" s="5">
        <f t="shared" si="5"/>
        <v>1.0898972173477064</v>
      </c>
      <c r="H37" s="5">
        <f t="shared" si="1"/>
        <v>1.3072892834356413</v>
      </c>
      <c r="I37" s="5" t="e">
        <f t="shared" si="2"/>
        <v>#N/A</v>
      </c>
      <c r="J37" s="5">
        <f t="shared" si="3"/>
        <v>1.4335003494416543E-2</v>
      </c>
    </row>
    <row r="38" spans="2:10" x14ac:dyDescent="0.2">
      <c r="B38" s="79">
        <f>IFERROR(INDEX(Table_RawData[Date], ROWS($B$18:B38)), "")</f>
        <v>42614</v>
      </c>
      <c r="C38" s="78" t="str">
        <f t="shared" si="0"/>
        <v>Train</v>
      </c>
      <c r="D38" s="5">
        <f t="array" ref="D38">MMULT(
INDEX(Returns!$B$3:$K$1000, MATCH($B38, Returns!$A$3:$A$1000, 0), 0),
Solver_Optimization!$C$28:$C$37
)</f>
        <v>2.2931434359941705E-2</v>
      </c>
      <c r="E38" s="5">
        <f>INDEX(Returns!$D$3:$D$1000, MATCH($B38, Returns!$A$3:$A$1000, 0))</f>
        <v>-4.9682583494341515E-3</v>
      </c>
      <c r="F38" s="5">
        <f t="shared" si="4"/>
        <v>1.3372673018282009</v>
      </c>
      <c r="G38" s="5">
        <f t="shared" si="5"/>
        <v>1.0844823263975936</v>
      </c>
      <c r="H38" s="5">
        <f t="shared" si="1"/>
        <v>1.3372673018282009</v>
      </c>
      <c r="I38" s="5" t="e">
        <f t="shared" si="2"/>
        <v>#N/A</v>
      </c>
      <c r="J38" s="5">
        <f t="shared" si="3"/>
        <v>2.7899692709375857E-2</v>
      </c>
    </row>
    <row r="39" spans="2:10" x14ac:dyDescent="0.2">
      <c r="B39" s="79">
        <f>IFERROR(INDEX(Table_RawData[Date], ROWS($B$18:B39)), "")</f>
        <v>42644</v>
      </c>
      <c r="C39" s="78" t="str">
        <f t="shared" si="0"/>
        <v>Train</v>
      </c>
      <c r="D39" s="5">
        <f t="array" ref="D39">MMULT(
INDEX(Returns!$B$3:$K$1000, MATCH($B39, Returns!$A$3:$A$1000, 0), 0),
Solver_Optimization!$C$28:$C$37
)</f>
        <v>-5.1242384483003844E-3</v>
      </c>
      <c r="E39" s="5">
        <f>INDEX(Returns!$D$3:$D$1000, MATCH($B39, Returns!$A$3:$A$1000, 0))</f>
        <v>-1.7337031900138689E-2</v>
      </c>
      <c r="F39" s="5">
        <f t="shared" si="4"/>
        <v>1.3304148253045178</v>
      </c>
      <c r="G39" s="5">
        <f t="shared" si="5"/>
        <v>1.0656806217097019</v>
      </c>
      <c r="H39" s="5">
        <f t="shared" si="1"/>
        <v>1.3304148253045178</v>
      </c>
      <c r="I39" s="5" t="e">
        <f t="shared" si="2"/>
        <v>#N/A</v>
      </c>
      <c r="J39" s="5">
        <f t="shared" si="3"/>
        <v>1.2212793451838304E-2</v>
      </c>
    </row>
    <row r="40" spans="2:10" x14ac:dyDescent="0.2">
      <c r="B40" s="79">
        <f>IFERROR(INDEX(Table_RawData[Date], ROWS($B$18:B40)), "")</f>
        <v>42675</v>
      </c>
      <c r="C40" s="78" t="str">
        <f t="shared" si="0"/>
        <v>Train</v>
      </c>
      <c r="D40" s="5">
        <f t="array" ref="D40">MMULT(
INDEX(Returns!$B$3:$K$1000, MATCH($B40, Returns!$A$3:$A$1000, 0), 0),
Solver_Optimization!$C$28:$C$37
)</f>
        <v>4.7696858632899235E-2</v>
      </c>
      <c r="E40" s="5">
        <f>INDEX(Returns!$D$3:$D$1000, MATCH($B40, Returns!$A$3:$A$1000, 0))</f>
        <v>3.683839096683128E-2</v>
      </c>
      <c r="F40" s="5">
        <f t="shared" si="4"/>
        <v>1.3938714331501807</v>
      </c>
      <c r="G40" s="5">
        <f t="shared" si="5"/>
        <v>1.1049385810980197</v>
      </c>
      <c r="H40" s="5">
        <f t="shared" si="1"/>
        <v>1.3938714331501807</v>
      </c>
      <c r="I40" s="5" t="e">
        <f t="shared" si="2"/>
        <v>#N/A</v>
      </c>
      <c r="J40" s="5">
        <f t="shared" si="3"/>
        <v>1.0858467666067954E-2</v>
      </c>
    </row>
    <row r="41" spans="2:10" x14ac:dyDescent="0.2">
      <c r="B41" s="79">
        <f>IFERROR(INDEX(Table_RawData[Date], ROWS($B$18:B41)), "")</f>
        <v>42705</v>
      </c>
      <c r="C41" s="78" t="str">
        <f t="shared" si="0"/>
        <v>Train</v>
      </c>
      <c r="D41" s="5">
        <f t="array" ref="D41">MMULT(
INDEX(Returns!$B$3:$K$1000, MATCH($B41, Returns!$A$3:$A$1000, 0), 0),
Solver_Optimization!$C$28:$C$37
)</f>
        <v>3.4702609186552595E-2</v>
      </c>
      <c r="E41" s="5">
        <f>INDEX(Returns!$D$3:$D$1000, MATCH($B41, Returns!$A$3:$A$1000, 0))</f>
        <v>1.4293493057446316E-2</v>
      </c>
      <c r="F41" s="5">
        <f t="shared" si="4"/>
        <v>1.4422424087510912</v>
      </c>
      <c r="G41" s="5">
        <f t="shared" si="5"/>
        <v>1.1207320130358489</v>
      </c>
      <c r="H41" s="5">
        <f t="shared" si="1"/>
        <v>1.4422424087510912</v>
      </c>
      <c r="I41" s="5" t="e">
        <f t="shared" si="2"/>
        <v>#N/A</v>
      </c>
      <c r="J41" s="5">
        <f t="shared" si="3"/>
        <v>2.0409116129106279E-2</v>
      </c>
    </row>
    <row r="42" spans="2:10" x14ac:dyDescent="0.2">
      <c r="B42" s="79">
        <f>IFERROR(INDEX(Table_RawData[Date], ROWS($B$18:B42)), "")</f>
        <v>42736</v>
      </c>
      <c r="C42" s="78" t="str">
        <f t="shared" si="0"/>
        <v>Train</v>
      </c>
      <c r="D42" s="5">
        <f t="array" ref="D42">MMULT(
INDEX(Returns!$B$3:$K$1000, MATCH($B42, Returns!$A$3:$A$1000, 0), 0),
Solver_Optimization!$C$28:$C$37
)</f>
        <v>2.9452690454453128E-2</v>
      </c>
      <c r="E42" s="5">
        <f>INDEX(Returns!$D$3:$D$1000, MATCH($B42, Returns!$A$3:$A$1000, 0))</f>
        <v>1.7894689750816539E-2</v>
      </c>
      <c r="F42" s="5">
        <f t="shared" si="4"/>
        <v>1.4847203279763221</v>
      </c>
      <c r="G42" s="5">
        <f t="shared" si="5"/>
        <v>1.1407871647029335</v>
      </c>
      <c r="H42" s="5">
        <f t="shared" si="1"/>
        <v>1.4847203279763221</v>
      </c>
      <c r="I42" s="5" t="e">
        <f t="shared" si="2"/>
        <v>#N/A</v>
      </c>
      <c r="J42" s="5">
        <f t="shared" si="3"/>
        <v>1.1558000703636589E-2</v>
      </c>
    </row>
    <row r="43" spans="2:10" x14ac:dyDescent="0.2">
      <c r="B43" s="79">
        <f>IFERROR(INDEX(Table_RawData[Date], ROWS($B$18:B43)), "")</f>
        <v>42767</v>
      </c>
      <c r="C43" s="78" t="str">
        <f t="shared" si="0"/>
        <v>Train</v>
      </c>
      <c r="D43" s="5">
        <f t="array" ref="D43">MMULT(
INDEX(Returns!$B$3:$K$1000, MATCH($B43, Returns!$A$3:$A$1000, 0), 0),
Solver_Optimization!$C$28:$C$37
)</f>
        <v>2.4870938345228386E-2</v>
      </c>
      <c r="E43" s="5">
        <f>INDEX(Returns!$D$3:$D$1000, MATCH($B43, Returns!$A$3:$A$1000, 0))</f>
        <v>3.9291521997099288E-2</v>
      </c>
      <c r="F43" s="5">
        <f t="shared" si="4"/>
        <v>1.5216467157133284</v>
      </c>
      <c r="G43" s="5">
        <f t="shared" si="5"/>
        <v>1.1856104286788673</v>
      </c>
      <c r="H43" s="5">
        <f t="shared" si="1"/>
        <v>1.5216467157133284</v>
      </c>
      <c r="I43" s="5" t="e">
        <f t="shared" si="2"/>
        <v>#N/A</v>
      </c>
      <c r="J43" s="5">
        <f t="shared" si="3"/>
        <v>-1.4420583651870902E-2</v>
      </c>
    </row>
    <row r="44" spans="2:10" x14ac:dyDescent="0.2">
      <c r="B44" s="79">
        <f>IFERROR(INDEX(Table_RawData[Date], ROWS($B$18:B44)), "")</f>
        <v>42795</v>
      </c>
      <c r="C44" s="78" t="str">
        <f t="shared" si="0"/>
        <v>Train</v>
      </c>
      <c r="D44" s="5">
        <f t="array" ref="D44">MMULT(
INDEX(Returns!$B$3:$K$1000, MATCH($B44, Returns!$A$3:$A$1000, 0), 0),
Solver_Optimization!$C$28:$C$37
)</f>
        <v>8.894364861557532E-3</v>
      </c>
      <c r="E44" s="5">
        <f>INDEX(Returns!$D$3:$D$1000, MATCH($B44, Returns!$A$3:$A$1000, 0))</f>
        <v>-3.0870723559013324E-3</v>
      </c>
      <c r="F44" s="5">
        <f t="shared" si="4"/>
        <v>1.5351807967932736</v>
      </c>
      <c r="G44" s="5">
        <f t="shared" si="5"/>
        <v>1.1819503634996245</v>
      </c>
      <c r="H44" s="5">
        <f t="shared" si="1"/>
        <v>1.5351807967932736</v>
      </c>
      <c r="I44" s="5" t="e">
        <f t="shared" si="2"/>
        <v>#N/A</v>
      </c>
      <c r="J44" s="5">
        <f t="shared" si="3"/>
        <v>1.1981437217458864E-2</v>
      </c>
    </row>
    <row r="45" spans="2:10" x14ac:dyDescent="0.2">
      <c r="B45" s="79">
        <f>IFERROR(INDEX(Table_RawData[Date], ROWS($B$18:B45)), "")</f>
        <v>42826</v>
      </c>
      <c r="C45" s="78" t="str">
        <f t="shared" si="0"/>
        <v>Train</v>
      </c>
      <c r="D45" s="5">
        <f t="array" ref="D45">MMULT(
INDEX(Returns!$B$3:$K$1000, MATCH($B45, Returns!$A$3:$A$1000, 0), 0),
Solver_Optimization!$C$28:$C$37
)</f>
        <v>6.4034800114592233E-4</v>
      </c>
      <c r="E45" s="5">
        <f>INDEX(Returns!$D$3:$D$1000, MATCH($B45, Returns!$A$3:$A$1000, 0))</f>
        <v>9.9261898701958895E-3</v>
      </c>
      <c r="F45" s="5">
        <f t="shared" si="4"/>
        <v>1.5361638467478977</v>
      </c>
      <c r="G45" s="5">
        <f t="shared" si="5"/>
        <v>1.1936826272248688</v>
      </c>
      <c r="H45" s="5">
        <f t="shared" si="1"/>
        <v>1.5361638467478977</v>
      </c>
      <c r="I45" s="5" t="e">
        <f t="shared" si="2"/>
        <v>#N/A</v>
      </c>
      <c r="J45" s="5">
        <f t="shared" si="3"/>
        <v>-9.2858418690499669E-3</v>
      </c>
    </row>
    <row r="46" spans="2:10" x14ac:dyDescent="0.2">
      <c r="B46" s="79">
        <f>IFERROR(INDEX(Table_RawData[Date], ROWS($B$18:B46)), "")</f>
        <v>42856</v>
      </c>
      <c r="C46" s="78" t="str">
        <f t="shared" si="0"/>
        <v>Train</v>
      </c>
      <c r="D46" s="5">
        <f t="array" ref="D46">MMULT(
INDEX(Returns!$B$3:$K$1000, MATCH($B46, Returns!$A$3:$A$1000, 0), 0),
Solver_Optimization!$C$28:$C$37
)</f>
        <v>6.4139756417860253E-2</v>
      </c>
      <c r="E46" s="5">
        <f>INDEX(Returns!$D$3:$D$1000, MATCH($B46, Returns!$A$3:$A$1000, 0))</f>
        <v>1.4112903225806495E-2</v>
      </c>
      <c r="F46" s="5">
        <f t="shared" si="4"/>
        <v>1.6346930216962312</v>
      </c>
      <c r="G46" s="5">
        <f t="shared" si="5"/>
        <v>1.2105289546252198</v>
      </c>
      <c r="H46" s="5">
        <f t="shared" si="1"/>
        <v>1.6346930216962312</v>
      </c>
      <c r="I46" s="5" t="e">
        <f t="shared" si="2"/>
        <v>#N/A</v>
      </c>
      <c r="J46" s="5">
        <f t="shared" si="3"/>
        <v>5.0026853192053758E-2</v>
      </c>
    </row>
    <row r="47" spans="2:10" x14ac:dyDescent="0.2">
      <c r="B47" s="79">
        <f>IFERROR(INDEX(Table_RawData[Date], ROWS($B$18:B47)), "")</f>
        <v>42887</v>
      </c>
      <c r="C47" s="78" t="str">
        <f t="shared" si="0"/>
        <v>Train</v>
      </c>
      <c r="D47" s="5">
        <f t="array" ref="D47">MMULT(
INDEX(Returns!$B$3:$K$1000, MATCH($B47, Returns!$A$3:$A$1000, 0), 0),
Solver_Optimization!$C$28:$C$37
)</f>
        <v>1.8111778917511538E-3</v>
      </c>
      <c r="E47" s="5">
        <f>INDEX(Returns!$D$3:$D$1000, MATCH($B47, Returns!$A$3:$A$1000, 0))</f>
        <v>1.4910536779324524E-3</v>
      </c>
      <c r="F47" s="5">
        <f t="shared" si="4"/>
        <v>1.6376537415569272</v>
      </c>
      <c r="G47" s="5">
        <f t="shared" si="5"/>
        <v>1.2123339182752575</v>
      </c>
      <c r="H47" s="5">
        <f t="shared" si="1"/>
        <v>1.6376537415569272</v>
      </c>
      <c r="I47" s="5" t="e">
        <f t="shared" si="2"/>
        <v>#N/A</v>
      </c>
      <c r="J47" s="5">
        <f t="shared" si="3"/>
        <v>3.2012421381870143E-4</v>
      </c>
    </row>
    <row r="48" spans="2:10" x14ac:dyDescent="0.2">
      <c r="B48" s="79">
        <f>IFERROR(INDEX(Table_RawData[Date], ROWS($B$18:B48)), "")</f>
        <v>42917</v>
      </c>
      <c r="C48" s="78" t="str">
        <f t="shared" si="0"/>
        <v>Train</v>
      </c>
      <c r="D48" s="5">
        <f t="array" ref="D48">MMULT(
INDEX(Returns!$B$3:$K$1000, MATCH($B48, Returns!$A$3:$A$1000, 0), 0),
Solver_Optimization!$C$28:$C$37
)</f>
        <v>4.0993893513937944E-2</v>
      </c>
      <c r="E48" s="5">
        <f>INDEX(Returns!$D$3:$D$1000, MATCH($B48, Returns!$A$3:$A$1000, 0))</f>
        <v>2.0554177005789986E-2</v>
      </c>
      <c r="F48" s="5">
        <f t="shared" si="4"/>
        <v>1.7047875446510141</v>
      </c>
      <c r="G48" s="5">
        <f t="shared" si="5"/>
        <v>1.23725244422161</v>
      </c>
      <c r="H48" s="5">
        <f t="shared" si="1"/>
        <v>1.7047875446510141</v>
      </c>
      <c r="I48" s="5" t="e">
        <f t="shared" si="2"/>
        <v>#N/A</v>
      </c>
      <c r="J48" s="5">
        <f t="shared" si="3"/>
        <v>2.0439716508147958E-2</v>
      </c>
    </row>
    <row r="49" spans="2:10" x14ac:dyDescent="0.2">
      <c r="B49" s="79">
        <f>IFERROR(INDEX(Table_RawData[Date], ROWS($B$18:B49)), "")</f>
        <v>42948</v>
      </c>
      <c r="C49" s="78" t="str">
        <f t="shared" si="0"/>
        <v>Train</v>
      </c>
      <c r="D49" s="5">
        <f t="array" ref="D49">MMULT(
INDEX(Returns!$B$3:$K$1000, MATCH($B49, Returns!$A$3:$A$1000, 0), 0),
Solver_Optimization!$C$28:$C$37
)</f>
        <v>2.131623166206266E-2</v>
      </c>
      <c r="E49" s="5">
        <f>INDEX(Returns!$D$3:$D$1000, MATCH($B49, Returns!$A$3:$A$1000, 0))</f>
        <v>2.9176966405966009E-3</v>
      </c>
      <c r="F49" s="5">
        <f t="shared" si="4"/>
        <v>1.7411271908873942</v>
      </c>
      <c r="G49" s="5">
        <f t="shared" si="5"/>
        <v>1.2408623715216853</v>
      </c>
      <c r="H49" s="5">
        <f t="shared" si="1"/>
        <v>1.7411271908873942</v>
      </c>
      <c r="I49" s="5" t="e">
        <f t="shared" si="2"/>
        <v>#N/A</v>
      </c>
      <c r="J49" s="5">
        <f t="shared" si="3"/>
        <v>1.8398535021466059E-2</v>
      </c>
    </row>
    <row r="50" spans="2:10" x14ac:dyDescent="0.2">
      <c r="B50" s="79">
        <f>IFERROR(INDEX(Table_RawData[Date], ROWS($B$18:B50)), "")</f>
        <v>42979</v>
      </c>
      <c r="C50" s="78" t="str">
        <f t="shared" si="0"/>
        <v>Train</v>
      </c>
      <c r="D50" s="5">
        <f t="array" ref="D50">MMULT(
INDEX(Returns!$B$3:$K$1000, MATCH($B50, Returns!$A$3:$A$1000, 0), 0),
Solver_Optimization!$C$28:$C$37
)</f>
        <v>1.0290263596787837E-2</v>
      </c>
      <c r="E50" s="5">
        <f>INDEX(Returns!$D$3:$D$1000, MATCH($B50, Returns!$A$3:$A$1000, 0))</f>
        <v>1.5111721685724611E-2</v>
      </c>
      <c r="F50" s="5">
        <f t="shared" si="4"/>
        <v>1.7590438486371602</v>
      </c>
      <c r="G50" s="5">
        <f t="shared" si="5"/>
        <v>1.2596139383304092</v>
      </c>
      <c r="H50" s="5">
        <f t="shared" si="1"/>
        <v>1.7590438486371602</v>
      </c>
      <c r="I50" s="5" t="e">
        <f t="shared" si="2"/>
        <v>#N/A</v>
      </c>
      <c r="J50" s="5">
        <f t="shared" si="3"/>
        <v>-4.8214580889367736E-3</v>
      </c>
    </row>
    <row r="51" spans="2:10" x14ac:dyDescent="0.2">
      <c r="B51" s="79">
        <f>IFERROR(INDEX(Table_RawData[Date], ROWS($B$18:B51)), "")</f>
        <v>43009</v>
      </c>
      <c r="C51" s="78" t="str">
        <f t="shared" si="0"/>
        <v>Train</v>
      </c>
      <c r="D51" s="5">
        <f t="array" ref="D51">MMULT(
INDEX(Returns!$B$3:$K$1000, MATCH($B51, Returns!$A$3:$A$1000, 0), 0),
Solver_Optimization!$C$28:$C$37
)</f>
        <v>4.0230629554088931E-2</v>
      </c>
      <c r="E51" s="5">
        <f>INDEX(Returns!$D$3:$D$1000, MATCH($B51, Returns!$A$3:$A$1000, 0))</f>
        <v>2.356406480117812E-2</v>
      </c>
      <c r="F51" s="5">
        <f t="shared" si="4"/>
        <v>1.8298112900810806</v>
      </c>
      <c r="G51" s="5">
        <f t="shared" si="5"/>
        <v>1.2892955627976941</v>
      </c>
      <c r="H51" s="5">
        <f t="shared" si="1"/>
        <v>1.8298112900810806</v>
      </c>
      <c r="I51" s="5" t="e">
        <f t="shared" si="2"/>
        <v>#N/A</v>
      </c>
      <c r="J51" s="5">
        <f t="shared" si="3"/>
        <v>1.6666564752910812E-2</v>
      </c>
    </row>
    <row r="52" spans="2:10" x14ac:dyDescent="0.2">
      <c r="B52" s="79">
        <f>IFERROR(INDEX(Table_RawData[Date], ROWS($B$18:B52)), "")</f>
        <v>43040</v>
      </c>
      <c r="C52" s="78" t="str">
        <f t="shared" si="0"/>
        <v>Train</v>
      </c>
      <c r="D52" s="5">
        <f t="array" ref="D52">MMULT(
INDEX(Returns!$B$3:$K$1000, MATCH($B52, Returns!$A$3:$A$1000, 0), 0),
Solver_Optimization!$C$28:$C$37
)</f>
        <v>1.4065001532167429E-2</v>
      </c>
      <c r="E52" s="5">
        <f>INDEX(Returns!$D$3:$D$1000, MATCH($B52, Returns!$A$3:$A$1000, 0))</f>
        <v>3.0565817616177382E-2</v>
      </c>
      <c r="F52" s="5">
        <f t="shared" si="4"/>
        <v>1.8555475886796484</v>
      </c>
      <c r="G52" s="5">
        <f t="shared" si="5"/>
        <v>1.3287039358235151</v>
      </c>
      <c r="H52" s="5">
        <f t="shared" si="1"/>
        <v>1.8555475886796484</v>
      </c>
      <c r="I52" s="5" t="e">
        <f t="shared" si="2"/>
        <v>#N/A</v>
      </c>
      <c r="J52" s="5">
        <f t="shared" si="3"/>
        <v>-1.6500816084009953E-2</v>
      </c>
    </row>
    <row r="53" spans="2:10" x14ac:dyDescent="0.2">
      <c r="B53" s="79">
        <f>IFERROR(INDEX(Table_RawData[Date], ROWS($B$18:B53)), "")</f>
        <v>43070</v>
      </c>
      <c r="C53" s="78" t="str">
        <f t="shared" si="0"/>
        <v>Train</v>
      </c>
      <c r="D53" s="5">
        <f t="array" ref="D53">MMULT(
INDEX(Returns!$B$3:$K$1000, MATCH($B53, Returns!$A$3:$A$1000, 0), 0),
Solver_Optimization!$C$28:$C$37
)</f>
        <v>5.2908759421167505E-3</v>
      </c>
      <c r="E53" s="5">
        <f>INDEX(Returns!$D$3:$D$1000, MATCH($B53, Returns!$A$3:$A$1000, 0))</f>
        <v>6.9808686464662983E-3</v>
      </c>
      <c r="F53" s="5">
        <f t="shared" si="4"/>
        <v>1.8653650607760466</v>
      </c>
      <c r="G53" s="5">
        <f t="shared" si="5"/>
        <v>1.3379794434695418</v>
      </c>
      <c r="H53" s="5">
        <f t="shared" si="1"/>
        <v>1.8653650607760466</v>
      </c>
      <c r="I53" s="5" t="e">
        <f t="shared" si="2"/>
        <v>#N/A</v>
      </c>
      <c r="J53" s="5">
        <f t="shared" si="3"/>
        <v>-1.6899927043495478E-3</v>
      </c>
    </row>
    <row r="54" spans="2:10" x14ac:dyDescent="0.2">
      <c r="B54" s="79">
        <f>IFERROR(INDEX(Table_RawData[Date], ROWS($B$18:B54)), "")</f>
        <v>43101</v>
      </c>
      <c r="C54" s="78" t="str">
        <f t="shared" si="0"/>
        <v>Train</v>
      </c>
      <c r="D54" s="5">
        <f t="array" ref="D54">MMULT(
INDEX(Returns!$B$3:$K$1000, MATCH($B54, Returns!$A$3:$A$1000, 0), 0),
Solver_Optimization!$C$28:$C$37
)</f>
        <v>7.7170807089743831E-2</v>
      </c>
      <c r="E54" s="5">
        <f>INDEX(Returns!$D$3:$D$1000, MATCH($B54, Returns!$A$3:$A$1000, 0))</f>
        <v>5.6359139623772592E-2</v>
      </c>
      <c r="F54" s="5">
        <f t="shared" si="4"/>
        <v>2.0093167880331433</v>
      </c>
      <c r="G54" s="5">
        <f t="shared" si="5"/>
        <v>1.4133868137377792</v>
      </c>
      <c r="H54" s="5">
        <f t="shared" si="1"/>
        <v>2.0093167880331433</v>
      </c>
      <c r="I54" s="5" t="e">
        <f t="shared" si="2"/>
        <v>#N/A</v>
      </c>
      <c r="J54" s="5">
        <f t="shared" si="3"/>
        <v>2.081166746597124E-2</v>
      </c>
    </row>
    <row r="55" spans="2:10" x14ac:dyDescent="0.2">
      <c r="B55" s="79">
        <f>IFERROR(INDEX(Table_RawData[Date], ROWS($B$18:B55)), "")</f>
        <v>43132</v>
      </c>
      <c r="C55" s="78" t="str">
        <f t="shared" si="0"/>
        <v>Train</v>
      </c>
      <c r="D55" s="5">
        <f t="array" ref="D55">MMULT(
INDEX(Returns!$B$3:$K$1000, MATCH($B55, Returns!$A$3:$A$1000, 0), 0),
Solver_Optimization!$C$28:$C$37
)</f>
        <v>-2.7123411558788307E-2</v>
      </c>
      <c r="E55" s="5">
        <f>INDEX(Returns!$D$3:$D$1000, MATCH($B55, Returns!$A$3:$A$1000, 0))</f>
        <v>-3.6360411493437383E-2</v>
      </c>
      <c r="F55" s="5">
        <f t="shared" si="4"/>
        <v>1.9548172618393378</v>
      </c>
      <c r="G55" s="5">
        <f t="shared" si="5"/>
        <v>1.3619954875908753</v>
      </c>
      <c r="H55" s="5">
        <f t="shared" si="1"/>
        <v>1.9548172618393378</v>
      </c>
      <c r="I55" s="5" t="e">
        <f t="shared" si="2"/>
        <v>#N/A</v>
      </c>
      <c r="J55" s="5">
        <f t="shared" si="3"/>
        <v>9.2369999346490761E-3</v>
      </c>
    </row>
    <row r="56" spans="2:10" x14ac:dyDescent="0.2">
      <c r="B56" s="79">
        <f>IFERROR(INDEX(Table_RawData[Date], ROWS($B$18:B56)), "")</f>
        <v>43160</v>
      </c>
      <c r="C56" s="78" t="str">
        <f t="shared" si="0"/>
        <v>Train</v>
      </c>
      <c r="D56" s="5">
        <f t="array" ref="D56">MMULT(
INDEX(Returns!$B$3:$K$1000, MATCH($B56, Returns!$A$3:$A$1000, 0), 0),
Solver_Optimization!$C$28:$C$37
)</f>
        <v>-2.2503688606028336E-2</v>
      </c>
      <c r="E56" s="5">
        <f>INDEX(Returns!$D$3:$D$1000, MATCH($B56, Returns!$A$3:$A$1000, 0))</f>
        <v>-3.1290263206331659E-2</v>
      </c>
      <c r="F56" s="5">
        <f t="shared" si="4"/>
        <v>1.9108266628972164</v>
      </c>
      <c r="G56" s="5">
        <f t="shared" si="5"/>
        <v>1.3193782902983209</v>
      </c>
      <c r="H56" s="5">
        <f t="shared" si="1"/>
        <v>1.9108266628972164</v>
      </c>
      <c r="I56" s="5" t="e">
        <f t="shared" si="2"/>
        <v>#N/A</v>
      </c>
      <c r="J56" s="5">
        <f t="shared" si="3"/>
        <v>8.7865746003033228E-3</v>
      </c>
    </row>
    <row r="57" spans="2:10" x14ac:dyDescent="0.2">
      <c r="B57" s="79">
        <f>IFERROR(INDEX(Table_RawData[Date], ROWS($B$18:B57)), "")</f>
        <v>43191</v>
      </c>
      <c r="C57" s="78" t="str">
        <f t="shared" si="0"/>
        <v>Train</v>
      </c>
      <c r="D57" s="5">
        <f t="array" ref="D57">MMULT(
INDEX(Returns!$B$3:$K$1000, MATCH($B57, Returns!$A$3:$A$1000, 0), 0),
Solver_Optimization!$C$28:$C$37
)</f>
        <v>-1.4661148159733326E-2</v>
      </c>
      <c r="E57" s="5">
        <f>INDEX(Returns!$D$3:$D$1000, MATCH($B57, Returns!$A$3:$A$1000, 0))</f>
        <v>5.1681550446514013E-3</v>
      </c>
      <c r="F57" s="5">
        <f t="shared" si="4"/>
        <v>1.8828117500849115</v>
      </c>
      <c r="G57" s="5">
        <f t="shared" si="5"/>
        <v>1.3261970418651297</v>
      </c>
      <c r="H57" s="5">
        <f t="shared" si="1"/>
        <v>1.8828117500849115</v>
      </c>
      <c r="I57" s="5" t="e">
        <f t="shared" si="2"/>
        <v>#N/A</v>
      </c>
      <c r="J57" s="5">
        <f t="shared" si="3"/>
        <v>-1.9829303204384727E-2</v>
      </c>
    </row>
    <row r="58" spans="2:10" x14ac:dyDescent="0.2">
      <c r="B58" s="79">
        <f>IFERROR(INDEX(Table_RawData[Date], ROWS($B$18:B58)), "")</f>
        <v>43221</v>
      </c>
      <c r="C58" s="78" t="str">
        <f t="shared" si="0"/>
        <v>Train</v>
      </c>
      <c r="D58" s="5">
        <f t="array" ref="D58">MMULT(
INDEX(Returns!$B$3:$K$1000, MATCH($B58, Returns!$A$3:$A$1000, 0), 0),
Solver_Optimization!$C$28:$C$37
)</f>
        <v>3.1109248935907576E-2</v>
      </c>
      <c r="E58" s="5">
        <f>INDEX(Returns!$D$3:$D$1000, MATCH($B58, Returns!$A$3:$A$1000, 0))</f>
        <v>2.4309099844996407E-2</v>
      </c>
      <c r="F58" s="5">
        <f t="shared" si="4"/>
        <v>1.9413846095177547</v>
      </c>
      <c r="G58" s="5">
        <f t="shared" si="5"/>
        <v>1.3584356981699679</v>
      </c>
      <c r="H58" s="5">
        <f t="shared" si="1"/>
        <v>1.9413846095177547</v>
      </c>
      <c r="I58" s="5" t="e">
        <f t="shared" si="2"/>
        <v>#N/A</v>
      </c>
      <c r="J58" s="5">
        <f t="shared" si="3"/>
        <v>6.8001490909111693E-3</v>
      </c>
    </row>
    <row r="59" spans="2:10" x14ac:dyDescent="0.2">
      <c r="B59" s="79">
        <f>IFERROR(INDEX(Table_RawData[Date], ROWS($B$18:B59)), "")</f>
        <v>43252</v>
      </c>
      <c r="C59" s="78" t="str">
        <f t="shared" si="0"/>
        <v>Train</v>
      </c>
      <c r="D59" s="5">
        <f t="array" ref="D59">MMULT(
INDEX(Returns!$B$3:$K$1000, MATCH($B59, Returns!$A$3:$A$1000, 0), 0),
Solver_Optimization!$C$28:$C$37
)</f>
        <v>-1.4818945521702572E-2</v>
      </c>
      <c r="E59" s="5">
        <f>INDEX(Returns!$D$3:$D$1000, MATCH($B59, Returns!$A$3:$A$1000, 0))</f>
        <v>1.2548903816342882E-3</v>
      </c>
      <c r="F59" s="5">
        <f t="shared" si="4"/>
        <v>1.9126153367526393</v>
      </c>
      <c r="G59" s="5">
        <f t="shared" si="5"/>
        <v>1.3601403860616701</v>
      </c>
      <c r="H59" s="5">
        <f t="shared" si="1"/>
        <v>1.9126153367526393</v>
      </c>
      <c r="I59" s="5" t="e">
        <f t="shared" si="2"/>
        <v>#N/A</v>
      </c>
      <c r="J59" s="5">
        <f t="shared" si="3"/>
        <v>-1.6073835903336858E-2</v>
      </c>
    </row>
    <row r="60" spans="2:10" x14ac:dyDescent="0.2">
      <c r="B60" s="79">
        <f>IFERROR(INDEX(Table_RawData[Date], ROWS($B$18:B60)), "")</f>
        <v>43282</v>
      </c>
      <c r="C60" s="78" t="str">
        <f t="shared" si="0"/>
        <v>Train</v>
      </c>
      <c r="D60" s="5">
        <f t="array" ref="D60">MMULT(
INDEX(Returns!$B$3:$K$1000, MATCH($B60, Returns!$A$3:$A$1000, 0), 0),
Solver_Optimization!$C$28:$C$37
)</f>
        <v>2.8986213528311298E-2</v>
      </c>
      <c r="E60" s="5">
        <f>INDEX(Returns!$D$3:$D$1000, MATCH($B60, Returns!$A$3:$A$1000, 0))</f>
        <v>3.7046593925095905E-2</v>
      </c>
      <c r="F60" s="5">
        <f t="shared" si="4"/>
        <v>1.9680548133012741</v>
      </c>
      <c r="G60" s="5">
        <f t="shared" si="5"/>
        <v>1.41052895462522</v>
      </c>
      <c r="H60" s="5">
        <f t="shared" si="1"/>
        <v>1.9680548133012741</v>
      </c>
      <c r="I60" s="5" t="e">
        <f t="shared" si="2"/>
        <v>#N/A</v>
      </c>
      <c r="J60" s="5">
        <f t="shared" si="3"/>
        <v>-8.0603803967846076E-3</v>
      </c>
    </row>
    <row r="61" spans="2:10" x14ac:dyDescent="0.2">
      <c r="B61" s="79">
        <f>IFERROR(INDEX(Table_RawData[Date], ROWS($B$18:B61)), "")</f>
        <v>43313</v>
      </c>
      <c r="C61" s="78" t="str">
        <f t="shared" si="0"/>
        <v>Train</v>
      </c>
      <c r="D61" s="5">
        <f t="array" ref="D61">MMULT(
INDEX(Returns!$B$3:$K$1000, MATCH($B61, Returns!$A$3:$A$1000, 0), 0),
Solver_Optimization!$C$28:$C$37
)</f>
        <v>4.0209204380187769E-2</v>
      </c>
      <c r="E61" s="5">
        <f>INDEX(Returns!$D$3:$D$1000, MATCH($B61, Returns!$A$3:$A$1000, 0))</f>
        <v>3.1919809476415706E-2</v>
      </c>
      <c r="F61" s="5">
        <f t="shared" si="4"/>
        <v>2.0471887315207176</v>
      </c>
      <c r="G61" s="5">
        <f t="shared" si="5"/>
        <v>1.4555527701178248</v>
      </c>
      <c r="H61" s="5">
        <f t="shared" si="1"/>
        <v>2.0471887315207176</v>
      </c>
      <c r="I61" s="5" t="e">
        <f t="shared" si="2"/>
        <v>#N/A</v>
      </c>
      <c r="J61" s="5">
        <f t="shared" si="3"/>
        <v>8.2893949037720627E-3</v>
      </c>
    </row>
    <row r="62" spans="2:10" x14ac:dyDescent="0.2">
      <c r="B62" s="79">
        <f>IFERROR(INDEX(Table_RawData[Date], ROWS($B$18:B62)), "")</f>
        <v>43344</v>
      </c>
      <c r="C62" s="78" t="str">
        <f t="shared" si="0"/>
        <v>Train</v>
      </c>
      <c r="D62" s="5">
        <f t="array" ref="D62">MMULT(
INDEX(Returns!$B$3:$K$1000, MATCH($B62, Returns!$A$3:$A$1000, 0), 0),
Solver_Optimization!$C$28:$C$37
)</f>
        <v>-2.2517792610509926E-3</v>
      </c>
      <c r="E62" s="5">
        <f>INDEX(Returns!$D$3:$D$1000, MATCH($B62, Returns!$A$3:$A$1000, 0))</f>
        <v>1.4122834211705015E-3</v>
      </c>
      <c r="F62" s="5">
        <f t="shared" si="4"/>
        <v>2.0425789143916218</v>
      </c>
      <c r="G62" s="5">
        <f t="shared" si="5"/>
        <v>1.457608423163701</v>
      </c>
      <c r="H62" s="5">
        <f t="shared" si="1"/>
        <v>2.0425789143916218</v>
      </c>
      <c r="I62" s="5" t="e">
        <f t="shared" si="2"/>
        <v>#N/A</v>
      </c>
      <c r="J62" s="5">
        <f t="shared" si="3"/>
        <v>-3.6640626822214942E-3</v>
      </c>
    </row>
    <row r="63" spans="2:10" x14ac:dyDescent="0.2">
      <c r="B63" s="79">
        <f>IFERROR(INDEX(Table_RawData[Date], ROWS($B$18:B63)), "")</f>
        <v>43374</v>
      </c>
      <c r="C63" s="78" t="str">
        <f t="shared" si="0"/>
        <v>Train</v>
      </c>
      <c r="D63" s="5">
        <f t="array" ref="D63">MMULT(
INDEX(Returns!$B$3:$K$1000, MATCH($B63, Returns!$A$3:$A$1000, 0), 0),
Solver_Optimization!$C$28:$C$37
)</f>
        <v>-6.442005782685431E-2</v>
      </c>
      <c r="E63" s="5">
        <f>INDEX(Returns!$D$3:$D$1000, MATCH($B63, Returns!$A$3:$A$1000, 0))</f>
        <v>-6.9104292790313826E-2</v>
      </c>
      <c r="F63" s="5">
        <f t="shared" si="4"/>
        <v>1.9109958626106001</v>
      </c>
      <c r="G63" s="5">
        <f t="shared" si="5"/>
        <v>1.3568814239157689</v>
      </c>
      <c r="H63" s="5">
        <f t="shared" si="1"/>
        <v>1.9109958626106001</v>
      </c>
      <c r="I63" s="5" t="e">
        <f t="shared" si="2"/>
        <v>#N/A</v>
      </c>
      <c r="J63" s="5">
        <f t="shared" si="3"/>
        <v>4.684234963459516E-3</v>
      </c>
    </row>
    <row r="64" spans="2:10" x14ac:dyDescent="0.2">
      <c r="B64" s="79">
        <f>IFERROR(INDEX(Table_RawData[Date], ROWS($B$18:B64)), "")</f>
        <v>43405</v>
      </c>
      <c r="C64" s="78" t="str">
        <f t="shared" si="0"/>
        <v>Train</v>
      </c>
      <c r="D64" s="5">
        <f t="array" ref="D64">MMULT(
INDEX(Returns!$B$3:$K$1000, MATCH($B64, Returns!$A$3:$A$1000, 0), 0),
Solver_Optimization!$C$28:$C$37
)</f>
        <v>-2.1067317580676093E-2</v>
      </c>
      <c r="E64" s="5">
        <f>INDEX(Returns!$D$3:$D$1000, MATCH($B64, Returns!$A$3:$A$1000, 0))</f>
        <v>1.8549310867235658E-2</v>
      </c>
      <c r="F64" s="5">
        <f t="shared" si="4"/>
        <v>1.8707363058776243</v>
      </c>
      <c r="G64" s="5">
        <f t="shared" si="5"/>
        <v>1.3820506392579599</v>
      </c>
      <c r="H64" s="5">
        <f t="shared" si="1"/>
        <v>1.8707363058776243</v>
      </c>
      <c r="I64" s="5" t="e">
        <f t="shared" si="2"/>
        <v>#N/A</v>
      </c>
      <c r="J64" s="5">
        <f t="shared" si="3"/>
        <v>-3.961662844791175E-2</v>
      </c>
    </row>
    <row r="65" spans="2:10" x14ac:dyDescent="0.2">
      <c r="B65" s="80">
        <f>IFERROR(INDEX(Table_RawData[Date], ROWS($B$18:B65)), "")</f>
        <v>43435</v>
      </c>
      <c r="C65" s="81" t="str">
        <f t="shared" si="0"/>
        <v>Train</v>
      </c>
      <c r="D65" s="5">
        <f t="array" ref="D65">MMULT(
INDEX(Returns!$B$3:$K$1000, MATCH($B65, Returns!$A$3:$A$1000, 0), 0),
Solver_Optimization!$C$28:$C$37
)</f>
        <v>-7.1887183737088661E-2</v>
      </c>
      <c r="E65" s="5">
        <f>INDEX(Returns!$D$3:$D$1000, MATCH($B65, Returns!$A$3:$A$1000, 0))</f>
        <v>-9.3343007436967107E-2</v>
      </c>
      <c r="F65" s="5">
        <f t="shared" si="4"/>
        <v>1.7362543413333569</v>
      </c>
      <c r="G65" s="5">
        <f t="shared" si="5"/>
        <v>1.253045876159439</v>
      </c>
      <c r="H65" s="5">
        <f t="shared" si="1"/>
        <v>1.7362543413333569</v>
      </c>
      <c r="I65" s="5" t="e">
        <f t="shared" si="2"/>
        <v>#N/A</v>
      </c>
      <c r="J65" s="5">
        <f t="shared" si="3"/>
        <v>2.1455823699878446E-2</v>
      </c>
    </row>
    <row r="66" spans="2:10" x14ac:dyDescent="0.2">
      <c r="B66" s="79">
        <f>IFERROR(INDEX(Table_RawData[Date], ROWS($B$18:B66)), "")</f>
        <v>43466</v>
      </c>
      <c r="C66" s="78" t="str">
        <f t="shared" si="0"/>
        <v>Train</v>
      </c>
      <c r="D66" s="5">
        <f t="array" ref="D66">MMULT(
INDEX(Returns!$B$3:$K$1000, MATCH($B66, Returns!$A$3:$A$1000, 0), 0),
Solver_Optimization!$C$28:$C$37
)</f>
        <v>6.3808834473841849E-2</v>
      </c>
      <c r="E66" s="5">
        <f>INDEX(Returns!$D$3:$D$1000, MATCH($B66, Returns!$A$3:$A$1000, 0))</f>
        <v>8.0065620998719611E-2</v>
      </c>
      <c r="F66" s="5">
        <f t="shared" si="4"/>
        <v>1.8470427072039863</v>
      </c>
      <c r="G66" s="5">
        <f t="shared" si="5"/>
        <v>1.3533717723740291</v>
      </c>
      <c r="H66" s="5">
        <f t="shared" si="1"/>
        <v>1.8470427072039863</v>
      </c>
      <c r="I66" s="5" t="e">
        <f t="shared" si="2"/>
        <v>#N/A</v>
      </c>
      <c r="J66" s="5">
        <f t="shared" si="3"/>
        <v>-1.6256786524877762E-2</v>
      </c>
    </row>
    <row r="67" spans="2:10" x14ac:dyDescent="0.2">
      <c r="B67" s="79">
        <f>IFERROR(INDEX(Table_RawData[Date], ROWS($B$18:B67)), "")</f>
        <v>43497</v>
      </c>
      <c r="C67" s="78" t="str">
        <f t="shared" si="0"/>
        <v>Train</v>
      </c>
      <c r="D67" s="5">
        <f t="array" ref="D67">MMULT(
INDEX(Returns!$B$3:$K$1000, MATCH($B67, Returns!$A$3:$A$1000, 0), 0),
Solver_Optimization!$C$28:$C$37
)</f>
        <v>3.296039893751606E-2</v>
      </c>
      <c r="E67" s="5">
        <f>INDEX(Returns!$D$3:$D$1000, MATCH($B67, Returns!$A$3:$A$1000, 0))</f>
        <v>3.241581150668682E-2</v>
      </c>
      <c r="F67" s="5">
        <f t="shared" si="4"/>
        <v>1.9079219716880593</v>
      </c>
      <c r="G67" s="5">
        <f t="shared" si="5"/>
        <v>1.3972424166457762</v>
      </c>
      <c r="H67" s="5">
        <f t="shared" si="1"/>
        <v>1.9079219716880593</v>
      </c>
      <c r="I67" s="5" t="e">
        <f t="shared" si="2"/>
        <v>#N/A</v>
      </c>
      <c r="J67" s="5">
        <f t="shared" si="3"/>
        <v>5.4458743082923949E-4</v>
      </c>
    </row>
    <row r="68" spans="2:10" x14ac:dyDescent="0.2">
      <c r="B68" s="79">
        <f>IFERROR(INDEX(Table_RawData[Date], ROWS($B$18:B68)), "")</f>
        <v>43525</v>
      </c>
      <c r="C68" s="78" t="str">
        <f t="shared" si="0"/>
        <v>Train</v>
      </c>
      <c r="D68" s="5">
        <f t="array" ref="D68">MMULT(
INDEX(Returns!$B$3:$K$1000, MATCH($B68, Returns!$A$3:$A$1000, 0), 0),
Solver_Optimization!$C$28:$C$37
)</f>
        <v>3.3140982696853706E-2</v>
      </c>
      <c r="E68" s="5">
        <f>INDEX(Returns!$D$3:$D$1000, MATCH($B68, Returns!$A$3:$A$1000, 0))</f>
        <v>1.3635711209990076E-2</v>
      </c>
      <c r="F68" s="5">
        <f t="shared" si="4"/>
        <v>1.9711523807387201</v>
      </c>
      <c r="G68" s="5">
        <f t="shared" si="5"/>
        <v>1.4162948107295066</v>
      </c>
      <c r="H68" s="5">
        <f t="shared" si="1"/>
        <v>1.9711523807387201</v>
      </c>
      <c r="I68" s="5" t="e">
        <f t="shared" si="2"/>
        <v>#N/A</v>
      </c>
      <c r="J68" s="5">
        <f t="shared" si="3"/>
        <v>1.950527148686363E-2</v>
      </c>
    </row>
    <row r="69" spans="2:10" x14ac:dyDescent="0.2">
      <c r="B69" s="79">
        <f>IFERROR(INDEX(Table_RawData[Date], ROWS($B$18:B69)), "")</f>
        <v>43556</v>
      </c>
      <c r="C69" s="78" t="str">
        <f t="shared" si="0"/>
        <v>Train</v>
      </c>
      <c r="D69" s="5">
        <f t="array" ref="D69">MMULT(
INDEX(Returns!$B$3:$K$1000, MATCH($B69, Returns!$A$3:$A$1000, 0), 0),
Solver_Optimization!$C$28:$C$37
)</f>
        <v>3.81391853260791E-2</v>
      </c>
      <c r="E69" s="5">
        <f>INDEX(Returns!$D$3:$D$1000, MATCH($B69, Returns!$A$3:$A$1000, 0))</f>
        <v>4.0852449730954365E-2</v>
      </c>
      <c r="F69" s="5">
        <f t="shared" si="4"/>
        <v>2.046330526693656</v>
      </c>
      <c r="G69" s="5">
        <f t="shared" si="5"/>
        <v>1.4741539232890453</v>
      </c>
      <c r="H69" s="5">
        <f t="shared" si="1"/>
        <v>2.046330526693656</v>
      </c>
      <c r="I69" s="5" t="e">
        <f t="shared" si="2"/>
        <v>#N/A</v>
      </c>
      <c r="J69" s="5">
        <f t="shared" si="3"/>
        <v>-2.7132644048752652E-3</v>
      </c>
    </row>
    <row r="70" spans="2:10" x14ac:dyDescent="0.2">
      <c r="B70" s="79">
        <f>IFERROR(INDEX(Table_RawData[Date], ROWS($B$18:B70)), "")</f>
        <v>43586</v>
      </c>
      <c r="C70" s="78" t="str">
        <f t="shared" si="0"/>
        <v>Train</v>
      </c>
      <c r="D70" s="5">
        <f t="array" ref="D70">MMULT(
INDEX(Returns!$B$3:$K$1000, MATCH($B70, Returns!$A$3:$A$1000, 0), 0),
Solver_Optimization!$C$28:$C$37
)</f>
        <v>-7.8252024970124442E-2</v>
      </c>
      <c r="E70" s="5">
        <f>INDEX(Returns!$D$3:$D$1000, MATCH($B70, Returns!$A$3:$A$1000, 0))</f>
        <v>-6.3771172029113643E-2</v>
      </c>
      <c r="F70" s="5">
        <f t="shared" si="4"/>
        <v>1.8862010192216963</v>
      </c>
      <c r="G70" s="5">
        <f t="shared" si="5"/>
        <v>1.3801453998495867</v>
      </c>
      <c r="H70" s="5">
        <f t="shared" si="1"/>
        <v>1.8862010192216963</v>
      </c>
      <c r="I70" s="5" t="e">
        <f t="shared" si="2"/>
        <v>#N/A</v>
      </c>
      <c r="J70" s="5">
        <f t="shared" si="3"/>
        <v>-1.4480852941010799E-2</v>
      </c>
    </row>
    <row r="71" spans="2:10" x14ac:dyDescent="0.2">
      <c r="B71" s="79">
        <f>IFERROR(INDEX(Table_RawData[Date], ROWS($B$18:B71)), "")</f>
        <v>43617</v>
      </c>
      <c r="C71" s="78" t="str">
        <f t="shared" si="0"/>
        <v>Train</v>
      </c>
      <c r="D71" s="5">
        <f t="array" ref="D71">MMULT(
INDEX(Returns!$B$3:$K$1000, MATCH($B71, Returns!$A$3:$A$1000, 0), 0),
Solver_Optimization!$C$28:$C$37
)</f>
        <v>9.0980585428751801E-2</v>
      </c>
      <c r="E71" s="5">
        <f>INDEX(Returns!$D$3:$D$1000, MATCH($B71, Returns!$A$3:$A$1000, 0))</f>
        <v>6.4409488865477593E-2</v>
      </c>
      <c r="F71" s="5">
        <f t="shared" si="4"/>
        <v>2.0578086921867946</v>
      </c>
      <c r="G71" s="5">
        <f t="shared" si="5"/>
        <v>1.4690398596139389</v>
      </c>
      <c r="H71" s="5">
        <f t="shared" si="1"/>
        <v>2.0578086921867946</v>
      </c>
      <c r="I71" s="5" t="e">
        <f t="shared" si="2"/>
        <v>#N/A</v>
      </c>
      <c r="J71" s="5">
        <f t="shared" si="3"/>
        <v>2.6571096563274207E-2</v>
      </c>
    </row>
    <row r="72" spans="2:10" x14ac:dyDescent="0.2">
      <c r="B72" s="79">
        <f>IFERROR(INDEX(Table_RawData[Date], ROWS($B$18:B72)), "")</f>
        <v>43647</v>
      </c>
      <c r="C72" s="78" t="str">
        <f t="shared" si="0"/>
        <v>Train</v>
      </c>
      <c r="D72" s="5">
        <f t="array" ref="D72">MMULT(
INDEX(Returns!$B$3:$K$1000, MATCH($B72, Returns!$A$3:$A$1000, 0), 0),
Solver_Optimization!$C$28:$C$37
)</f>
        <v>2.3528627354791505E-2</v>
      </c>
      <c r="E72" s="5">
        <f>INDEX(Returns!$D$3:$D$1000, MATCH($B72, Returns!$A$3:$A$1000, 0))</f>
        <v>1.511945392491465E-2</v>
      </c>
      <c r="F72" s="5">
        <f t="shared" si="4"/>
        <v>2.1062261060727083</v>
      </c>
      <c r="G72" s="5">
        <f t="shared" si="5"/>
        <v>1.491250940085235</v>
      </c>
      <c r="H72" s="5">
        <f t="shared" si="1"/>
        <v>2.1062261060727083</v>
      </c>
      <c r="I72" s="5" t="e">
        <f t="shared" si="2"/>
        <v>#N/A</v>
      </c>
      <c r="J72" s="5">
        <f t="shared" si="3"/>
        <v>8.4091734298768553E-3</v>
      </c>
    </row>
    <row r="73" spans="2:10" x14ac:dyDescent="0.2">
      <c r="B73" s="79">
        <f>IFERROR(INDEX(Table_RawData[Date], ROWS($B$18:B73)), "")</f>
        <v>43678</v>
      </c>
      <c r="C73" s="78" t="str">
        <f t="shared" si="0"/>
        <v>Train</v>
      </c>
      <c r="D73" s="5">
        <f t="array" ref="D73">MMULT(
INDEX(Returns!$B$3:$K$1000, MATCH($B73, Returns!$A$3:$A$1000, 0), 0),
Solver_Optimization!$C$28:$C$37
)</f>
        <v>2.7608673428303741E-3</v>
      </c>
      <c r="E73" s="5">
        <f>INDEX(Returns!$D$3:$D$1000, MATCH($B73, Returns!$A$3:$A$1000, 0))</f>
        <v>-1.6743435430185305E-2</v>
      </c>
      <c r="F73" s="5">
        <f t="shared" si="4"/>
        <v>2.1120411169455813</v>
      </c>
      <c r="G73" s="5">
        <f t="shared" si="5"/>
        <v>1.4662822762597147</v>
      </c>
      <c r="H73" s="5">
        <f t="shared" si="1"/>
        <v>2.1120411169455813</v>
      </c>
      <c r="I73" s="5" t="e">
        <f t="shared" si="2"/>
        <v>#N/A</v>
      </c>
      <c r="J73" s="5">
        <f t="shared" si="3"/>
        <v>1.950430277301568E-2</v>
      </c>
    </row>
    <row r="74" spans="2:10" x14ac:dyDescent="0.2">
      <c r="B74" s="79">
        <f>IFERROR(INDEX(Table_RawData[Date], ROWS($B$18:B74)), "")</f>
        <v>43709</v>
      </c>
      <c r="C74" s="78" t="str">
        <f t="shared" si="0"/>
        <v>Train</v>
      </c>
      <c r="D74" s="5">
        <f t="array" ref="D74">MMULT(
INDEX(Returns!$B$3:$K$1000, MATCH($B74, Returns!$A$3:$A$1000, 0), 0),
Solver_Optimization!$C$28:$C$37
)</f>
        <v>1.5675617187738768E-2</v>
      </c>
      <c r="E74" s="5">
        <f>INDEX(Returns!$D$3:$D$1000, MATCH($B74, Returns!$A$3:$A$1000, 0))</f>
        <v>1.4771755855701896E-2</v>
      </c>
      <c r="F74" s="5">
        <f t="shared" si="4"/>
        <v>2.1451486649795846</v>
      </c>
      <c r="G74" s="5">
        <f t="shared" si="5"/>
        <v>1.4879418400601661</v>
      </c>
      <c r="H74" s="5">
        <f t="shared" si="1"/>
        <v>2.1451486649795846</v>
      </c>
      <c r="I74" s="5" t="e">
        <f t="shared" si="2"/>
        <v>#N/A</v>
      </c>
      <c r="J74" s="5">
        <f t="shared" si="3"/>
        <v>9.0386133203687255E-4</v>
      </c>
    </row>
    <row r="75" spans="2:10" x14ac:dyDescent="0.2">
      <c r="B75" s="79">
        <f>IFERROR(INDEX(Table_RawData[Date], ROWS($B$18:B75)), "")</f>
        <v>43739</v>
      </c>
      <c r="C75" s="78" t="str">
        <f t="shared" si="0"/>
        <v>Train</v>
      </c>
      <c r="D75" s="5">
        <f t="array" ref="D75">MMULT(
INDEX(Returns!$B$3:$K$1000, MATCH($B75, Returns!$A$3:$A$1000, 0), 0),
Solver_Optimization!$C$28:$C$37
)</f>
        <v>4.7692222936367074E-2</v>
      </c>
      <c r="E75" s="5">
        <f>INDEX(Returns!$D$3:$D$1000, MATCH($B75, Returns!$A$3:$A$1000, 0))</f>
        <v>2.2104660174546042E-2</v>
      </c>
      <c r="F75" s="5">
        <f t="shared" si="4"/>
        <v>2.247455573341441</v>
      </c>
      <c r="G75" s="5">
        <f t="shared" si="5"/>
        <v>1.5208322887941848</v>
      </c>
      <c r="H75" s="5">
        <f t="shared" si="1"/>
        <v>2.247455573341441</v>
      </c>
      <c r="I75" s="5" t="e">
        <f t="shared" si="2"/>
        <v>#N/A</v>
      </c>
      <c r="J75" s="5">
        <f t="shared" si="3"/>
        <v>2.5587562761821031E-2</v>
      </c>
    </row>
    <row r="76" spans="2:10" x14ac:dyDescent="0.2">
      <c r="B76" s="79">
        <f>IFERROR(INDEX(Table_RawData[Date], ROWS($B$18:B76)), "")</f>
        <v>43770</v>
      </c>
      <c r="C76" s="78" t="str">
        <f t="shared" si="0"/>
        <v>Train</v>
      </c>
      <c r="D76" s="5">
        <f t="array" ref="D76">MMULT(
INDEX(Returns!$B$3:$K$1000, MATCH($B76, Returns!$A$3:$A$1000, 0), 0),
Solver_Optimization!$C$28:$C$37
)</f>
        <v>2.6657065514249786E-2</v>
      </c>
      <c r="E76" s="5">
        <f>INDEX(Returns!$D$3:$D$1000, MATCH($B76, Returns!$A$3:$A$1000, 0))</f>
        <v>3.619819998021967E-2</v>
      </c>
      <c r="F76" s="5">
        <f t="shared" si="4"/>
        <v>2.3073661438003694</v>
      </c>
      <c r="G76" s="5">
        <f t="shared" si="5"/>
        <v>1.5758836801203318</v>
      </c>
      <c r="H76" s="5">
        <f t="shared" si="1"/>
        <v>2.3073661438003694</v>
      </c>
      <c r="I76" s="5" t="e">
        <f t="shared" si="2"/>
        <v>#N/A</v>
      </c>
      <c r="J76" s="5">
        <f t="shared" si="3"/>
        <v>-9.5411344659698839E-3</v>
      </c>
    </row>
    <row r="77" spans="2:10" x14ac:dyDescent="0.2">
      <c r="B77" s="79">
        <f>IFERROR(INDEX(Table_RawData[Date], ROWS($B$18:B77)), "")</f>
        <v>43800</v>
      </c>
      <c r="C77" s="78" t="str">
        <f t="shared" si="0"/>
        <v>Train</v>
      </c>
      <c r="D77" s="5">
        <f t="array" ref="D77">MMULT(
INDEX(Returns!$B$3:$K$1000, MATCH($B77, Returns!$A$3:$A$1000, 0), 0),
Solver_Optimization!$C$28:$C$37
)</f>
        <v>4.1301944572752179E-2</v>
      </c>
      <c r="E77" s="5">
        <f>INDEX(Returns!$D$3:$D$1000, MATCH($B77, Returns!$A$3:$A$1000, 0))</f>
        <v>2.4020871114504905E-2</v>
      </c>
      <c r="F77" s="5">
        <f t="shared" si="4"/>
        <v>2.4026648523806573</v>
      </c>
      <c r="G77" s="5">
        <f t="shared" si="5"/>
        <v>1.613737778891954</v>
      </c>
      <c r="H77" s="5">
        <f t="shared" si="1"/>
        <v>2.4026648523806573</v>
      </c>
      <c r="I77" s="5" t="e">
        <f t="shared" si="2"/>
        <v>#N/A</v>
      </c>
      <c r="J77" s="5">
        <f t="shared" si="3"/>
        <v>1.7281073458247274E-2</v>
      </c>
    </row>
    <row r="78" spans="2:10" x14ac:dyDescent="0.2">
      <c r="B78" s="79">
        <f>IFERROR(INDEX(Table_RawData[Date], ROWS($B$18:B78)), "")</f>
        <v>43831</v>
      </c>
      <c r="C78" s="78" t="str">
        <f t="shared" si="0"/>
        <v>Train</v>
      </c>
      <c r="D78" s="5">
        <f t="array" ref="D78">MMULT(
INDEX(Returns!$B$3:$K$1000, MATCH($B78, Returns!$A$3:$A$1000, 0), 0),
Solver_Optimization!$C$28:$C$37
)</f>
        <v>8.4080869542986544E-3</v>
      </c>
      <c r="E78" s="5">
        <f>INDEX(Returns!$D$3:$D$1000, MATCH($B78, Returns!$A$3:$A$1000, 0))</f>
        <v>-4.0390231777787111E-4</v>
      </c>
      <c r="F78" s="5">
        <f t="shared" si="4"/>
        <v>2.4228666673815109</v>
      </c>
      <c r="G78" s="5">
        <f t="shared" si="5"/>
        <v>1.6130859864627738</v>
      </c>
      <c r="H78" s="5">
        <f t="shared" si="1"/>
        <v>2.4228666673815109</v>
      </c>
      <c r="I78" s="5" t="e">
        <f t="shared" si="2"/>
        <v>#N/A</v>
      </c>
      <c r="J78" s="5">
        <f t="shared" si="3"/>
        <v>8.8119892720765255E-3</v>
      </c>
    </row>
    <row r="79" spans="2:10" x14ac:dyDescent="0.2">
      <c r="B79" s="79">
        <f>IFERROR(INDEX(Table_RawData[Date], ROWS($B$18:B79)), "")</f>
        <v>43862</v>
      </c>
      <c r="C79" s="78" t="str">
        <f t="shared" si="0"/>
        <v>Train</v>
      </c>
      <c r="D79" s="5">
        <f t="array" ref="D79">MMULT(
INDEX(Returns!$B$3:$K$1000, MATCH($B79, Returns!$A$3:$A$1000, 0), 0),
Solver_Optimization!$C$28:$C$37
)</f>
        <v>-3.5395321561392364E-2</v>
      </c>
      <c r="E79" s="5">
        <f>INDEX(Returns!$D$3:$D$1000, MATCH($B79, Returns!$A$3:$A$1000, 0))</f>
        <v>-7.9165760109408567E-2</v>
      </c>
      <c r="F79" s="5">
        <f t="shared" si="4"/>
        <v>2.3371085225891632</v>
      </c>
      <c r="G79" s="5">
        <f t="shared" si="5"/>
        <v>1.4853848082226131</v>
      </c>
      <c r="H79" s="5">
        <f t="shared" si="1"/>
        <v>2.3371085225891632</v>
      </c>
      <c r="I79" s="5" t="e">
        <f t="shared" si="2"/>
        <v>#N/A</v>
      </c>
      <c r="J79" s="5">
        <f t="shared" si="3"/>
        <v>4.3770438548016204E-2</v>
      </c>
    </row>
    <row r="80" spans="2:10" x14ac:dyDescent="0.2">
      <c r="B80" s="79">
        <f>IFERROR(INDEX(Table_RawData[Date], ROWS($B$18:B80)), "")</f>
        <v>43891</v>
      </c>
      <c r="C80" s="78" t="str">
        <f t="shared" si="0"/>
        <v>Train</v>
      </c>
      <c r="D80" s="5">
        <f t="array" ref="D80">MMULT(
INDEX(Returns!$B$3:$K$1000, MATCH($B80, Returns!$A$3:$A$1000, 0), 0),
Solver_Optimization!$C$28:$C$37
)</f>
        <v>-8.517772854356559E-2</v>
      </c>
      <c r="E80" s="5">
        <f>INDEX(Returns!$D$3:$D$1000, MATCH($B80, Returns!$A$3:$A$1000, 0))</f>
        <v>-0.129987173428745</v>
      </c>
      <c r="F80" s="5">
        <f t="shared" si="4"/>
        <v>2.1380389272752098</v>
      </c>
      <c r="G80" s="5">
        <f t="shared" si="5"/>
        <v>1.2923038355477572</v>
      </c>
      <c r="H80" s="5">
        <f t="shared" si="1"/>
        <v>2.1380389272752098</v>
      </c>
      <c r="I80" s="5" t="e">
        <f t="shared" si="2"/>
        <v>#N/A</v>
      </c>
      <c r="J80" s="5">
        <f t="shared" si="3"/>
        <v>4.4809444885179406E-2</v>
      </c>
    </row>
    <row r="81" spans="2:10" x14ac:dyDescent="0.2">
      <c r="B81" s="79">
        <f>IFERROR(INDEX(Table_RawData[Date], ROWS($B$18:B81)), "")</f>
        <v>43922</v>
      </c>
      <c r="C81" s="78" t="str">
        <f t="shared" si="0"/>
        <v>Train</v>
      </c>
      <c r="D81" s="5">
        <f t="array" ref="D81">MMULT(
INDEX(Returns!$B$3:$K$1000, MATCH($B81, Returns!$A$3:$A$1000, 0), 0),
Solver_Optimization!$C$28:$C$37
)</f>
        <v>0.10128401641613437</v>
      </c>
      <c r="E81" s="5">
        <f>INDEX(Returns!$D$3:$D$1000, MATCH($B81, Returns!$A$3:$A$1000, 0))</f>
        <v>0.12698351115421924</v>
      </c>
      <c r="F81" s="5">
        <f t="shared" si="4"/>
        <v>2.3545880970836865</v>
      </c>
      <c r="G81" s="5">
        <f t="shared" si="5"/>
        <v>1.456405114063676</v>
      </c>
      <c r="H81" s="5">
        <f t="shared" si="1"/>
        <v>2.3545880970836865</v>
      </c>
      <c r="I81" s="5" t="e">
        <f t="shared" si="2"/>
        <v>#N/A</v>
      </c>
      <c r="J81" s="5">
        <f t="shared" si="3"/>
        <v>-2.5699494738084874E-2</v>
      </c>
    </row>
    <row r="82" spans="2:10" x14ac:dyDescent="0.2">
      <c r="B82" s="79">
        <f>IFERROR(INDEX(Table_RawData[Date], ROWS($B$18:B82)), "")</f>
        <v>43952</v>
      </c>
      <c r="C82" s="78" t="str">
        <f t="shared" si="0"/>
        <v>Train</v>
      </c>
      <c r="D82" s="5">
        <f t="array" ref="D82">MMULT(
INDEX(Returns!$B$3:$K$1000, MATCH($B82, Returns!$A$3:$A$1000, 0), 0),
Solver_Optimization!$C$28:$C$37
)</f>
        <v>6.356627192938348E-2</v>
      </c>
      <c r="E82" s="5">
        <f>INDEX(Returns!$D$3:$D$1000, MATCH($B82, Returns!$A$3:$A$1000, 0))</f>
        <v>4.7645276783255142E-2</v>
      </c>
      <c r="F82" s="5">
        <f t="shared" si="4"/>
        <v>2.5042604843445977</v>
      </c>
      <c r="G82" s="5">
        <f t="shared" si="5"/>
        <v>1.5257959388317881</v>
      </c>
      <c r="H82" s="5">
        <f t="shared" si="1"/>
        <v>2.5042604843445977</v>
      </c>
      <c r="I82" s="5" t="e">
        <f t="shared" si="2"/>
        <v>#N/A</v>
      </c>
      <c r="J82" s="5">
        <f t="shared" si="3"/>
        <v>1.5920995146128339E-2</v>
      </c>
    </row>
    <row r="83" spans="2:10" x14ac:dyDescent="0.2">
      <c r="B83" s="79">
        <f>IFERROR(INDEX(Table_RawData[Date], ROWS($B$18:B83)), "")</f>
        <v>43983</v>
      </c>
      <c r="C83" s="78" t="str">
        <f t="shared" ref="C83:C146" si="6">IF(B83="","",IF(B83&lt;=$C$11,"Train","Test"))</f>
        <v>Train</v>
      </c>
      <c r="D83" s="5">
        <f t="array" ref="D83">MMULT(
INDEX(Returns!$B$3:$K$1000, MATCH($B83, Returns!$A$3:$A$1000, 0), 0),
Solver_Optimization!$C$28:$C$37
)</f>
        <v>3.1092045432941601E-2</v>
      </c>
      <c r="E83" s="5">
        <f>INDEX(Returns!$D$3:$D$1000, MATCH($B83, Returns!$A$3:$A$1000, 0))</f>
        <v>1.3275499474237673E-2</v>
      </c>
      <c r="F83" s="5">
        <f t="shared" si="4"/>
        <v>2.58212306509976</v>
      </c>
      <c r="G83" s="5">
        <f t="shared" si="5"/>
        <v>1.5460516420155435</v>
      </c>
      <c r="H83" s="5">
        <f t="shared" si="1"/>
        <v>2.58212306509976</v>
      </c>
      <c r="I83" s="5" t="e">
        <f t="shared" si="2"/>
        <v>#N/A</v>
      </c>
      <c r="J83" s="5">
        <f t="shared" si="3"/>
        <v>1.7816545958703928E-2</v>
      </c>
    </row>
    <row r="84" spans="2:10" x14ac:dyDescent="0.2">
      <c r="B84" s="79">
        <f>IFERROR(INDEX(Table_RawData[Date], ROWS($B$18:B84)), "")</f>
        <v>44013</v>
      </c>
      <c r="C84" s="78" t="str">
        <f t="shared" si="6"/>
        <v>Train</v>
      </c>
      <c r="D84" s="5">
        <f t="array" ref="D84">MMULT(
INDEX(Returns!$B$3:$K$1000, MATCH($B84, Returns!$A$3:$A$1000, 0), 0),
Solver_Optimization!$C$28:$C$37
)</f>
        <v>7.7219764260924667E-2</v>
      </c>
      <c r="E84" s="5">
        <f>INDEX(Returns!$D$3:$D$1000, MATCH($B84, Returns!$A$3:$A$1000, 0))</f>
        <v>5.8892203917498831E-2</v>
      </c>
      <c r="F84" s="5">
        <f t="shared" si="4"/>
        <v>2.7815139994794595</v>
      </c>
      <c r="G84" s="5">
        <f t="shared" si="5"/>
        <v>1.6371020305841066</v>
      </c>
      <c r="H84" s="5">
        <f t="shared" ref="H84:H147" si="7">IF($C84="Train",$F84,NA())</f>
        <v>2.7815139994794595</v>
      </c>
      <c r="I84" s="5" t="e">
        <f t="shared" ref="I84:I147" si="8">IF($C84="Test",$F84,NA())</f>
        <v>#N/A</v>
      </c>
      <c r="J84" s="5">
        <f t="shared" ref="J84:J147" si="9">D84-E84</f>
        <v>1.8327560343425836E-2</v>
      </c>
    </row>
    <row r="85" spans="2:10" x14ac:dyDescent="0.2">
      <c r="B85" s="79">
        <f>IFERROR(INDEX(Table_RawData[Date], ROWS($B$18:B85)), "")</f>
        <v>44044</v>
      </c>
      <c r="C85" s="78" t="str">
        <f t="shared" si="6"/>
        <v>Train</v>
      </c>
      <c r="D85" s="5">
        <f t="array" ref="D85">MMULT(
INDEX(Returns!$B$3:$K$1000, MATCH($B85, Returns!$A$3:$A$1000, 0), 0),
Solver_Optimization!$C$28:$C$37
)</f>
        <v>8.3913736204467362E-2</v>
      </c>
      <c r="E85" s="5">
        <f>INDEX(Returns!$D$3:$D$1000, MATCH($B85, Returns!$A$3:$A$1000, 0))</f>
        <v>6.9796643390910296E-2</v>
      </c>
      <c r="F85" s="5">
        <f t="shared" ref="F85:F148" si="10">F84*(1+D85)</f>
        <v>3.0149212314808116</v>
      </c>
      <c r="G85" s="5">
        <f t="shared" ref="G85:G148" si="11">G84*(1+E85)</f>
        <v>1.7513662572073208</v>
      </c>
      <c r="H85" s="5">
        <f t="shared" si="7"/>
        <v>3.0149212314808116</v>
      </c>
      <c r="I85" s="5" t="e">
        <f t="shared" si="8"/>
        <v>#N/A</v>
      </c>
      <c r="J85" s="5">
        <f t="shared" si="9"/>
        <v>1.4117092813557067E-2</v>
      </c>
    </row>
    <row r="86" spans="2:10" x14ac:dyDescent="0.2">
      <c r="B86" s="79">
        <f>IFERROR(INDEX(Table_RawData[Date], ROWS($B$18:B86)), "")</f>
        <v>44075</v>
      </c>
      <c r="C86" s="78" t="str">
        <f t="shared" si="6"/>
        <v>Train</v>
      </c>
      <c r="D86" s="5">
        <f t="array" ref="D86">MMULT(
INDEX(Returns!$B$3:$K$1000, MATCH($B86, Returns!$A$3:$A$1000, 0), 0),
Solver_Optimization!$C$28:$C$37
)</f>
        <v>-2.9161991002278821E-2</v>
      </c>
      <c r="E86" s="5">
        <f>INDEX(Returns!$D$3:$D$1000, MATCH($B86, Returns!$A$3:$A$1000, 0))</f>
        <v>-4.1281383298502838E-2</v>
      </c>
      <c r="F86" s="5">
        <f t="shared" si="10"/>
        <v>2.9270001256557889</v>
      </c>
      <c r="G86" s="5">
        <f t="shared" si="11"/>
        <v>1.679067435447481</v>
      </c>
      <c r="H86" s="5">
        <f t="shared" si="7"/>
        <v>2.9270001256557889</v>
      </c>
      <c r="I86" s="5" t="e">
        <f t="shared" si="8"/>
        <v>#N/A</v>
      </c>
      <c r="J86" s="5">
        <f t="shared" si="9"/>
        <v>1.2119392296224017E-2</v>
      </c>
    </row>
    <row r="87" spans="2:10" x14ac:dyDescent="0.2">
      <c r="B87" s="79">
        <f>IFERROR(INDEX(Table_RawData[Date], ROWS($B$18:B87)), "")</f>
        <v>44105</v>
      </c>
      <c r="C87" s="78" t="str">
        <f t="shared" si="6"/>
        <v>Train</v>
      </c>
      <c r="D87" s="5">
        <f t="array" ref="D87">MMULT(
INDEX(Returns!$B$3:$K$1000, MATCH($B87, Returns!$A$3:$A$1000, 0), 0),
Solver_Optimization!$C$28:$C$37
)</f>
        <v>-2.5512607060355522E-2</v>
      </c>
      <c r="E87" s="5">
        <f>INDEX(Returns!$D$3:$D$1000, MATCH($B87, Returns!$A$3:$A$1000, 0))</f>
        <v>-2.4933560273522559E-2</v>
      </c>
      <c r="F87" s="5">
        <f t="shared" si="10"/>
        <v>2.8523247215843215</v>
      </c>
      <c r="G87" s="5">
        <f t="shared" si="11"/>
        <v>1.6372023063424423</v>
      </c>
      <c r="H87" s="5">
        <f t="shared" si="7"/>
        <v>2.8523247215843215</v>
      </c>
      <c r="I87" s="5" t="e">
        <f t="shared" si="8"/>
        <v>#N/A</v>
      </c>
      <c r="J87" s="5">
        <f t="shared" si="9"/>
        <v>-5.790467868329631E-4</v>
      </c>
    </row>
    <row r="88" spans="2:10" x14ac:dyDescent="0.2">
      <c r="B88" s="79">
        <f>IFERROR(INDEX(Table_RawData[Date], ROWS($B$18:B88)), "")</f>
        <v>44136</v>
      </c>
      <c r="C88" s="78" t="str">
        <f t="shared" si="6"/>
        <v>Train</v>
      </c>
      <c r="D88" s="5">
        <f t="array" ref="D88">MMULT(
INDEX(Returns!$B$3:$K$1000, MATCH($B88, Returns!$A$3:$A$1000, 0), 0),
Solver_Optimization!$C$28:$C$37
)</f>
        <v>7.3423200529551785E-2</v>
      </c>
      <c r="E88" s="5">
        <f>INDEX(Returns!$D$3:$D$1000, MATCH($B88, Returns!$A$3:$A$1000, 0))</f>
        <v>0.10877687266491076</v>
      </c>
      <c r="F88" s="5">
        <f t="shared" si="10"/>
        <v>3.0617515315926052</v>
      </c>
      <c r="G88" s="5">
        <f t="shared" si="11"/>
        <v>1.8152920531461525</v>
      </c>
      <c r="H88" s="5">
        <f t="shared" si="7"/>
        <v>3.0617515315926052</v>
      </c>
      <c r="I88" s="5" t="e">
        <f t="shared" si="8"/>
        <v>#N/A</v>
      </c>
      <c r="J88" s="5">
        <f t="shared" si="9"/>
        <v>-3.5353672135358977E-2</v>
      </c>
    </row>
    <row r="89" spans="2:10" x14ac:dyDescent="0.2">
      <c r="B89" s="79">
        <f>IFERROR(INDEX(Table_RawData[Date], ROWS($B$18:B89)), "")</f>
        <v>44166</v>
      </c>
      <c r="C89" s="78" t="str">
        <f t="shared" si="6"/>
        <v>Train</v>
      </c>
      <c r="D89" s="5">
        <f t="array" ref="D89">MMULT(
INDEX(Returns!$B$3:$K$1000, MATCH($B89, Returns!$A$3:$A$1000, 0), 0),
Solver_Optimization!$C$28:$C$37
)</f>
        <v>3.7035588833735443E-2</v>
      </c>
      <c r="E89" s="5">
        <f>INDEX(Returns!$D$3:$D$1000, MATCH($B89, Returns!$A$3:$A$1000, 0))</f>
        <v>3.2646522675799483E-2</v>
      </c>
      <c r="F89" s="5">
        <f t="shared" si="10"/>
        <v>3.1751453024277287</v>
      </c>
      <c r="G89" s="5">
        <f t="shared" si="11"/>
        <v>1.8745550263223869</v>
      </c>
      <c r="H89" s="5">
        <f t="shared" si="7"/>
        <v>3.1751453024277287</v>
      </c>
      <c r="I89" s="5" t="e">
        <f t="shared" si="8"/>
        <v>#N/A</v>
      </c>
      <c r="J89" s="5">
        <f t="shared" si="9"/>
        <v>4.3890661579359599E-3</v>
      </c>
    </row>
    <row r="90" spans="2:10" x14ac:dyDescent="0.2">
      <c r="B90" s="79">
        <f>IFERROR(INDEX(Table_RawData[Date], ROWS($B$18:B90)), "")</f>
        <v>44197</v>
      </c>
      <c r="C90" s="78" t="str">
        <f t="shared" si="6"/>
        <v>Train</v>
      </c>
      <c r="D90" s="5">
        <f t="array" ref="D90">MMULT(
INDEX(Returns!$B$3:$K$1000, MATCH($B90, Returns!$A$3:$A$1000, 0), 0),
Solver_Optimization!$C$28:$C$37
)</f>
        <v>-1.7326516867170169E-2</v>
      </c>
      <c r="E90" s="5">
        <f>INDEX(Returns!$D$3:$D$1000, MATCH($B90, Returns!$A$3:$A$1000, 0))</f>
        <v>-1.0190435433829026E-2</v>
      </c>
      <c r="F90" s="5">
        <f t="shared" si="10"/>
        <v>3.1201310937894986</v>
      </c>
      <c r="G90" s="5">
        <f t="shared" si="11"/>
        <v>1.855452494359489</v>
      </c>
      <c r="H90" s="5">
        <f t="shared" si="7"/>
        <v>3.1201310937894986</v>
      </c>
      <c r="I90" s="5" t="e">
        <f t="shared" si="8"/>
        <v>#N/A</v>
      </c>
      <c r="J90" s="5">
        <f t="shared" si="9"/>
        <v>-7.1360814333411432E-3</v>
      </c>
    </row>
    <row r="91" spans="2:10" x14ac:dyDescent="0.2">
      <c r="B91" s="79">
        <f>IFERROR(INDEX(Table_RawData[Date], ROWS($B$18:B91)), "")</f>
        <v>44228</v>
      </c>
      <c r="C91" s="78" t="str">
        <f t="shared" si="6"/>
        <v>Train</v>
      </c>
      <c r="D91" s="5">
        <f t="array" ref="D91">MMULT(
INDEX(Returns!$B$3:$K$1000, MATCH($B91, Returns!$A$3:$A$1000, 0), 0),
Solver_Optimization!$C$28:$C$37
)</f>
        <v>1.6852024622340391E-2</v>
      </c>
      <c r="E91" s="5">
        <f>INDEX(Returns!$D$3:$D$1000, MATCH($B91, Returns!$A$3:$A$1000, 0))</f>
        <v>2.7805550301294391E-2</v>
      </c>
      <c r="F91" s="5">
        <f t="shared" si="10"/>
        <v>3.1727116198069694</v>
      </c>
      <c r="G91" s="5">
        <f t="shared" si="11"/>
        <v>1.9070443720230639</v>
      </c>
      <c r="H91" s="5">
        <f t="shared" si="7"/>
        <v>3.1727116198069694</v>
      </c>
      <c r="I91" s="5" t="e">
        <f t="shared" si="8"/>
        <v>#N/A</v>
      </c>
      <c r="J91" s="5">
        <f t="shared" si="9"/>
        <v>-1.0953525678953999E-2</v>
      </c>
    </row>
    <row r="92" spans="2:10" x14ac:dyDescent="0.2">
      <c r="B92" s="79">
        <f>IFERROR(INDEX(Table_RawData[Date], ROWS($B$18:B92)), "")</f>
        <v>44256</v>
      </c>
      <c r="C92" s="78" t="str">
        <f t="shared" si="6"/>
        <v>Train</v>
      </c>
      <c r="D92" s="5">
        <f t="array" ref="D92">MMULT(
INDEX(Returns!$B$3:$K$1000, MATCH($B92, Returns!$A$3:$A$1000, 0), 0),
Solver_Optimization!$C$28:$C$37
)</f>
        <v>1.8990439591325785E-2</v>
      </c>
      <c r="E92" s="5">
        <f>INDEX(Returns!$D$3:$D$1000, MATCH($B92, Returns!$A$3:$A$1000, 0))</f>
        <v>4.1986539068251005E-2</v>
      </c>
      <c r="F92" s="5">
        <f t="shared" si="10"/>
        <v>3.2329628081636113</v>
      </c>
      <c r="G92" s="5">
        <f t="shared" si="11"/>
        <v>1.9871145650538984</v>
      </c>
      <c r="H92" s="5">
        <f t="shared" si="7"/>
        <v>3.2329628081636113</v>
      </c>
      <c r="I92" s="5" t="e">
        <f t="shared" si="8"/>
        <v>#N/A</v>
      </c>
      <c r="J92" s="5">
        <f t="shared" si="9"/>
        <v>-2.2996099476925221E-2</v>
      </c>
    </row>
    <row r="93" spans="2:10" x14ac:dyDescent="0.2">
      <c r="B93" s="79">
        <f>IFERROR(INDEX(Table_RawData[Date], ROWS($B$18:B93)), "")</f>
        <v>44287</v>
      </c>
      <c r="C93" s="78" t="str">
        <f t="shared" si="6"/>
        <v>Train</v>
      </c>
      <c r="D93" s="5">
        <f t="array" ref="D93">MMULT(
INDEX(Returns!$B$3:$K$1000, MATCH($B93, Returns!$A$3:$A$1000, 0), 0),
Solver_Optimization!$C$28:$C$37
)</f>
        <v>4.7667262486383408E-2</v>
      </c>
      <c r="E93" s="5">
        <f>INDEX(Returns!$D$3:$D$1000, MATCH($B93, Returns!$A$3:$A$1000, 0))</f>
        <v>5.2910453410037084E-2</v>
      </c>
      <c r="F93" s="5">
        <f t="shared" si="10"/>
        <v>3.3870692949490615</v>
      </c>
      <c r="G93" s="5">
        <f t="shared" si="11"/>
        <v>2.0922536976685886</v>
      </c>
      <c r="H93" s="5">
        <f t="shared" si="7"/>
        <v>3.3870692949490615</v>
      </c>
      <c r="I93" s="5" t="e">
        <f t="shared" si="8"/>
        <v>#N/A</v>
      </c>
      <c r="J93" s="5">
        <f t="shared" si="9"/>
        <v>-5.2431909236536761E-3</v>
      </c>
    </row>
    <row r="94" spans="2:10" x14ac:dyDescent="0.2">
      <c r="B94" s="79">
        <f>IFERROR(INDEX(Table_RawData[Date], ROWS($B$18:B94)), "")</f>
        <v>44317</v>
      </c>
      <c r="C94" s="78" t="str">
        <f t="shared" si="6"/>
        <v>Train</v>
      </c>
      <c r="D94" s="5">
        <f t="array" ref="D94">MMULT(
INDEX(Returns!$B$3:$K$1000, MATCH($B94, Returns!$A$3:$A$1000, 0), 0),
Solver_Optimization!$C$28:$C$37
)</f>
        <v>3.6824868455884056E-2</v>
      </c>
      <c r="E94" s="5">
        <f>INDEX(Returns!$D$3:$D$1000, MATCH($B94, Returns!$A$3:$A$1000, 0))</f>
        <v>6.5660196501318158E-3</v>
      </c>
      <c r="F94" s="5">
        <f t="shared" si="10"/>
        <v>3.5117976761865246</v>
      </c>
      <c r="G94" s="5">
        <f t="shared" si="11"/>
        <v>2.1059914765605416</v>
      </c>
      <c r="H94" s="5">
        <f t="shared" si="7"/>
        <v>3.5117976761865246</v>
      </c>
      <c r="I94" s="5" t="e">
        <f t="shared" si="8"/>
        <v>#N/A</v>
      </c>
      <c r="J94" s="5">
        <f t="shared" si="9"/>
        <v>3.0258848805752241E-2</v>
      </c>
    </row>
    <row r="95" spans="2:10" x14ac:dyDescent="0.2">
      <c r="B95" s="79">
        <f>IFERROR(INDEX(Table_RawData[Date], ROWS($B$18:B95)), "")</f>
        <v>44348</v>
      </c>
      <c r="C95" s="78" t="str">
        <f t="shared" si="6"/>
        <v>Train</v>
      </c>
      <c r="D95" s="5">
        <f t="array" ref="D95">MMULT(
INDEX(Returns!$B$3:$K$1000, MATCH($B95, Returns!$A$3:$A$1000, 0), 0),
Solver_Optimization!$C$28:$C$37
)</f>
        <v>3.0085650054889699E-2</v>
      </c>
      <c r="E95" s="5">
        <f>INDEX(Returns!$D$3:$D$1000, MATCH($B95, Returns!$A$3:$A$1000, 0))</f>
        <v>1.9093419674316658E-2</v>
      </c>
      <c r="F95" s="5">
        <f t="shared" si="10"/>
        <v>3.617452392135847</v>
      </c>
      <c r="G95" s="5">
        <f t="shared" si="11"/>
        <v>2.1462020556530459</v>
      </c>
      <c r="H95" s="5">
        <f t="shared" si="7"/>
        <v>3.617452392135847</v>
      </c>
      <c r="I95" s="5" t="e">
        <f t="shared" si="8"/>
        <v>#N/A</v>
      </c>
      <c r="J95" s="5">
        <f t="shared" si="9"/>
        <v>1.099223038057304E-2</v>
      </c>
    </row>
    <row r="96" spans="2:10" x14ac:dyDescent="0.2">
      <c r="B96" s="79">
        <f>IFERROR(INDEX(Table_RawData[Date], ROWS($B$18:B96)), "")</f>
        <v>44378</v>
      </c>
      <c r="C96" s="78" t="str">
        <f t="shared" si="6"/>
        <v>Train</v>
      </c>
      <c r="D96" s="5">
        <f t="array" ref="D96">MMULT(
INDEX(Returns!$B$3:$K$1000, MATCH($B96, Returns!$A$3:$A$1000, 0), 0),
Solver_Optimization!$C$28:$C$37
)</f>
        <v>1.4897622775533817E-2</v>
      </c>
      <c r="E96" s="5">
        <f>INDEX(Returns!$D$3:$D$1000, MATCH($B96, Returns!$A$3:$A$1000, 0))</f>
        <v>2.4412465542213768E-2</v>
      </c>
      <c r="F96" s="5">
        <f t="shared" si="10"/>
        <v>3.6713438332823389</v>
      </c>
      <c r="G96" s="5">
        <f t="shared" si="11"/>
        <v>2.1985961393833042</v>
      </c>
      <c r="H96" s="5">
        <f t="shared" si="7"/>
        <v>3.6713438332823389</v>
      </c>
      <c r="I96" s="5" t="e">
        <f t="shared" si="8"/>
        <v>#N/A</v>
      </c>
      <c r="J96" s="5">
        <f t="shared" si="9"/>
        <v>-9.5148427666799512E-3</v>
      </c>
    </row>
    <row r="97" spans="2:10" x14ac:dyDescent="0.2">
      <c r="B97" s="79">
        <f>IFERROR(INDEX(Table_RawData[Date], ROWS($B$18:B97)), "")</f>
        <v>44409</v>
      </c>
      <c r="C97" s="78" t="str">
        <f t="shared" si="6"/>
        <v>Train</v>
      </c>
      <c r="D97" s="5">
        <f t="array" ref="D97">MMULT(
INDEX(Returns!$B$3:$K$1000, MATCH($B97, Returns!$A$3:$A$1000, 0), 0),
Solver_Optimization!$C$28:$C$37
)</f>
        <v>4.1009882315000322E-2</v>
      </c>
      <c r="E97" s="5">
        <f>INDEX(Returns!$D$3:$D$1000, MATCH($B97, Returns!$A$3:$A$1000, 0))</f>
        <v>2.9759868646097143E-2</v>
      </c>
      <c r="F97" s="5">
        <f t="shared" si="10"/>
        <v>3.8219052118231494</v>
      </c>
      <c r="G97" s="5">
        <f t="shared" si="11"/>
        <v>2.2640260716971676</v>
      </c>
      <c r="H97" s="5">
        <f t="shared" si="7"/>
        <v>3.8219052118231494</v>
      </c>
      <c r="I97" s="5" t="e">
        <f t="shared" si="8"/>
        <v>#N/A</v>
      </c>
      <c r="J97" s="5">
        <f t="shared" si="9"/>
        <v>1.1250013668903179E-2</v>
      </c>
    </row>
    <row r="98" spans="2:10" x14ac:dyDescent="0.2">
      <c r="B98" s="79">
        <f>IFERROR(INDEX(Table_RawData[Date], ROWS($B$18:B98)), "")</f>
        <v>44440</v>
      </c>
      <c r="C98" s="78" t="str">
        <f t="shared" si="6"/>
        <v>Train</v>
      </c>
      <c r="D98" s="5">
        <f t="array" ref="D98">MMULT(
INDEX(Returns!$B$3:$K$1000, MATCH($B98, Returns!$A$3:$A$1000, 0), 0),
Solver_Optimization!$C$28:$C$37
)</f>
        <v>-4.0449967009622639E-2</v>
      </c>
      <c r="E98" s="5">
        <f>INDEX(Returns!$D$3:$D$1000, MATCH($B98, Returns!$A$3:$A$1000, 0))</f>
        <v>-4.9650101869076146E-2</v>
      </c>
      <c r="F98" s="5">
        <f t="shared" si="10"/>
        <v>3.6673092720909981</v>
      </c>
      <c r="G98" s="5">
        <f t="shared" si="11"/>
        <v>2.1516169466031592</v>
      </c>
      <c r="H98" s="5">
        <f t="shared" si="7"/>
        <v>3.6673092720909981</v>
      </c>
      <c r="I98" s="5" t="e">
        <f t="shared" si="8"/>
        <v>#N/A</v>
      </c>
      <c r="J98" s="5">
        <f t="shared" si="9"/>
        <v>9.2001348594535071E-3</v>
      </c>
    </row>
    <row r="99" spans="2:10" x14ac:dyDescent="0.2">
      <c r="B99" s="79">
        <f>IFERROR(INDEX(Table_RawData[Date], ROWS($B$18:B99)), "")</f>
        <v>44470</v>
      </c>
      <c r="C99" s="78" t="str">
        <f t="shared" si="6"/>
        <v>Train</v>
      </c>
      <c r="D99" s="5">
        <f t="array" ref="D99">MMULT(
INDEX(Returns!$B$3:$K$1000, MATCH($B99, Returns!$A$3:$A$1000, 0), 0),
Solver_Optimization!$C$28:$C$37
)</f>
        <v>7.5405956248244227E-2</v>
      </c>
      <c r="E99" s="5">
        <f>INDEX(Returns!$D$3:$D$1000, MATCH($B99, Returns!$A$3:$A$1000, 0))</f>
        <v>7.016358297991343E-2</v>
      </c>
      <c r="F99" s="5">
        <f t="shared" si="10"/>
        <v>3.9438462346110725</v>
      </c>
      <c r="G99" s="5">
        <f t="shared" si="11"/>
        <v>2.3025821007771379</v>
      </c>
      <c r="H99" s="5">
        <f t="shared" si="7"/>
        <v>3.9438462346110725</v>
      </c>
      <c r="I99" s="5" t="e">
        <f t="shared" si="8"/>
        <v>#N/A</v>
      </c>
      <c r="J99" s="5">
        <f t="shared" si="9"/>
        <v>5.2423732683307966E-3</v>
      </c>
    </row>
    <row r="100" spans="2:10" x14ac:dyDescent="0.2">
      <c r="B100" s="79">
        <f>IFERROR(INDEX(Table_RawData[Date], ROWS($B$18:B100)), "")</f>
        <v>44501</v>
      </c>
      <c r="C100" s="78" t="str">
        <f t="shared" si="6"/>
        <v>Train</v>
      </c>
      <c r="D100" s="5">
        <f t="array" ref="D100">MMULT(
INDEX(Returns!$B$3:$K$1000, MATCH($B100, Returns!$A$3:$A$1000, 0), 0),
Solver_Optimization!$C$28:$C$37
)</f>
        <v>3.5468451158784969E-2</v>
      </c>
      <c r="E100" s="5">
        <f>INDEX(Returns!$D$3:$D$1000, MATCH($B100, Returns!$A$3:$A$1000, 0))</f>
        <v>-8.0348394120849376E-3</v>
      </c>
      <c r="F100" s="5">
        <f t="shared" si="10"/>
        <v>4.0837283521611338</v>
      </c>
      <c r="G100" s="5">
        <f t="shared" si="11"/>
        <v>2.2840812233642525</v>
      </c>
      <c r="H100" s="5">
        <f t="shared" si="7"/>
        <v>4.0837283521611338</v>
      </c>
      <c r="I100" s="5" t="e">
        <f t="shared" si="8"/>
        <v>#N/A</v>
      </c>
      <c r="J100" s="5">
        <f t="shared" si="9"/>
        <v>4.3503290570869907E-2</v>
      </c>
    </row>
    <row r="101" spans="2:10" x14ac:dyDescent="0.2">
      <c r="B101" s="79">
        <f>IFERROR(INDEX(Table_RawData[Date], ROWS($B$18:B101)), "")</f>
        <v>44531</v>
      </c>
      <c r="C101" s="78" t="str">
        <f t="shared" si="6"/>
        <v>Train</v>
      </c>
      <c r="D101" s="5">
        <f t="array" ref="D101">MMULT(
INDEX(Returns!$B$3:$K$1000, MATCH($B101, Returns!$A$3:$A$1000, 0), 0),
Solver_Optimization!$C$28:$C$37
)</f>
        <v>1.9596980387500209E-2</v>
      </c>
      <c r="E101" s="5">
        <f>INDEX(Returns!$D$3:$D$1000, MATCH($B101, Returns!$A$3:$A$1000, 0))</f>
        <v>4.2584950390727849E-2</v>
      </c>
      <c r="F101" s="5">
        <f t="shared" si="10"/>
        <v>4.1637570965863144</v>
      </c>
      <c r="G101" s="5">
        <f t="shared" si="11"/>
        <v>2.3813487089496119</v>
      </c>
      <c r="H101" s="5">
        <f t="shared" si="7"/>
        <v>4.1637570965863144</v>
      </c>
      <c r="I101" s="5" t="e">
        <f t="shared" si="8"/>
        <v>#N/A</v>
      </c>
      <c r="J101" s="5">
        <f t="shared" si="9"/>
        <v>-2.298797000322764E-2</v>
      </c>
    </row>
    <row r="102" spans="2:10" x14ac:dyDescent="0.2">
      <c r="B102" s="79">
        <f>IFERROR(INDEX(Table_RawData[Date], ROWS($B$18:B102)), "")</f>
        <v>44562</v>
      </c>
      <c r="C102" s="78" t="str">
        <f t="shared" si="6"/>
        <v>Train</v>
      </c>
      <c r="D102" s="5">
        <f t="array" ref="D102">MMULT(
INDEX(Returns!$B$3:$K$1000, MATCH($B102, Returns!$A$3:$A$1000, 0), 0),
Solver_Optimization!$C$28:$C$37
)</f>
        <v>-6.2879335937178107E-2</v>
      </c>
      <c r="E102" s="5">
        <f>INDEX(Returns!$D$3:$D$1000, MATCH($B102, Returns!$A$3:$A$1000, 0))</f>
        <v>-5.2741283476503198E-2</v>
      </c>
      <c r="F102" s="5">
        <f t="shared" si="10"/>
        <v>3.9019428153492544</v>
      </c>
      <c r="G102" s="5">
        <f t="shared" si="11"/>
        <v>2.2557533216344954</v>
      </c>
      <c r="H102" s="5">
        <f t="shared" si="7"/>
        <v>3.9019428153492544</v>
      </c>
      <c r="I102" s="5" t="e">
        <f t="shared" si="8"/>
        <v>#N/A</v>
      </c>
      <c r="J102" s="5">
        <f t="shared" si="9"/>
        <v>-1.013805246067491E-2</v>
      </c>
    </row>
    <row r="103" spans="2:10" x14ac:dyDescent="0.2">
      <c r="B103" s="79">
        <f>IFERROR(INDEX(Table_RawData[Date], ROWS($B$18:B103)), "")</f>
        <v>44593</v>
      </c>
      <c r="C103" s="78" t="str">
        <f t="shared" si="6"/>
        <v>Train</v>
      </c>
      <c r="D103" s="5">
        <f t="array" ref="D103">MMULT(
INDEX(Returns!$B$3:$K$1000, MATCH($B103, Returns!$A$3:$A$1000, 0), 0),
Solver_Optimization!$C$28:$C$37
)</f>
        <v>-1.1109492998140347E-2</v>
      </c>
      <c r="E103" s="5">
        <f>INDEX(Returns!$D$3:$D$1000, MATCH($B103, Returns!$A$3:$A$1000, 0))</f>
        <v>-2.9517014514014006E-2</v>
      </c>
      <c r="F103" s="5">
        <f t="shared" si="10"/>
        <v>3.8585942089629879</v>
      </c>
      <c r="G103" s="5">
        <f t="shared" si="11"/>
        <v>2.1891702180997745</v>
      </c>
      <c r="H103" s="5">
        <f t="shared" si="7"/>
        <v>3.8585942089629879</v>
      </c>
      <c r="I103" s="5" t="e">
        <f t="shared" si="8"/>
        <v>#N/A</v>
      </c>
      <c r="J103" s="5">
        <f t="shared" si="9"/>
        <v>1.8407521515873659E-2</v>
      </c>
    </row>
    <row r="104" spans="2:10" x14ac:dyDescent="0.2">
      <c r="B104" s="79">
        <f>IFERROR(INDEX(Table_RawData[Date], ROWS($B$18:B104)), "")</f>
        <v>44621</v>
      </c>
      <c r="C104" s="78" t="str">
        <f t="shared" si="6"/>
        <v>Train</v>
      </c>
      <c r="D104" s="5">
        <f t="array" ref="D104">MMULT(
INDEX(Returns!$B$3:$K$1000, MATCH($B104, Returns!$A$3:$A$1000, 0), 0),
Solver_Optimization!$C$28:$C$37
)</f>
        <v>2.7570931476205783E-2</v>
      </c>
      <c r="E104" s="5">
        <f>INDEX(Returns!$D$3:$D$1000, MATCH($B104, Returns!$A$3:$A$1000, 0))</f>
        <v>3.4376932414172057E-2</v>
      </c>
      <c r="F104" s="5">
        <f t="shared" si="10"/>
        <v>3.964979245492791</v>
      </c>
      <c r="G104" s="5">
        <f t="shared" si="11"/>
        <v>2.2644271747305087</v>
      </c>
      <c r="H104" s="5">
        <f t="shared" si="7"/>
        <v>3.964979245492791</v>
      </c>
      <c r="I104" s="5" t="e">
        <f t="shared" si="8"/>
        <v>#N/A</v>
      </c>
      <c r="J104" s="5">
        <f t="shared" si="9"/>
        <v>-6.8060009379662736E-3</v>
      </c>
    </row>
    <row r="105" spans="2:10" x14ac:dyDescent="0.2">
      <c r="B105" s="79">
        <f>IFERROR(INDEX(Table_RawData[Date], ROWS($B$18:B105)), "")</f>
        <v>44652</v>
      </c>
      <c r="C105" s="78" t="str">
        <f t="shared" si="6"/>
        <v>Train</v>
      </c>
      <c r="D105" s="5">
        <f t="array" ref="D105">MMULT(
INDEX(Returns!$B$3:$K$1000, MATCH($B105, Returns!$A$3:$A$1000, 0), 0),
Solver_Optimization!$C$28:$C$37
)</f>
        <v>-0.1024879152496808</v>
      </c>
      <c r="E105" s="5">
        <f>INDEX(Returns!$D$3:$D$1000, MATCH($B105, Returns!$A$3:$A$1000, 0))</f>
        <v>-8.776901957311134E-2</v>
      </c>
      <c r="F105" s="5">
        <f t="shared" si="10"/>
        <v>3.5586167886139823</v>
      </c>
      <c r="G105" s="5">
        <f t="shared" si="11"/>
        <v>2.0656806217097015</v>
      </c>
      <c r="H105" s="5">
        <f t="shared" si="7"/>
        <v>3.5586167886139823</v>
      </c>
      <c r="I105" s="5" t="e">
        <f t="shared" si="8"/>
        <v>#N/A</v>
      </c>
      <c r="J105" s="5">
        <f t="shared" si="9"/>
        <v>-1.4718895676569463E-2</v>
      </c>
    </row>
    <row r="106" spans="2:10" x14ac:dyDescent="0.2">
      <c r="B106" s="79">
        <f>IFERROR(INDEX(Table_RawData[Date], ROWS($B$18:B106)), "")</f>
        <v>44682</v>
      </c>
      <c r="C106" s="78" t="str">
        <f t="shared" si="6"/>
        <v>Train</v>
      </c>
      <c r="D106" s="5">
        <f t="array" ref="D106">MMULT(
INDEX(Returns!$B$3:$K$1000, MATCH($B106, Returns!$A$3:$A$1000, 0), 0),
Solver_Optimization!$C$28:$C$37
)</f>
        <v>-3.8285351729843184E-3</v>
      </c>
      <c r="E106" s="5">
        <f>INDEX(Returns!$D$3:$D$1000, MATCH($B106, Returns!$A$3:$A$1000, 0))</f>
        <v>2.257281553398105E-3</v>
      </c>
      <c r="F106" s="5">
        <f t="shared" si="10"/>
        <v>3.5449924990716011</v>
      </c>
      <c r="G106" s="5">
        <f t="shared" si="11"/>
        <v>2.0703434444722988</v>
      </c>
      <c r="H106" s="5">
        <f t="shared" si="7"/>
        <v>3.5449924990716011</v>
      </c>
      <c r="I106" s="5" t="e">
        <f t="shared" si="8"/>
        <v>#N/A</v>
      </c>
      <c r="J106" s="5">
        <f t="shared" si="9"/>
        <v>-6.0858167263824238E-3</v>
      </c>
    </row>
    <row r="107" spans="2:10" x14ac:dyDescent="0.2">
      <c r="B107" s="79">
        <f>IFERROR(INDEX(Table_RawData[Date], ROWS($B$18:B107)), "")</f>
        <v>44713</v>
      </c>
      <c r="C107" s="78" t="str">
        <f t="shared" si="6"/>
        <v>Train</v>
      </c>
      <c r="D107" s="5">
        <f t="array" ref="D107">MMULT(
INDEX(Returns!$B$3:$K$1000, MATCH($B107, Returns!$A$3:$A$1000, 0), 0),
Solver_Optimization!$C$28:$C$37
)</f>
        <v>-8.9386064765977005E-2</v>
      </c>
      <c r="E107" s="5">
        <f>INDEX(Returns!$D$3:$D$1000, MATCH($B107, Returns!$A$3:$A$1000, 0))</f>
        <v>-8.6406897052769271E-2</v>
      </c>
      <c r="F107" s="5">
        <f t="shared" si="10"/>
        <v>3.2281195699546843</v>
      </c>
      <c r="G107" s="5">
        <f t="shared" si="11"/>
        <v>1.8914514916019052</v>
      </c>
      <c r="H107" s="5">
        <f t="shared" si="7"/>
        <v>3.2281195699546843</v>
      </c>
      <c r="I107" s="5" t="e">
        <f t="shared" si="8"/>
        <v>#N/A</v>
      </c>
      <c r="J107" s="5">
        <f t="shared" si="9"/>
        <v>-2.9791677132077338E-3</v>
      </c>
    </row>
    <row r="108" spans="2:10" x14ac:dyDescent="0.2">
      <c r="B108" s="79">
        <f>IFERROR(INDEX(Table_RawData[Date], ROWS($B$18:B108)), "")</f>
        <v>44743</v>
      </c>
      <c r="C108" s="78" t="str">
        <f t="shared" si="6"/>
        <v>Train</v>
      </c>
      <c r="D108" s="5">
        <f t="array" ref="D108">MMULT(
INDEX(Returns!$B$3:$K$1000, MATCH($B108, Returns!$A$3:$A$1000, 0), 0),
Solver_Optimization!$C$28:$C$37
)</f>
        <v>6.8449042266730237E-2</v>
      </c>
      <c r="E108" s="5">
        <f>INDEX(Returns!$D$3:$D$1000, MATCH($B108, Returns!$A$3:$A$1000, 0))</f>
        <v>9.2087475149105424E-2</v>
      </c>
      <c r="F108" s="5">
        <f t="shared" si="10"/>
        <v>3.4490812628405716</v>
      </c>
      <c r="G108" s="5">
        <f t="shared" si="11"/>
        <v>2.0656304838305339</v>
      </c>
      <c r="H108" s="5">
        <f t="shared" si="7"/>
        <v>3.4490812628405716</v>
      </c>
      <c r="I108" s="5" t="e">
        <f t="shared" si="8"/>
        <v>#N/A</v>
      </c>
      <c r="J108" s="5">
        <f t="shared" si="9"/>
        <v>-2.3638432882375188E-2</v>
      </c>
    </row>
    <row r="109" spans="2:10" x14ac:dyDescent="0.2">
      <c r="B109" s="79">
        <f>IFERROR(INDEX(Table_RawData[Date], ROWS($B$18:B109)), "")</f>
        <v>44774</v>
      </c>
      <c r="C109" s="78" t="str">
        <f t="shared" si="6"/>
        <v>Train</v>
      </c>
      <c r="D109" s="5">
        <f t="array" ref="D109">MMULT(
INDEX(Returns!$B$3:$K$1000, MATCH($B109, Returns!$A$3:$A$1000, 0), 0),
Solver_Optimization!$C$28:$C$37
)</f>
        <v>-5.4276245447099455E-2</v>
      </c>
      <c r="E109" s="5">
        <f>INDEX(Returns!$D$3:$D$1000, MATCH($B109, Returns!$A$3:$A$1000, 0))</f>
        <v>-4.0801961212650784E-2</v>
      </c>
      <c r="F109" s="5">
        <f t="shared" si="10"/>
        <v>3.2618780816516453</v>
      </c>
      <c r="G109" s="5">
        <f t="shared" si="11"/>
        <v>1.9813487089496113</v>
      </c>
      <c r="H109" s="5">
        <f t="shared" si="7"/>
        <v>3.2618780816516453</v>
      </c>
      <c r="I109" s="5" t="e">
        <f t="shared" si="8"/>
        <v>#N/A</v>
      </c>
      <c r="J109" s="5">
        <f t="shared" si="9"/>
        <v>-1.3474284234448672E-2</v>
      </c>
    </row>
    <row r="110" spans="2:10" x14ac:dyDescent="0.2">
      <c r="B110" s="79">
        <f>IFERROR(INDEX(Table_RawData[Date], ROWS($B$18:B110)), "")</f>
        <v>44805</v>
      </c>
      <c r="C110" s="78" t="str">
        <f t="shared" si="6"/>
        <v>Train</v>
      </c>
      <c r="D110" s="5">
        <f t="array" ref="D110">MMULT(
INDEX(Returns!$B$3:$K$1000, MATCH($B110, Returns!$A$3:$A$1000, 0), 0),
Solver_Optimization!$C$28:$C$37
)</f>
        <v>-9.893545260212476E-2</v>
      </c>
      <c r="E110" s="5">
        <f>INDEX(Returns!$D$3:$D$1000, MATCH($B110, Returns!$A$3:$A$1000, 0))</f>
        <v>-9.6158712485449716E-2</v>
      </c>
      <c r="F110" s="5">
        <f t="shared" si="10"/>
        <v>2.9391626973104894</v>
      </c>
      <c r="G110" s="5">
        <f t="shared" si="11"/>
        <v>1.7908247681123086</v>
      </c>
      <c r="H110" s="5">
        <f t="shared" si="7"/>
        <v>2.9391626973104894</v>
      </c>
      <c r="I110" s="5" t="e">
        <f t="shared" si="8"/>
        <v>#N/A</v>
      </c>
      <c r="J110" s="5">
        <f t="shared" si="9"/>
        <v>-2.7767401166750444E-3</v>
      </c>
    </row>
    <row r="111" spans="2:10" x14ac:dyDescent="0.2">
      <c r="B111" s="79">
        <f>IFERROR(INDEX(Table_RawData[Date], ROWS($B$18:B111)), "")</f>
        <v>44835</v>
      </c>
      <c r="C111" s="78" t="str">
        <f t="shared" si="6"/>
        <v>Test</v>
      </c>
      <c r="D111" s="5">
        <f t="array" ref="D111">MMULT(
INDEX(Returns!$B$3:$K$1000, MATCH($B111, Returns!$A$3:$A$1000, 0), 0),
Solver_Optimization!$C$28:$C$37
)</f>
        <v>7.352805798017184E-2</v>
      </c>
      <c r="E111" s="5">
        <f>INDEX(Returns!$D$3:$D$1000, MATCH($B111, Returns!$A$3:$A$1000, 0))</f>
        <v>8.1275547343076182E-2</v>
      </c>
      <c r="F111" s="5">
        <f t="shared" si="10"/>
        <v>3.1552736225314932</v>
      </c>
      <c r="G111" s="5">
        <f t="shared" si="11"/>
        <v>1.9363750313361741</v>
      </c>
      <c r="H111" s="5" t="e">
        <f t="shared" si="7"/>
        <v>#N/A</v>
      </c>
      <c r="I111" s="5">
        <f t="shared" si="8"/>
        <v>3.1552736225314932</v>
      </c>
      <c r="J111" s="5">
        <f t="shared" si="9"/>
        <v>-7.7474893629043418E-3</v>
      </c>
    </row>
    <row r="112" spans="2:10" x14ac:dyDescent="0.2">
      <c r="B112" s="79">
        <f>IFERROR(INDEX(Table_RawData[Date], ROWS($B$18:B112)), "")</f>
        <v>44866</v>
      </c>
      <c r="C112" s="78" t="str">
        <f t="shared" si="6"/>
        <v>Test</v>
      </c>
      <c r="D112" s="5">
        <f t="array" ref="D112">MMULT(
INDEX(Returns!$B$3:$K$1000, MATCH($B112, Returns!$A$3:$A$1000, 0), 0),
Solver_Optimization!$C$28:$C$37
)</f>
        <v>0.10398928214909944</v>
      </c>
      <c r="E112" s="5">
        <f>INDEX(Returns!$D$3:$D$1000, MATCH($B112, Returns!$A$3:$A$1000, 0))</f>
        <v>5.5591517568162496E-2</v>
      </c>
      <c r="F112" s="5">
        <f t="shared" si="10"/>
        <v>3.4833882615225322</v>
      </c>
      <c r="G112" s="5">
        <f t="shared" si="11"/>
        <v>2.0440210579092501</v>
      </c>
      <c r="H112" s="5" t="e">
        <f t="shared" si="7"/>
        <v>#N/A</v>
      </c>
      <c r="I112" s="5">
        <f t="shared" si="8"/>
        <v>3.4833882615225322</v>
      </c>
      <c r="J112" s="5">
        <f t="shared" si="9"/>
        <v>4.8397764580936947E-2</v>
      </c>
    </row>
    <row r="113" spans="2:10" x14ac:dyDescent="0.2">
      <c r="B113" s="79">
        <f>IFERROR(INDEX(Table_RawData[Date], ROWS($B$18:B113)), "")</f>
        <v>44896</v>
      </c>
      <c r="C113" s="78" t="str">
        <f t="shared" si="6"/>
        <v>Test</v>
      </c>
      <c r="D113" s="5">
        <f t="array" ref="D113">MMULT(
INDEX(Returns!$B$3:$K$1000, MATCH($B113, Returns!$A$3:$A$1000, 0), 0),
Solver_Optimization!$C$28:$C$37
)</f>
        <v>-4.5408132398515252E-2</v>
      </c>
      <c r="E113" s="5">
        <f>INDEX(Returns!$D$3:$D$1000, MATCH($B113, Returns!$A$3:$A$1000, 0))</f>
        <v>-6.1935832025117765E-2</v>
      </c>
      <c r="F113" s="5">
        <f t="shared" si="10"/>
        <v>3.3252141061478833</v>
      </c>
      <c r="G113" s="5">
        <f t="shared" si="11"/>
        <v>1.9174229130107794</v>
      </c>
      <c r="H113" s="5" t="e">
        <f t="shared" si="7"/>
        <v>#N/A</v>
      </c>
      <c r="I113" s="5">
        <f t="shared" si="8"/>
        <v>3.3252141061478833</v>
      </c>
      <c r="J113" s="5">
        <f t="shared" si="9"/>
        <v>1.6527699626602513E-2</v>
      </c>
    </row>
    <row r="114" spans="2:10" x14ac:dyDescent="0.2">
      <c r="B114" s="79">
        <f>IFERROR(INDEX(Table_RawData[Date], ROWS($B$18:B114)), "")</f>
        <v>44927</v>
      </c>
      <c r="C114" s="78" t="str">
        <f t="shared" si="6"/>
        <v>Test</v>
      </c>
      <c r="D114" s="5">
        <f t="array" ref="D114">MMULT(
INDEX(Returns!$B$3:$K$1000, MATCH($B114, Returns!$A$3:$A$1000, 0), 0),
Solver_Optimization!$C$28:$C$37
)</f>
        <v>9.5053907409438643E-2</v>
      </c>
      <c r="E114" s="5">
        <f>INDEX(Returns!$D$3:$D$1000, MATCH($B114, Returns!$A$3:$A$1000, 0))</f>
        <v>6.2887325785111026E-2</v>
      </c>
      <c r="F114" s="5">
        <f t="shared" si="10"/>
        <v>3.6412886999102239</v>
      </c>
      <c r="G114" s="5">
        <f t="shared" si="11"/>
        <v>2.0380045124091248</v>
      </c>
      <c r="H114" s="5" t="e">
        <f t="shared" si="7"/>
        <v>#N/A</v>
      </c>
      <c r="I114" s="5">
        <f t="shared" si="8"/>
        <v>3.6412886999102239</v>
      </c>
      <c r="J114" s="5">
        <f t="shared" si="9"/>
        <v>3.2166581624327617E-2</v>
      </c>
    </row>
    <row r="115" spans="2:10" x14ac:dyDescent="0.2">
      <c r="B115" s="79">
        <f>IFERROR(INDEX(Table_RawData[Date], ROWS($B$18:B115)), "")</f>
        <v>44958</v>
      </c>
      <c r="C115" s="78" t="str">
        <f t="shared" si="6"/>
        <v>Test</v>
      </c>
      <c r="D115" s="5">
        <f t="array" ref="D115">MMULT(
INDEX(Returns!$B$3:$K$1000, MATCH($B115, Returns!$A$3:$A$1000, 0), 0),
Solver_Optimization!$C$28:$C$37
)</f>
        <v>8.8757522356778546E-3</v>
      </c>
      <c r="E115" s="5">
        <f>INDEX(Returns!$D$3:$D$1000, MATCH($B115, Returns!$A$3:$A$1000, 0))</f>
        <v>-2.514268844715617E-2</v>
      </c>
      <c r="F115" s="5">
        <f t="shared" si="10"/>
        <v>3.6736078762292008</v>
      </c>
      <c r="G115" s="5">
        <f t="shared" si="11"/>
        <v>1.9867635998997237</v>
      </c>
      <c r="H115" s="5" t="e">
        <f t="shared" si="7"/>
        <v>#N/A</v>
      </c>
      <c r="I115" s="5">
        <f t="shared" si="8"/>
        <v>3.6736078762292008</v>
      </c>
      <c r="J115" s="5">
        <f t="shared" si="9"/>
        <v>3.4018440682834022E-2</v>
      </c>
    </row>
    <row r="116" spans="2:10" x14ac:dyDescent="0.2">
      <c r="B116" s="79">
        <f>IFERROR(INDEX(Table_RawData[Date], ROWS($B$18:B116)), "")</f>
        <v>44986</v>
      </c>
      <c r="C116" s="78" t="str">
        <f t="shared" si="6"/>
        <v>Test</v>
      </c>
      <c r="D116" s="5">
        <f t="array" ref="D116">MMULT(
INDEX(Returns!$B$3:$K$1000, MATCH($B116, Returns!$A$3:$A$1000, 0), 0),
Solver_Optimization!$C$28:$C$37
)</f>
        <v>6.8075396451631132E-2</v>
      </c>
      <c r="E116" s="5">
        <f>INDEX(Returns!$D$3:$D$1000, MATCH($B116, Returns!$A$3:$A$1000, 0))</f>
        <v>3.3134810477968957E-2</v>
      </c>
      <c r="F116" s="5">
        <f t="shared" si="10"/>
        <v>3.9236901888113387</v>
      </c>
      <c r="G116" s="5">
        <f t="shared" si="11"/>
        <v>2.0525946352469284</v>
      </c>
      <c r="H116" s="5" t="e">
        <f t="shared" si="7"/>
        <v>#N/A</v>
      </c>
      <c r="I116" s="5">
        <f t="shared" si="8"/>
        <v>3.9236901888113387</v>
      </c>
      <c r="J116" s="5">
        <f t="shared" si="9"/>
        <v>3.4940585973662175E-2</v>
      </c>
    </row>
    <row r="117" spans="2:10" x14ac:dyDescent="0.2">
      <c r="B117" s="79">
        <f>IFERROR(INDEX(Table_RawData[Date], ROWS($B$18:B117)), "")</f>
        <v>45017</v>
      </c>
      <c r="C117" s="78" t="str">
        <f t="shared" si="6"/>
        <v>Test</v>
      </c>
      <c r="D117" s="5">
        <f t="array" ref="D117">MMULT(
INDEX(Returns!$B$3:$K$1000, MATCH($B117, Returns!$A$3:$A$1000, 0), 0),
Solver_Optimization!$C$28:$C$37
)</f>
        <v>1.7323702969813323E-2</v>
      </c>
      <c r="E117" s="5">
        <f>INDEX(Returns!$D$3:$D$1000, MATCH($B117, Returns!$A$3:$A$1000, 0))</f>
        <v>1.5974987176042399E-2</v>
      </c>
      <c r="F117" s="5">
        <f t="shared" si="10"/>
        <v>3.9916630321878768</v>
      </c>
      <c r="G117" s="5">
        <f t="shared" si="11"/>
        <v>2.0853848082226114</v>
      </c>
      <c r="H117" s="5" t="e">
        <f t="shared" si="7"/>
        <v>#N/A</v>
      </c>
      <c r="I117" s="5">
        <f t="shared" si="8"/>
        <v>3.9916630321878768</v>
      </c>
      <c r="J117" s="5">
        <f t="shared" si="9"/>
        <v>1.3487157937709243E-3</v>
      </c>
    </row>
    <row r="118" spans="2:10" x14ac:dyDescent="0.2">
      <c r="B118" s="79">
        <f>IFERROR(INDEX(Table_RawData[Date], ROWS($B$18:B118)), "")</f>
        <v>45047</v>
      </c>
      <c r="C118" s="78" t="str">
        <f t="shared" si="6"/>
        <v>Test</v>
      </c>
      <c r="D118" s="5">
        <f t="array" ref="D118">MMULT(
INDEX(Returns!$B$3:$K$1000, MATCH($B118, Returns!$A$3:$A$1000, 0), 0),
Solver_Optimization!$C$28:$C$37
)</f>
        <v>5.3190694202089363E-2</v>
      </c>
      <c r="E118" s="5">
        <f>INDEX(Returns!$D$3:$D$1000, MATCH($B118, Returns!$A$3:$A$1000, 0))</f>
        <v>4.6161613733080031E-3</v>
      </c>
      <c r="F118" s="5">
        <f t="shared" si="10"/>
        <v>4.2039823598907669</v>
      </c>
      <c r="G118" s="5">
        <f t="shared" si="11"/>
        <v>2.0950112810228121</v>
      </c>
      <c r="H118" s="5" t="e">
        <f t="shared" si="7"/>
        <v>#N/A</v>
      </c>
      <c r="I118" s="5">
        <f t="shared" si="8"/>
        <v>4.2039823598907669</v>
      </c>
      <c r="J118" s="5">
        <f t="shared" si="9"/>
        <v>4.857453282878136E-2</v>
      </c>
    </row>
    <row r="119" spans="2:10" x14ac:dyDescent="0.2">
      <c r="B119" s="79">
        <f>IFERROR(INDEX(Table_RawData[Date], ROWS($B$18:B119)), "")</f>
        <v>45078</v>
      </c>
      <c r="C119" s="78" t="str">
        <f t="shared" si="6"/>
        <v>Test</v>
      </c>
      <c r="D119" s="5">
        <f t="array" ref="D119">MMULT(
INDEX(Returns!$B$3:$K$1000, MATCH($B119, Returns!$A$3:$A$1000, 0), 0),
Solver_Optimization!$C$28:$C$37
)</f>
        <v>5.2904203258667494E-2</v>
      </c>
      <c r="E119" s="5">
        <f>INDEX(Returns!$D$3:$D$1000, MATCH($B119, Returns!$A$3:$A$1000, 0))</f>
        <v>6.0859159985640732E-2</v>
      </c>
      <c r="F119" s="5">
        <f t="shared" si="10"/>
        <v>4.4263906971542806</v>
      </c>
      <c r="G119" s="5">
        <f t="shared" si="11"/>
        <v>2.2225119077463016</v>
      </c>
      <c r="H119" s="5" t="e">
        <f t="shared" si="7"/>
        <v>#N/A</v>
      </c>
      <c r="I119" s="5">
        <f t="shared" si="8"/>
        <v>4.4263906971542806</v>
      </c>
      <c r="J119" s="5">
        <f t="shared" si="9"/>
        <v>-7.9549567269732377E-3</v>
      </c>
    </row>
    <row r="120" spans="2:10" x14ac:dyDescent="0.2">
      <c r="B120" s="79">
        <f>IFERROR(INDEX(Table_RawData[Date], ROWS($B$18:B120)), "")</f>
        <v>45108</v>
      </c>
      <c r="C120" s="78" t="str">
        <f t="shared" si="6"/>
        <v>Test</v>
      </c>
      <c r="D120" s="5">
        <f t="array" ref="D120">MMULT(
INDEX(Returns!$B$3:$K$1000, MATCH($B120, Returns!$A$3:$A$1000, 0), 0),
Solver_Optimization!$C$28:$C$37
)</f>
        <v>4.6318447877313491E-2</v>
      </c>
      <c r="E120" s="5">
        <f>INDEX(Returns!$D$3:$D$1000, MATCH($B120, Returns!$A$3:$A$1000, 0))</f>
        <v>3.2733261144197945E-2</v>
      </c>
      <c r="F120" s="5">
        <f t="shared" si="10"/>
        <v>4.6314142439450467</v>
      </c>
      <c r="G120" s="5">
        <f t="shared" si="11"/>
        <v>2.2952619704186508</v>
      </c>
      <c r="H120" s="5" t="e">
        <f t="shared" si="7"/>
        <v>#N/A</v>
      </c>
      <c r="I120" s="5">
        <f t="shared" si="8"/>
        <v>4.6314142439450467</v>
      </c>
      <c r="J120" s="5">
        <f t="shared" si="9"/>
        <v>1.3585186733115547E-2</v>
      </c>
    </row>
    <row r="121" spans="2:10" x14ac:dyDescent="0.2">
      <c r="B121" s="79">
        <f>IFERROR(INDEX(Table_RawData[Date], ROWS($B$18:B121)), "")</f>
        <v>45139</v>
      </c>
      <c r="C121" s="78" t="str">
        <f t="shared" si="6"/>
        <v>Test</v>
      </c>
      <c r="D121" s="5">
        <f t="array" ref="D121">MMULT(
INDEX(Returns!$B$3:$K$1000, MATCH($B121, Returns!$A$3:$A$1000, 0), 0),
Solver_Optimization!$C$28:$C$37
)</f>
        <v>-1.2297172358909345E-2</v>
      </c>
      <c r="E121" s="5">
        <f>INDEX(Returns!$D$3:$D$1000, MATCH($B121, Returns!$A$3:$A$1000, 0))</f>
        <v>-1.6251993272024312E-2</v>
      </c>
      <c r="F121" s="5">
        <f t="shared" si="10"/>
        <v>4.5744609447217464</v>
      </c>
      <c r="G121" s="5">
        <f t="shared" si="11"/>
        <v>2.2579593883178735</v>
      </c>
      <c r="H121" s="5" t="e">
        <f t="shared" si="7"/>
        <v>#N/A</v>
      </c>
      <c r="I121" s="5">
        <f t="shared" si="8"/>
        <v>4.5744609447217464</v>
      </c>
      <c r="J121" s="5">
        <f t="shared" si="9"/>
        <v>3.9548209131149668E-3</v>
      </c>
    </row>
    <row r="122" spans="2:10" x14ac:dyDescent="0.2">
      <c r="B122" s="79">
        <f>IFERROR(INDEX(Table_RawData[Date], ROWS($B$18:B122)), "")</f>
        <v>45170</v>
      </c>
      <c r="C122" s="78" t="str">
        <f t="shared" si="6"/>
        <v>Test</v>
      </c>
      <c r="D122" s="5">
        <f t="array" ref="D122">MMULT(
INDEX(Returns!$B$3:$K$1000, MATCH($B122, Returns!$A$3:$A$1000, 0), 0),
Solver_Optimization!$C$28:$C$37
)</f>
        <v>-5.8452856218078282E-2</v>
      </c>
      <c r="E122" s="5">
        <f>INDEX(Returns!$D$3:$D$1000, MATCH($B122, Returns!$A$3:$A$1000, 0))</f>
        <v>-5.0782724547574154E-2</v>
      </c>
      <c r="F122" s="5">
        <f t="shared" si="10"/>
        <v>4.3070706368447116</v>
      </c>
      <c r="G122" s="5">
        <f t="shared" si="11"/>
        <v>2.1432940586613181</v>
      </c>
      <c r="H122" s="5" t="e">
        <f t="shared" si="7"/>
        <v>#N/A</v>
      </c>
      <c r="I122" s="5">
        <f t="shared" si="8"/>
        <v>4.3070706368447116</v>
      </c>
      <c r="J122" s="5">
        <f t="shared" si="9"/>
        <v>-7.6701316705041281E-3</v>
      </c>
    </row>
    <row r="123" spans="2:10" x14ac:dyDescent="0.2">
      <c r="B123" s="79">
        <f>IFERROR(INDEX(Table_RawData[Date], ROWS($B$18:B123)), "")</f>
        <v>45200</v>
      </c>
      <c r="C123" s="78" t="str">
        <f t="shared" si="6"/>
        <v>Test</v>
      </c>
      <c r="D123" s="5">
        <f t="array" ref="D123">MMULT(
INDEX(Returns!$B$3:$K$1000, MATCH($B123, Returns!$A$3:$A$1000, 0), 0),
Solver_Optimization!$C$28:$C$37
)</f>
        <v>-5.561011416660047E-3</v>
      </c>
      <c r="E123" s="5">
        <f>INDEX(Returns!$D$3:$D$1000, MATCH($B123, Returns!$A$3:$A$1000, 0))</f>
        <v>-2.1708617947038489E-2</v>
      </c>
      <c r="F123" s="5">
        <f t="shared" si="10"/>
        <v>4.2831189678608563</v>
      </c>
      <c r="G123" s="5">
        <f t="shared" si="11"/>
        <v>2.096766106793682</v>
      </c>
      <c r="H123" s="5" t="e">
        <f t="shared" si="7"/>
        <v>#N/A</v>
      </c>
      <c r="I123" s="5">
        <f t="shared" si="8"/>
        <v>4.2831189678608563</v>
      </c>
      <c r="J123" s="5">
        <f t="shared" si="9"/>
        <v>1.6147606530378441E-2</v>
      </c>
    </row>
    <row r="124" spans="2:10" x14ac:dyDescent="0.2">
      <c r="B124" s="79">
        <f>IFERROR(INDEX(Table_RawData[Date], ROWS($B$18:B124)), "")</f>
        <v>45231</v>
      </c>
      <c r="C124" s="78" t="str">
        <f t="shared" si="6"/>
        <v>Test</v>
      </c>
      <c r="D124" s="5">
        <f t="array" ref="D124">MMULT(
INDEX(Returns!$B$3:$K$1000, MATCH($B124, Returns!$A$3:$A$1000, 0), 0),
Solver_Optimization!$C$28:$C$37
)</f>
        <v>8.8562694227601518E-2</v>
      </c>
      <c r="E124" s="5">
        <f>INDEX(Returns!$D$3:$D$1000, MATCH($B124, Returns!$A$3:$A$1000, 0))</f>
        <v>9.1343854615016706E-2</v>
      </c>
      <c r="F124" s="5">
        <f t="shared" si="10"/>
        <v>4.662443523351957</v>
      </c>
      <c r="G124" s="5">
        <f t="shared" si="11"/>
        <v>2.2882928052143385</v>
      </c>
      <c r="H124" s="5" t="e">
        <f t="shared" si="7"/>
        <v>#N/A</v>
      </c>
      <c r="I124" s="5">
        <f t="shared" si="8"/>
        <v>4.662443523351957</v>
      </c>
      <c r="J124" s="5">
        <f t="shared" si="9"/>
        <v>-2.781160387415188E-3</v>
      </c>
    </row>
    <row r="125" spans="2:10" x14ac:dyDescent="0.2">
      <c r="B125" s="79">
        <f>IFERROR(INDEX(Table_RawData[Date], ROWS($B$18:B125)), "")</f>
        <v>45261</v>
      </c>
      <c r="C125" s="78" t="str">
        <f t="shared" si="6"/>
        <v>Test</v>
      </c>
      <c r="D125" s="5">
        <f t="array" ref="D125">MMULT(
INDEX(Returns!$B$3:$K$1000, MATCH($B125, Returns!$A$3:$A$1000, 0), 0),
Solver_Optimization!$C$28:$C$37
)</f>
        <v>3.5079309798344824E-2</v>
      </c>
      <c r="E125" s="5">
        <f>INDEX(Returns!$D$3:$D$1000, MATCH($B125, Returns!$A$3:$A$1000, 0))</f>
        <v>4.1432953549517926E-2</v>
      </c>
      <c r="F125" s="5">
        <f t="shared" si="10"/>
        <v>4.8259988241249063</v>
      </c>
      <c r="G125" s="5">
        <f t="shared" si="11"/>
        <v>2.3831035347204801</v>
      </c>
      <c r="H125" s="5" t="e">
        <f t="shared" si="7"/>
        <v>#N/A</v>
      </c>
      <c r="I125" s="5">
        <f t="shared" si="8"/>
        <v>4.8259988241249063</v>
      </c>
      <c r="J125" s="5">
        <f t="shared" si="9"/>
        <v>-6.353643751173102E-3</v>
      </c>
    </row>
    <row r="126" spans="2:10" x14ac:dyDescent="0.2">
      <c r="B126" s="79">
        <f>IFERROR(INDEX(Table_RawData[Date], ROWS($B$18:B126)), "")</f>
        <v>45292</v>
      </c>
      <c r="C126" s="78" t="str">
        <f t="shared" si="6"/>
        <v>Test</v>
      </c>
      <c r="D126" s="5">
        <f t="array" ref="D126">MMULT(
INDEX(Returns!$B$3:$K$1000, MATCH($B126, Returns!$A$3:$A$1000, 0), 0),
Solver_Optimization!$C$28:$C$37
)</f>
        <v>4.9470390720970828E-2</v>
      </c>
      <c r="E126" s="5">
        <f>INDEX(Returns!$D$3:$D$1000, MATCH($B126, Returns!$A$3:$A$1000, 0))</f>
        <v>1.592644800235643E-2</v>
      </c>
      <c r="F126" s="5">
        <f t="shared" si="10"/>
        <v>5.0647428715733112</v>
      </c>
      <c r="G126" s="5">
        <f t="shared" si="11"/>
        <v>2.4210579092504378</v>
      </c>
      <c r="H126" s="5" t="e">
        <f t="shared" si="7"/>
        <v>#N/A</v>
      </c>
      <c r="I126" s="5">
        <f t="shared" si="8"/>
        <v>5.0647428715733112</v>
      </c>
      <c r="J126" s="5">
        <f t="shared" si="9"/>
        <v>3.3543942718614397E-2</v>
      </c>
    </row>
    <row r="127" spans="2:10" x14ac:dyDescent="0.2">
      <c r="B127" s="79">
        <f>IFERROR(INDEX(Table_RawData[Date], ROWS($B$18:B127)), "")</f>
        <v>45323</v>
      </c>
      <c r="C127" s="78" t="str">
        <f t="shared" si="6"/>
        <v>Test</v>
      </c>
      <c r="D127" s="5">
        <f t="array" ref="D127">MMULT(
INDEX(Returns!$B$3:$K$1000, MATCH($B127, Returns!$A$3:$A$1000, 0), 0),
Solver_Optimization!$C$28:$C$37
)</f>
        <v>7.3381542146760612E-2</v>
      </c>
      <c r="E127" s="5">
        <f>INDEX(Returns!$D$3:$D$1000, MATCH($B127, Returns!$A$3:$A$1000, 0))</f>
        <v>5.2186878727634278E-2</v>
      </c>
      <c r="F127" s="5">
        <f t="shared" si="10"/>
        <v>5.4364015140661728</v>
      </c>
      <c r="G127" s="5">
        <f t="shared" si="11"/>
        <v>2.5474053647530703</v>
      </c>
      <c r="H127" s="5" t="e">
        <f t="shared" si="7"/>
        <v>#N/A</v>
      </c>
      <c r="I127" s="5">
        <f t="shared" si="8"/>
        <v>5.4364015140661728</v>
      </c>
      <c r="J127" s="5">
        <f t="shared" si="9"/>
        <v>2.1194663419126333E-2</v>
      </c>
    </row>
    <row r="128" spans="2:10" x14ac:dyDescent="0.2">
      <c r="B128" s="79">
        <f>IFERROR(INDEX(Table_RawData[Date], ROWS($B$18:B128)), "")</f>
        <v>45352</v>
      </c>
      <c r="C128" s="78" t="str">
        <f t="shared" si="6"/>
        <v>Test</v>
      </c>
      <c r="D128" s="5">
        <f t="array" ref="D128">MMULT(
INDEX(Returns!$B$3:$K$1000, MATCH($B128, Returns!$A$3:$A$1000, 0), 0),
Solver_Optimization!$C$28:$C$37
)</f>
        <v>5.910117364264858E-2</v>
      </c>
      <c r="E128" s="5">
        <f>INDEX(Returns!$D$3:$D$1000, MATCH($B128, Returns!$A$3:$A$1000, 0))</f>
        <v>2.9503227838135748E-2</v>
      </c>
      <c r="F128" s="5">
        <f t="shared" si="10"/>
        <v>5.757699223940155</v>
      </c>
      <c r="G128" s="5">
        <f t="shared" si="11"/>
        <v>2.6225620456254695</v>
      </c>
      <c r="H128" s="5" t="e">
        <f t="shared" si="7"/>
        <v>#N/A</v>
      </c>
      <c r="I128" s="5">
        <f t="shared" si="8"/>
        <v>5.757699223940155</v>
      </c>
      <c r="J128" s="5">
        <f t="shared" si="9"/>
        <v>2.9597945804512832E-2</v>
      </c>
    </row>
    <row r="129" spans="2:10" x14ac:dyDescent="0.2">
      <c r="B129" s="79">
        <f>IFERROR(INDEX(Table_RawData[Date], ROWS($B$18:B129)), "")</f>
        <v>45383</v>
      </c>
      <c r="C129" s="78" t="str">
        <f t="shared" si="6"/>
        <v>Test</v>
      </c>
      <c r="D129" s="5">
        <f t="array" ref="D129">MMULT(
INDEX(Returns!$B$3:$K$1000, MATCH($B129, Returns!$A$3:$A$1000, 0), 0),
Solver_Optimization!$C$28:$C$37
)</f>
        <v>-2.3994202078795518E-2</v>
      </c>
      <c r="E129" s="5">
        <f>INDEX(Returns!$D$3:$D$1000, MATCH($B129, Returns!$A$3:$A$1000, 0))</f>
        <v>-4.0319651289502434E-2</v>
      </c>
      <c r="F129" s="5">
        <f t="shared" si="10"/>
        <v>5.6195478252520106</v>
      </c>
      <c r="G129" s="5">
        <f t="shared" si="11"/>
        <v>2.5168212584607663</v>
      </c>
      <c r="H129" s="5" t="e">
        <f t="shared" si="7"/>
        <v>#N/A</v>
      </c>
      <c r="I129" s="5">
        <f t="shared" si="8"/>
        <v>5.6195478252520106</v>
      </c>
      <c r="J129" s="5">
        <f t="shared" si="9"/>
        <v>1.6325449210706916E-2</v>
      </c>
    </row>
    <row r="130" spans="2:10" x14ac:dyDescent="0.2">
      <c r="B130" s="79">
        <f>IFERROR(INDEX(Table_RawData[Date], ROWS($B$18:B130)), "")</f>
        <v>45413</v>
      </c>
      <c r="C130" s="78" t="str">
        <f t="shared" si="6"/>
        <v>Test</v>
      </c>
      <c r="D130" s="5">
        <f t="array" ref="D130">MMULT(
INDEX(Returns!$B$3:$K$1000, MATCH($B130, Returns!$A$3:$A$1000, 0), 0),
Solver_Optimization!$C$28:$C$37
)</f>
        <v>7.6816594673842359E-2</v>
      </c>
      <c r="E130" s="5">
        <f>INDEX(Returns!$D$3:$D$1000, MATCH($B130, Returns!$A$3:$A$1000, 0))</f>
        <v>5.0579704370691925E-2</v>
      </c>
      <c r="F130" s="5">
        <f t="shared" si="10"/>
        <v>6.0512223527946665</v>
      </c>
      <c r="G130" s="5">
        <f t="shared" si="11"/>
        <v>2.6441213336675848</v>
      </c>
      <c r="H130" s="5" t="e">
        <f t="shared" si="7"/>
        <v>#N/A</v>
      </c>
      <c r="I130" s="5">
        <f t="shared" si="8"/>
        <v>6.0512223527946665</v>
      </c>
      <c r="J130" s="5">
        <f t="shared" si="9"/>
        <v>2.6236890303150434E-2</v>
      </c>
    </row>
    <row r="131" spans="2:10" x14ac:dyDescent="0.2">
      <c r="B131" s="79">
        <f>IFERROR(INDEX(Table_RawData[Date], ROWS($B$18:B131)), "")</f>
        <v>45444</v>
      </c>
      <c r="C131" s="78" t="str">
        <f t="shared" si="6"/>
        <v>Test</v>
      </c>
      <c r="D131" s="5">
        <f t="array" ref="D131">MMULT(
INDEX(Returns!$B$3:$K$1000, MATCH($B131, Returns!$A$3:$A$1000, 0), 0),
Solver_Optimization!$C$28:$C$37
)</f>
        <v>3.7786007784149561E-2</v>
      </c>
      <c r="E131" s="5">
        <f>INDEX(Returns!$D$3:$D$1000, MATCH($B131, Returns!$A$3:$A$1000, 0))</f>
        <v>3.1951002142708296E-2</v>
      </c>
      <c r="F131" s="5">
        <f t="shared" si="10"/>
        <v>6.2798738877209859</v>
      </c>
      <c r="G131" s="5">
        <f t="shared" si="11"/>
        <v>2.7286036600651786</v>
      </c>
      <c r="H131" s="5" t="e">
        <f t="shared" si="7"/>
        <v>#N/A</v>
      </c>
      <c r="I131" s="5">
        <f t="shared" si="8"/>
        <v>6.2798738877209859</v>
      </c>
      <c r="J131" s="5">
        <f t="shared" si="9"/>
        <v>5.8350056414412654E-3</v>
      </c>
    </row>
    <row r="132" spans="2:10" x14ac:dyDescent="0.2">
      <c r="B132" s="79">
        <f>IFERROR(INDEX(Table_RawData[Date], ROWS($B$18:B132)), "")</f>
        <v>45474</v>
      </c>
      <c r="C132" s="78" t="str">
        <f t="shared" si="6"/>
        <v>Test</v>
      </c>
      <c r="D132" s="5">
        <f t="array" ref="D132">MMULT(
INDEX(Returns!$B$3:$K$1000, MATCH($B132, Returns!$A$3:$A$1000, 0), 0),
Solver_Optimization!$C$28:$C$37
)</f>
        <v>7.6118953071843661E-3</v>
      </c>
      <c r="E132" s="5">
        <f>INDEX(Returns!$D$3:$D$1000, MATCH($B132, Returns!$A$3:$A$1000, 0))</f>
        <v>1.2109073536437309E-2</v>
      </c>
      <c r="F132" s="5">
        <f t="shared" si="10"/>
        <v>6.327675630296639</v>
      </c>
      <c r="G132" s="5">
        <f t="shared" si="11"/>
        <v>2.7616445224366997</v>
      </c>
      <c r="H132" s="5" t="e">
        <f t="shared" si="7"/>
        <v>#N/A</v>
      </c>
      <c r="I132" s="5">
        <f t="shared" si="8"/>
        <v>6.327675630296639</v>
      </c>
      <c r="J132" s="5">
        <f t="shared" si="9"/>
        <v>-4.4971782292529431E-3</v>
      </c>
    </row>
    <row r="133" spans="2:10" x14ac:dyDescent="0.2">
      <c r="B133" s="79">
        <f>IFERROR(INDEX(Table_RawData[Date], ROWS($B$18:B133)), "")</f>
        <v>45505</v>
      </c>
      <c r="C133" s="78" t="str">
        <f t="shared" si="6"/>
        <v>Test</v>
      </c>
      <c r="D133" s="5">
        <f t="array" ref="D133">MMULT(
INDEX(Returns!$B$3:$K$1000, MATCH($B133, Returns!$A$3:$A$1000, 0), 0),
Solver_Optimization!$C$28:$C$37
)</f>
        <v>2.8160814588668554E-2</v>
      </c>
      <c r="E133" s="5">
        <f>INDEX(Returns!$D$3:$D$1000, MATCH($B133, Returns!$A$3:$A$1000, 0))</f>
        <v>2.3365588860042585E-2</v>
      </c>
      <c r="F133" s="5">
        <f t="shared" si="10"/>
        <v>6.5058681304986585</v>
      </c>
      <c r="G133" s="5">
        <f t="shared" si="11"/>
        <v>2.8261719729255441</v>
      </c>
      <c r="H133" s="5" t="e">
        <f t="shared" si="7"/>
        <v>#N/A</v>
      </c>
      <c r="I133" s="5">
        <f t="shared" si="8"/>
        <v>6.5058681304986585</v>
      </c>
      <c r="J133" s="5">
        <f t="shared" si="9"/>
        <v>4.7952257286259688E-3</v>
      </c>
    </row>
    <row r="134" spans="2:10" x14ac:dyDescent="0.2">
      <c r="B134" s="79">
        <f>IFERROR(INDEX(Table_RawData[Date], ROWS($B$18:B134)), "")</f>
        <v>45536</v>
      </c>
      <c r="C134" s="78" t="str">
        <f t="shared" si="6"/>
        <v>Test</v>
      </c>
      <c r="D134" s="5">
        <f t="array" ref="D134">MMULT(
INDEX(Returns!$B$3:$K$1000, MATCH($B134, Returns!$A$3:$A$1000, 0), 0),
Solver_Optimization!$C$28:$C$37
)</f>
        <v>1.6376854598759275E-2</v>
      </c>
      <c r="E134" s="5">
        <f>INDEX(Returns!$D$3:$D$1000, MATCH($B134, Returns!$A$3:$A$1000, 0))</f>
        <v>1.7882486517172946E-2</v>
      </c>
      <c r="F134" s="5">
        <f t="shared" si="10"/>
        <v>6.6124137869105368</v>
      </c>
      <c r="G134" s="5">
        <f t="shared" si="11"/>
        <v>2.876710955126597</v>
      </c>
      <c r="H134" s="5" t="e">
        <f t="shared" si="7"/>
        <v>#N/A</v>
      </c>
      <c r="I134" s="5">
        <f t="shared" si="8"/>
        <v>6.6124137869105368</v>
      </c>
      <c r="J134" s="5">
        <f t="shared" si="9"/>
        <v>-1.5056319184136718E-3</v>
      </c>
    </row>
    <row r="135" spans="2:10" x14ac:dyDescent="0.2">
      <c r="B135" s="79">
        <f>IFERROR(INDEX(Table_RawData[Date], ROWS($B$18:B135)), "")</f>
        <v>45566</v>
      </c>
      <c r="C135" s="78" t="str">
        <f t="shared" si="6"/>
        <v>Test</v>
      </c>
      <c r="D135" s="5">
        <f t="array" ref="D135">MMULT(
INDEX(Returns!$B$3:$K$1000, MATCH($B135, Returns!$A$3:$A$1000, 0), 0),
Solver_Optimization!$C$28:$C$37
)</f>
        <v>1.7653464840724876E-2</v>
      </c>
      <c r="E135" s="5">
        <f>INDEX(Returns!$D$3:$D$1000, MATCH($B135, Returns!$A$3:$A$1000, 0))</f>
        <v>-8.9235917456776948E-3</v>
      </c>
      <c r="F135" s="5">
        <f t="shared" si="10"/>
        <v>6.7291458012100867</v>
      </c>
      <c r="G135" s="5">
        <f t="shared" si="11"/>
        <v>2.8510403609927288</v>
      </c>
      <c r="H135" s="5" t="e">
        <f t="shared" si="7"/>
        <v>#N/A</v>
      </c>
      <c r="I135" s="5">
        <f t="shared" si="8"/>
        <v>6.7291458012100867</v>
      </c>
      <c r="J135" s="5">
        <f t="shared" si="9"/>
        <v>2.6577056586402571E-2</v>
      </c>
    </row>
    <row r="136" spans="2:10" x14ac:dyDescent="0.2">
      <c r="B136" s="79">
        <f>IFERROR(INDEX(Table_RawData[Date], ROWS($B$18:B136)), "")</f>
        <v>45597</v>
      </c>
      <c r="C136" s="78" t="str">
        <f t="shared" si="6"/>
        <v>Test</v>
      </c>
      <c r="D136" s="5">
        <f t="array" ref="D136">MMULT(
INDEX(Returns!$B$3:$K$1000, MATCH($B136, Returns!$A$3:$A$1000, 0), 0),
Solver_Optimization!$C$28:$C$37
)</f>
        <v>4.609200756088476E-2</v>
      </c>
      <c r="E136" s="5">
        <f>INDEX(Returns!$D$3:$D$1000, MATCH($B136, Returns!$A$3:$A$1000, 0))</f>
        <v>5.9633511536297146E-2</v>
      </c>
      <c r="F136" s="5">
        <f t="shared" si="10"/>
        <v>7.0393056403577585</v>
      </c>
      <c r="G136" s="5">
        <f t="shared" si="11"/>
        <v>3.0210579092504375</v>
      </c>
      <c r="H136" s="5" t="e">
        <f t="shared" si="7"/>
        <v>#N/A</v>
      </c>
      <c r="I136" s="5">
        <f t="shared" si="8"/>
        <v>7.0393056403577585</v>
      </c>
      <c r="J136" s="5">
        <f t="shared" si="9"/>
        <v>-1.3541503975412386E-2</v>
      </c>
    </row>
    <row r="137" spans="2:10" x14ac:dyDescent="0.2">
      <c r="B137" s="79">
        <f>IFERROR(INDEX(Table_RawData[Date], ROWS($B$18:B137)), "")</f>
        <v>45627</v>
      </c>
      <c r="C137" s="78" t="str">
        <f t="shared" si="6"/>
        <v>Test</v>
      </c>
      <c r="D137" s="5">
        <f t="array" ref="D137">MMULT(
INDEX(Returns!$B$3:$K$1000, MATCH($B137, Returns!$A$3:$A$1000, 0), 0),
Solver_Optimization!$C$28:$C$37
)</f>
        <v>-2.6793790527769392E-2</v>
      </c>
      <c r="E137" s="5">
        <f>INDEX(Returns!$D$3:$D$1000, MATCH($B137, Returns!$A$3:$A$1000, 0))</f>
        <v>-2.7333831217326243E-2</v>
      </c>
      <c r="F137" s="5">
        <f t="shared" si="10"/>
        <v>6.8506959595690669</v>
      </c>
      <c r="G137" s="5">
        <f t="shared" si="11"/>
        <v>2.9384808222612175</v>
      </c>
      <c r="H137" s="5" t="e">
        <f t="shared" si="7"/>
        <v>#N/A</v>
      </c>
      <c r="I137" s="5">
        <f t="shared" si="8"/>
        <v>6.8506959595690669</v>
      </c>
      <c r="J137" s="5">
        <f t="shared" si="9"/>
        <v>5.4004068955685117E-4</v>
      </c>
    </row>
    <row r="138" spans="2:10" x14ac:dyDescent="0.2">
      <c r="B138" s="79">
        <f>IFERROR(INDEX(Table_RawData[Date], ROWS($B$18:B138)), "")</f>
        <v>45658</v>
      </c>
      <c r="C138" s="78" t="str">
        <f t="shared" si="6"/>
        <v>Test</v>
      </c>
      <c r="D138" s="5">
        <f t="array" ref="D138">MMULT(
INDEX(Returns!$B$3:$K$1000, MATCH($B138, Returns!$A$3:$A$1000, 0), 0),
Solver_Optimization!$C$28:$C$37
)</f>
        <v>1.5357803539346824E-2</v>
      </c>
      <c r="E138" s="5">
        <f>INDEX(Returns!$D$3:$D$1000, MATCH($B138, Returns!$A$3:$A$1000, 0))</f>
        <v>2.6856401856401924E-2</v>
      </c>
      <c r="F138" s="5">
        <f t="shared" si="10"/>
        <v>6.9559076022239266</v>
      </c>
      <c r="G138" s="5">
        <f t="shared" si="11"/>
        <v>3.017397844071195</v>
      </c>
      <c r="H138" s="5" t="e">
        <f t="shared" si="7"/>
        <v>#N/A</v>
      </c>
      <c r="I138" s="5">
        <f t="shared" si="8"/>
        <v>6.9559076022239266</v>
      </c>
      <c r="J138" s="5">
        <f t="shared" si="9"/>
        <v>-1.14985983170551E-2</v>
      </c>
    </row>
    <row r="139" spans="2:10" x14ac:dyDescent="0.2">
      <c r="B139" s="79">
        <f>IFERROR(INDEX(Table_RawData[Date], ROWS($B$18:B139)), "")</f>
        <v>45689</v>
      </c>
      <c r="C139" s="78" t="str">
        <f t="shared" si="6"/>
        <v>Test</v>
      </c>
      <c r="D139" s="5">
        <f t="array" ref="D139">MMULT(
INDEX(Returns!$B$3:$K$1000, MATCH($B139, Returns!$A$3:$A$1000, 0), 0),
Solver_Optimization!$C$28:$C$37
)</f>
        <v>6.7833597862572139E-3</v>
      </c>
      <c r="E139" s="5">
        <f>INDEX(Returns!$D$3:$D$1000, MATCH($B139, Returns!$A$3:$A$1000, 0))</f>
        <v>-1.2694825695390821E-2</v>
      </c>
      <c r="F139" s="5">
        <f t="shared" si="10"/>
        <v>7.0030920261297736</v>
      </c>
      <c r="G139" s="5">
        <f t="shared" si="11"/>
        <v>2.9790925043870633</v>
      </c>
      <c r="H139" s="5" t="e">
        <f t="shared" si="7"/>
        <v>#N/A</v>
      </c>
      <c r="I139" s="5">
        <f t="shared" si="8"/>
        <v>7.0030920261297736</v>
      </c>
      <c r="J139" s="5">
        <f t="shared" si="9"/>
        <v>1.9478185481648036E-2</v>
      </c>
    </row>
    <row r="140" spans="2:10" x14ac:dyDescent="0.2">
      <c r="B140" s="79">
        <f>IFERROR(INDEX(Table_RawData[Date], ROWS($B$18:B140)), "")</f>
        <v>45717</v>
      </c>
      <c r="C140" s="78" t="str">
        <f t="shared" si="6"/>
        <v>Test</v>
      </c>
      <c r="D140" s="5">
        <f t="array" ref="D140">MMULT(
INDEX(Returns!$B$3:$K$1000, MATCH($B140, Returns!$A$3:$A$1000, 0), 0),
Solver_Optimization!$C$28:$C$37
)</f>
        <v>-3.8904579591870568E-2</v>
      </c>
      <c r="E140" s="5">
        <f>INDEX(Returns!$D$3:$D$1000, MATCH($B140, Returns!$A$3:$A$1000, 0))</f>
        <v>-5.8551280756673041E-2</v>
      </c>
      <c r="F140" s="5">
        <f t="shared" si="10"/>
        <v>6.7306396750100141</v>
      </c>
      <c r="G140" s="5">
        <f t="shared" si="11"/>
        <v>2.8046628227625963</v>
      </c>
      <c r="H140" s="5" t="e">
        <f t="shared" si="7"/>
        <v>#N/A</v>
      </c>
      <c r="I140" s="5">
        <f t="shared" si="8"/>
        <v>6.7306396750100141</v>
      </c>
      <c r="J140" s="5">
        <f t="shared" si="9"/>
        <v>1.9646701164802473E-2</v>
      </c>
    </row>
    <row r="141" spans="2:10" x14ac:dyDescent="0.2">
      <c r="B141" s="79">
        <f>IFERROR(INDEX(Table_RawData[Date], ROWS($B$18:B141)), "")</f>
        <v>45748</v>
      </c>
      <c r="C141" s="78" t="str">
        <f t="shared" si="6"/>
        <v>Test</v>
      </c>
      <c r="D141" s="5">
        <f t="array" ref="D141">MMULT(
INDEX(Returns!$B$3:$K$1000, MATCH($B141, Returns!$A$3:$A$1000, 0), 0),
Solver_Optimization!$C$28:$C$37
)</f>
        <v>7.9175856254592343E-3</v>
      </c>
      <c r="E141" s="5">
        <f>INDEX(Returns!$D$3:$D$1000, MATCH($B141, Returns!$A$3:$A$1000, 0))</f>
        <v>-8.6701585655803992E-3</v>
      </c>
      <c r="F141" s="5">
        <f t="shared" si="10"/>
        <v>6.783930090951019</v>
      </c>
      <c r="G141" s="5">
        <f t="shared" si="11"/>
        <v>2.7803459513662561</v>
      </c>
      <c r="H141" s="5" t="e">
        <f t="shared" si="7"/>
        <v>#N/A</v>
      </c>
      <c r="I141" s="5">
        <f t="shared" si="8"/>
        <v>6.783930090951019</v>
      </c>
      <c r="J141" s="5">
        <f t="shared" si="9"/>
        <v>1.6587744191039634E-2</v>
      </c>
    </row>
    <row r="142" spans="2:10" x14ac:dyDescent="0.2">
      <c r="B142" s="79">
        <f>IFERROR(INDEX(Table_RawData[Date], ROWS($B$18:B142)), "")</f>
        <v>45778</v>
      </c>
      <c r="C142" s="78" t="str">
        <f t="shared" si="6"/>
        <v>Test</v>
      </c>
      <c r="D142" s="5">
        <f t="array" ref="D142">MMULT(
INDEX(Returns!$B$3:$K$1000, MATCH($B142, Returns!$A$3:$A$1000, 0), 0),
Solver_Optimization!$C$28:$C$37
)</f>
        <v>8.2070461273732048E-2</v>
      </c>
      <c r="E142" s="5">
        <f>INDEX(Returns!$D$3:$D$1000, MATCH($B142, Returns!$A$3:$A$1000, 0))</f>
        <v>6.2844880441446982E-2</v>
      </c>
      <c r="F142" s="5">
        <f t="shared" si="10"/>
        <v>7.3406903627641196</v>
      </c>
      <c r="G142" s="5">
        <f t="shared" si="11"/>
        <v>2.9550764602657296</v>
      </c>
      <c r="H142" s="5" t="e">
        <f t="shared" si="7"/>
        <v>#N/A</v>
      </c>
      <c r="I142" s="5">
        <f t="shared" si="8"/>
        <v>7.3406903627641196</v>
      </c>
      <c r="J142" s="5">
        <f t="shared" si="9"/>
        <v>1.9225580832285066E-2</v>
      </c>
    </row>
    <row r="143" spans="2:10" x14ac:dyDescent="0.2">
      <c r="B143" s="79">
        <f>IFERROR(INDEX(Table_RawData[Date], ROWS($B$18:B143)), "")</f>
        <v>45809</v>
      </c>
      <c r="C143" s="78" t="str">
        <f t="shared" si="6"/>
        <v>Test</v>
      </c>
      <c r="D143" s="5">
        <f t="array" ref="D143">MMULT(
INDEX(Returns!$B$3:$K$1000, MATCH($B143, Returns!$A$3:$A$1000, 0), 0),
Solver_Optimization!$C$28:$C$37
)</f>
        <v>5.7534319122987211E-2</v>
      </c>
      <c r="E143" s="5">
        <f>INDEX(Returns!$D$3:$D$1000, MATCH($B143, Returns!$A$3:$A$1000, 0))</f>
        <v>4.8287212202446694E-2</v>
      </c>
      <c r="F143" s="5">
        <f t="shared" si="10"/>
        <v>7.7630319846784266</v>
      </c>
      <c r="G143" s="5">
        <f t="shared" si="11"/>
        <v>3.097768864377036</v>
      </c>
      <c r="H143" s="5" t="e">
        <f t="shared" si="7"/>
        <v>#N/A</v>
      </c>
      <c r="I143" s="5">
        <f t="shared" si="8"/>
        <v>7.7630319846784266</v>
      </c>
      <c r="J143" s="5">
        <f t="shared" si="9"/>
        <v>9.2471069205405168E-3</v>
      </c>
    </row>
    <row r="144" spans="2:10" x14ac:dyDescent="0.2">
      <c r="B144" s="79">
        <f>IFERROR(INDEX(Table_RawData[Date], ROWS($B$18:B144)), "")</f>
        <v>45839</v>
      </c>
      <c r="C144" s="78" t="str">
        <f t="shared" si="6"/>
        <v>Test</v>
      </c>
      <c r="D144" s="5">
        <f t="array" ref="D144">MMULT(
INDEX(Returns!$B$3:$K$1000, MATCH($B144, Returns!$A$3:$A$1000, 0), 0),
Solver_Optimization!$C$28:$C$37
)</f>
        <v>2.5734443846560345E-2</v>
      </c>
      <c r="E144" s="5">
        <f>INDEX(Returns!$D$3:$D$1000, MATCH($B144, Returns!$A$3:$A$1000, 0))</f>
        <v>2.3031480132718274E-2</v>
      </c>
      <c r="F144" s="5">
        <f t="shared" si="10"/>
        <v>7.962809295367185</v>
      </c>
      <c r="G144" s="5">
        <f t="shared" si="11"/>
        <v>3.1691150664326888</v>
      </c>
      <c r="H144" s="5" t="e">
        <f t="shared" si="7"/>
        <v>#N/A</v>
      </c>
      <c r="I144" s="5">
        <f t="shared" si="8"/>
        <v>7.962809295367185</v>
      </c>
      <c r="J144" s="5">
        <f t="shared" si="9"/>
        <v>2.7029637138420715E-3</v>
      </c>
    </row>
    <row r="145" spans="2:10" x14ac:dyDescent="0.2">
      <c r="B145" s="79">
        <f>IFERROR(INDEX(Table_RawData[Date], ROWS($B$18:B145)), "")</f>
        <v>45870</v>
      </c>
      <c r="C145" s="78" t="str">
        <f t="shared" si="6"/>
        <v>Test</v>
      </c>
      <c r="D145" s="5">
        <f t="array" ref="D145">MMULT(
INDEX(Returns!$B$3:$K$1000, MATCH($B145, Returns!$A$3:$A$1000, 0), 0),
Solver_Optimization!$C$28:$C$37
)</f>
        <v>2.1648540259821453E-2</v>
      </c>
      <c r="E145" s="5">
        <f>INDEX(Returns!$D$3:$D$1000, MATCH($B145, Returns!$A$3:$A$1000, 0))</f>
        <v>2.0519554486773783E-2</v>
      </c>
      <c r="F145" s="5">
        <f t="shared" si="10"/>
        <v>8.1351924929792219</v>
      </c>
      <c r="G145" s="5">
        <f t="shared" si="11"/>
        <v>3.2341438957132103</v>
      </c>
      <c r="H145" s="5" t="e">
        <f t="shared" si="7"/>
        <v>#N/A</v>
      </c>
      <c r="I145" s="5">
        <f t="shared" si="8"/>
        <v>8.1351924929792219</v>
      </c>
      <c r="J145" s="5">
        <f t="shared" si="9"/>
        <v>1.12898577304767E-3</v>
      </c>
    </row>
    <row r="146" spans="2:10" x14ac:dyDescent="0.2">
      <c r="B146" s="79">
        <f>IFERROR(INDEX(Table_RawData[Date], ROWS($B$18:B146)), "")</f>
        <v>45901</v>
      </c>
      <c r="C146" s="78" t="str">
        <f t="shared" si="6"/>
        <v>Test</v>
      </c>
      <c r="D146" s="5">
        <f t="array" ref="D146">MMULT(
INDEX(Returns!$B$3:$K$1000, MATCH($B146, Returns!$A$3:$A$1000, 0), 0),
Solver_Optimization!$C$28:$C$37
)</f>
        <v>5.7014410633254263E-2</v>
      </c>
      <c r="E146" s="5">
        <f>INDEX(Returns!$D$3:$D$1000, MATCH($B146, Returns!$A$3:$A$1000, 0))</f>
        <v>3.2757150608480057E-2</v>
      </c>
      <c r="F146" s="5">
        <f t="shared" si="10"/>
        <v>8.5990156983545063</v>
      </c>
      <c r="G146" s="5">
        <f t="shared" si="11"/>
        <v>3.3400852343945844</v>
      </c>
      <c r="H146" s="5" t="e">
        <f t="shared" si="7"/>
        <v>#N/A</v>
      </c>
      <c r="I146" s="5">
        <f t="shared" si="8"/>
        <v>8.5990156983545063</v>
      </c>
      <c r="J146" s="5">
        <f t="shared" si="9"/>
        <v>2.4257260024774206E-2</v>
      </c>
    </row>
    <row r="147" spans="2:10" x14ac:dyDescent="0.2">
      <c r="B147" s="79">
        <f>IFERROR(INDEX(Table_RawData[Date], ROWS($B$18:B147)), "")</f>
        <v>45931</v>
      </c>
      <c r="C147" s="78" t="str">
        <f t="shared" ref="C147:C150" si="12">IF(B147="","",IF(B147&lt;=$C$11,"Train","Test"))</f>
        <v>Test</v>
      </c>
      <c r="D147" s="5">
        <f t="array" ref="D147">MMULT(
INDEX(Returns!$B$3:$K$1000, MATCH($B147, Returns!$A$3:$A$1000, 0), 0),
Solver_Optimization!$C$28:$C$37
)</f>
        <v>3.2520737993219417E-2</v>
      </c>
      <c r="E147" s="5">
        <f>INDEX(Returns!$D$3:$D$1000, MATCH($B147, Returns!$A$3:$A$1000, 0))</f>
        <v>2.38374013029512E-2</v>
      </c>
      <c r="F147" s="5">
        <f t="shared" si="10"/>
        <v>8.8786620348802732</v>
      </c>
      <c r="G147" s="5">
        <f t="shared" si="11"/>
        <v>3.4197041865129099</v>
      </c>
      <c r="H147" s="5" t="e">
        <f t="shared" si="7"/>
        <v>#N/A</v>
      </c>
      <c r="I147" s="5">
        <f t="shared" si="8"/>
        <v>8.8786620348802732</v>
      </c>
      <c r="J147" s="5">
        <f t="shared" si="9"/>
        <v>8.6833366902682174E-3</v>
      </c>
    </row>
    <row r="148" spans="2:10" x14ac:dyDescent="0.2">
      <c r="B148" s="79">
        <f>IFERROR(INDEX(Table_RawData[Date], ROWS($B$18:B148)), "")</f>
        <v>45962</v>
      </c>
      <c r="C148" s="78" t="str">
        <f t="shared" si="12"/>
        <v>Test</v>
      </c>
      <c r="D148" s="5">
        <f t="array" ref="D148">MMULT(
INDEX(Returns!$B$3:$K$1000, MATCH($B148, Returns!$A$3:$A$1000, 0), 0),
Solver_Optimization!$C$28:$C$37
)</f>
        <v>-1.6046522496228895E-2</v>
      </c>
      <c r="E148" s="5">
        <f>INDEX(Returns!$D$3:$D$1000, MATCH($B148, Returns!$A$3:$A$1000, 0))</f>
        <v>1.9499750755065381E-3</v>
      </c>
      <c r="F148" s="5">
        <f t="shared" si="10"/>
        <v>8.7361903848011533</v>
      </c>
      <c r="G148" s="5">
        <f t="shared" si="11"/>
        <v>3.4263725244422152</v>
      </c>
      <c r="H148" s="5" t="e">
        <f t="shared" ref="H148:H150" si="13">IF($C148="Train",$F148,NA())</f>
        <v>#N/A</v>
      </c>
      <c r="I148" s="5">
        <f t="shared" ref="I148:I150" si="14">IF($C148="Test",$F148,NA())</f>
        <v>8.7361903848011533</v>
      </c>
      <c r="J148" s="5">
        <f t="shared" ref="J148:J150" si="15">D148-E148</f>
        <v>-1.7996497571735433E-2</v>
      </c>
    </row>
    <row r="149" spans="2:10" x14ac:dyDescent="0.2">
      <c r="B149" s="79">
        <f>IFERROR(INDEX(Table_RawData[Date], ROWS($B$18:B149)), "")</f>
        <v>45992</v>
      </c>
      <c r="C149" s="78" t="str">
        <f t="shared" si="12"/>
        <v>Test</v>
      </c>
      <c r="D149" s="5">
        <f t="array" ref="D149">MMULT(
INDEX(Returns!$B$3:$K$1000, MATCH($B149, Returns!$A$3:$A$1000, 0), 0),
Solver_Optimization!$C$28:$C$37
)</f>
        <v>1.2154361875103197E-2</v>
      </c>
      <c r="E149" s="5">
        <f>INDEX(Returns!$D$3:$D$1000, MATCH($B149, Returns!$A$3:$A$1000, 0))</f>
        <v>-2.1510411331743251E-3</v>
      </c>
      <c r="F149" s="5">
        <f t="shared" ref="F149:F150" si="16">F148*(1+D149)</f>
        <v>8.8423732041478242</v>
      </c>
      <c r="G149" s="5">
        <f t="shared" ref="G149:G150" si="17">G148*(1+E149)</f>
        <v>3.4190022562045614</v>
      </c>
      <c r="H149" s="5" t="e">
        <f t="shared" si="13"/>
        <v>#N/A</v>
      </c>
      <c r="I149" s="5">
        <f t="shared" si="14"/>
        <v>8.8423732041478242</v>
      </c>
      <c r="J149" s="5">
        <f t="shared" si="15"/>
        <v>1.4305403008277522E-2</v>
      </c>
    </row>
    <row r="150" spans="2:10" x14ac:dyDescent="0.2">
      <c r="B150" s="79">
        <f>IFERROR(INDEX(Table_RawData[Date], ROWS($B$18:B150)), "")</f>
        <v>46023</v>
      </c>
      <c r="C150" s="78" t="str">
        <f t="shared" si="12"/>
        <v>Test</v>
      </c>
      <c r="D150" s="5">
        <f t="array" ref="D150">MMULT(
INDEX(Returns!$B$3:$K$1000, MATCH($B150, Returns!$A$3:$A$1000, 0), 0),
Solver_Optimization!$C$28:$C$37
)</f>
        <v>2.0375896136883599E-2</v>
      </c>
      <c r="E150" s="5">
        <f>INDEX(Returns!$D$3:$D$1000, MATCH($B150, Returns!$A$3:$A$1000, 0))</f>
        <v>1.4283200375410532E-2</v>
      </c>
      <c r="F150" s="5">
        <f t="shared" si="16"/>
        <v>9.0225444821591037</v>
      </c>
      <c r="G150" s="5">
        <f t="shared" si="17"/>
        <v>3.4678365505139119</v>
      </c>
      <c r="H150" s="5" t="e">
        <f t="shared" si="13"/>
        <v>#N/A</v>
      </c>
      <c r="I150" s="5">
        <f t="shared" si="14"/>
        <v>9.0225444821591037</v>
      </c>
      <c r="J150" s="5">
        <f t="shared" si="15"/>
        <v>6.0926957614730673E-3</v>
      </c>
    </row>
    <row r="151" spans="2:10" x14ac:dyDescent="0.2">
      <c r="B151" s="1"/>
    </row>
    <row r="152" spans="2:10" x14ac:dyDescent="0.2">
      <c r="B152" s="1"/>
    </row>
    <row r="153" spans="2:10" x14ac:dyDescent="0.2">
      <c r="B153" s="1"/>
    </row>
    <row r="158" spans="2:10" x14ac:dyDescent="0.2">
      <c r="B158" t="s">
        <v>1462</v>
      </c>
    </row>
    <row r="159" spans="2:10" x14ac:dyDescent="0.2">
      <c r="B159">
        <f>AVERAGE(J111:J150)</f>
        <v>1.1852933176020528E-2</v>
      </c>
    </row>
    <row r="161" spans="2:2" x14ac:dyDescent="0.2">
      <c r="B161" t="s">
        <v>1463</v>
      </c>
    </row>
    <row r="162" spans="2:2" x14ac:dyDescent="0.2">
      <c r="B162">
        <f>_xlfn.STDEV.S(J111:J150)</f>
        <v>1.6565265357918451E-2</v>
      </c>
    </row>
  </sheetData>
  <mergeCells count="8">
    <mergeCell ref="I9:K9"/>
    <mergeCell ref="N9:P9"/>
    <mergeCell ref="B2:C2"/>
    <mergeCell ref="B7:C7"/>
    <mergeCell ref="G2:H2"/>
    <mergeCell ref="T7:X7"/>
    <mergeCell ref="I2:K2"/>
    <mergeCell ref="N2:P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06EB-1BA5-4DFB-B734-B63EB6503B1B}">
  <dimension ref="A1:I18"/>
  <sheetViews>
    <sheetView workbookViewId="0">
      <selection activeCell="L40" sqref="L40"/>
    </sheetView>
  </sheetViews>
  <sheetFormatPr defaultRowHeight="14.25" x14ac:dyDescent="0.2"/>
  <cols>
    <col min="1" max="1" width="18" bestFit="1" customWidth="1"/>
    <col min="2" max="2" width="11.875" bestFit="1" customWidth="1"/>
    <col min="3" max="3" width="13.5" bestFit="1" customWidth="1"/>
    <col min="6" max="6" width="12.875" bestFit="1" customWidth="1"/>
    <col min="7" max="8" width="11.875" bestFit="1" customWidth="1"/>
    <col min="9" max="9" width="12" bestFit="1" customWidth="1"/>
  </cols>
  <sheetData>
    <row r="1" spans="1:9" x14ac:dyDescent="0.2">
      <c r="A1" t="s">
        <v>1422</v>
      </c>
    </row>
    <row r="2" spans="1:9" ht="15" thickBot="1" x14ac:dyDescent="0.25"/>
    <row r="3" spans="1:9" x14ac:dyDescent="0.2">
      <c r="A3" s="87" t="s">
        <v>1423</v>
      </c>
      <c r="B3" s="87"/>
    </row>
    <row r="4" spans="1:9" x14ac:dyDescent="0.2">
      <c r="A4" t="s">
        <v>1424</v>
      </c>
      <c r="B4">
        <v>0.90772139505899896</v>
      </c>
    </row>
    <row r="5" spans="1:9" x14ac:dyDescent="0.2">
      <c r="A5" t="s">
        <v>1425</v>
      </c>
      <c r="B5">
        <v>0.82395813104785531</v>
      </c>
    </row>
    <row r="6" spans="1:9" x14ac:dyDescent="0.2">
      <c r="A6" t="s">
        <v>1426</v>
      </c>
      <c r="B6">
        <v>0.81932545028595671</v>
      </c>
    </row>
    <row r="7" spans="1:9" x14ac:dyDescent="0.2">
      <c r="A7" t="s">
        <v>1427</v>
      </c>
      <c r="B7">
        <v>1.6726978256976405E-2</v>
      </c>
    </row>
    <row r="8" spans="1:9" ht="15" thickBot="1" x14ac:dyDescent="0.25">
      <c r="A8" s="3" t="s">
        <v>1428</v>
      </c>
      <c r="B8" s="3">
        <v>40</v>
      </c>
    </row>
    <row r="10" spans="1:9" ht="15" thickBot="1" x14ac:dyDescent="0.25">
      <c r="A10" t="s">
        <v>1429</v>
      </c>
    </row>
    <row r="11" spans="1:9" x14ac:dyDescent="0.2">
      <c r="A11" s="4"/>
      <c r="B11" s="4" t="s">
        <v>1433</v>
      </c>
      <c r="C11" s="4" t="s">
        <v>1434</v>
      </c>
      <c r="D11" s="4" t="s">
        <v>1435</v>
      </c>
      <c r="E11" s="4" t="s">
        <v>1436</v>
      </c>
      <c r="F11" s="4" t="s">
        <v>1437</v>
      </c>
    </row>
    <row r="12" spans="1:9" x14ac:dyDescent="0.2">
      <c r="A12" t="s">
        <v>1430</v>
      </c>
      <c r="B12">
        <v>1</v>
      </c>
      <c r="C12">
        <v>4.9763137540710718E-2</v>
      </c>
      <c r="D12">
        <v>4.9763137540710718E-2</v>
      </c>
      <c r="E12">
        <v>177.85774012845741</v>
      </c>
      <c r="F12">
        <v>6.541104381268E-16</v>
      </c>
    </row>
    <row r="13" spans="1:9" x14ac:dyDescent="0.2">
      <c r="A13" t="s">
        <v>1431</v>
      </c>
      <c r="B13">
        <v>38</v>
      </c>
      <c r="C13">
        <v>1.0632088461155735E-2</v>
      </c>
      <c r="D13">
        <v>2.7979180160936145E-4</v>
      </c>
    </row>
    <row r="14" spans="1:9" ht="15" thickBot="1" x14ac:dyDescent="0.25">
      <c r="A14" s="3" t="s">
        <v>1306</v>
      </c>
      <c r="B14" s="3">
        <v>39</v>
      </c>
      <c r="C14" s="3">
        <v>6.0395226001866455E-2</v>
      </c>
      <c r="D14" s="3"/>
      <c r="E14" s="3"/>
      <c r="F14" s="3"/>
    </row>
    <row r="15" spans="1:9" ht="15" thickBot="1" x14ac:dyDescent="0.25"/>
    <row r="16" spans="1:9" x14ac:dyDescent="0.2">
      <c r="A16" s="4"/>
      <c r="B16" s="4" t="s">
        <v>1438</v>
      </c>
      <c r="C16" s="4" t="s">
        <v>1427</v>
      </c>
      <c r="D16" s="4" t="s">
        <v>1439</v>
      </c>
      <c r="E16" s="4" t="s">
        <v>1440</v>
      </c>
      <c r="F16" s="4" t="s">
        <v>1441</v>
      </c>
      <c r="G16" s="4" t="s">
        <v>1442</v>
      </c>
      <c r="H16" s="4" t="s">
        <v>1443</v>
      </c>
      <c r="I16" s="4" t="s">
        <v>1444</v>
      </c>
    </row>
    <row r="17" spans="1:9" x14ac:dyDescent="0.2">
      <c r="A17" t="s">
        <v>1432</v>
      </c>
      <c r="B17">
        <v>1.2358014473303529E-2</v>
      </c>
      <c r="C17">
        <v>2.8314364473316714E-3</v>
      </c>
      <c r="D17">
        <v>4.364574202239166</v>
      </c>
      <c r="E17">
        <v>9.4390617856497487E-5</v>
      </c>
      <c r="F17">
        <v>6.6260710538376504E-3</v>
      </c>
      <c r="G17">
        <v>1.8089957892769407E-2</v>
      </c>
      <c r="H17">
        <v>6.6260710538376504E-3</v>
      </c>
      <c r="I17">
        <v>1.8089957892769407E-2</v>
      </c>
    </row>
    <row r="18" spans="1:9" ht="15" thickBot="1" x14ac:dyDescent="0.25">
      <c r="A18" s="3" t="s">
        <v>1421</v>
      </c>
      <c r="B18" s="3">
        <v>0.96389408523292797</v>
      </c>
      <c r="C18" s="3">
        <v>7.2275803817151402E-2</v>
      </c>
      <c r="D18" s="3">
        <v>13.336331584377222</v>
      </c>
      <c r="E18" s="3">
        <v>6.541104381267999E-16</v>
      </c>
      <c r="F18" s="3">
        <v>0.81757936979344015</v>
      </c>
      <c r="G18" s="3">
        <v>1.1102088006724158</v>
      </c>
      <c r="H18" s="3">
        <v>0.81757936979344015</v>
      </c>
      <c r="I18" s="3">
        <v>1.1102088006724158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3418-E3DB-4887-BB4E-C9347A612F04}">
  <dimension ref="B2:R44"/>
  <sheetViews>
    <sheetView zoomScale="80" zoomScaleNormal="80" workbookViewId="0">
      <selection activeCell="AD3" sqref="AD3"/>
    </sheetView>
  </sheetViews>
  <sheetFormatPr defaultRowHeight="14.25" x14ac:dyDescent="0.2"/>
  <cols>
    <col min="2" max="2" width="10.75" bestFit="1" customWidth="1"/>
    <col min="7" max="7" width="8.875" customWidth="1"/>
    <col min="11" max="11" width="17.375" bestFit="1" customWidth="1"/>
    <col min="12" max="12" width="11.375" customWidth="1"/>
    <col min="17" max="17" width="15.875" bestFit="1" customWidth="1"/>
    <col min="20" max="20" width="7.125" customWidth="1"/>
  </cols>
  <sheetData>
    <row r="2" spans="2:18" ht="15" x14ac:dyDescent="0.25">
      <c r="B2" s="114" t="s">
        <v>1418</v>
      </c>
      <c r="C2" s="114"/>
      <c r="D2" s="114"/>
      <c r="E2" s="114"/>
      <c r="F2" s="114"/>
      <c r="G2" s="114"/>
      <c r="H2" s="114"/>
    </row>
    <row r="3" spans="2:18" ht="42.75" x14ac:dyDescent="0.2">
      <c r="B3" s="85" t="s">
        <v>0</v>
      </c>
      <c r="C3" s="86" t="s">
        <v>1326</v>
      </c>
      <c r="D3" s="86" t="s">
        <v>1405</v>
      </c>
      <c r="E3" s="85" t="s">
        <v>1419</v>
      </c>
      <c r="F3" s="86" t="s">
        <v>1420</v>
      </c>
      <c r="G3" s="86" t="s">
        <v>1421</v>
      </c>
      <c r="H3" s="86" t="s">
        <v>1457</v>
      </c>
    </row>
    <row r="4" spans="2:18" ht="15.75" x14ac:dyDescent="0.25">
      <c r="B4" s="74">
        <f>Out_of_Sample!B111</f>
        <v>44835</v>
      </c>
      <c r="C4" s="5">
        <f>Out_of_Sample!D111</f>
        <v>7.352805798017184E-2</v>
      </c>
      <c r="D4" s="5">
        <f>Out_of_Sample!E111</f>
        <v>8.1275547343076182E-2</v>
      </c>
      <c r="E4" s="5">
        <f>Out_of_Sample!$U$2</f>
        <v>3.3333333333333335E-3</v>
      </c>
      <c r="F4" s="5">
        <f>C4-E4</f>
        <v>7.0194724646838513E-2</v>
      </c>
      <c r="G4" s="5">
        <f>D4-E4</f>
        <v>7.7942214009742855E-2</v>
      </c>
      <c r="H4" s="5">
        <f>$L$6+$L$7*G4</f>
        <v>8.7486053547253723E-2</v>
      </c>
      <c r="K4" s="131" t="s">
        <v>1445</v>
      </c>
      <c r="L4" s="131"/>
      <c r="M4" s="131"/>
      <c r="N4" s="131"/>
      <c r="Q4" s="131" t="s">
        <v>1454</v>
      </c>
      <c r="R4" s="131"/>
    </row>
    <row r="5" spans="2:18" ht="15" x14ac:dyDescent="0.2">
      <c r="B5" s="74">
        <f>Out_of_Sample!B112</f>
        <v>44866</v>
      </c>
      <c r="C5" s="5">
        <f>Out_of_Sample!D112</f>
        <v>0.10398928214909944</v>
      </c>
      <c r="D5" s="5">
        <f>Out_of_Sample!E112</f>
        <v>5.5591517568162496E-2</v>
      </c>
      <c r="E5" s="5">
        <f>Out_of_Sample!$U$2</f>
        <v>3.3333333333333335E-3</v>
      </c>
      <c r="F5" s="5">
        <f t="shared" ref="F5:F43" si="0">C5-E5</f>
        <v>0.10065594881576612</v>
      </c>
      <c r="G5" s="5">
        <f t="shared" ref="G5:G43" si="1">D5-E5</f>
        <v>5.2258184234829162E-2</v>
      </c>
      <c r="H5" s="5">
        <f t="shared" ref="H5:H43" si="2">$L$6+$L$7*G5</f>
        <v>6.2729369162268012E-2</v>
      </c>
      <c r="K5" s="88" t="s">
        <v>1446</v>
      </c>
      <c r="L5" s="88" t="s">
        <v>1447</v>
      </c>
      <c r="M5" s="88" t="s">
        <v>1448</v>
      </c>
      <c r="N5" s="88" t="s">
        <v>1449</v>
      </c>
      <c r="Q5" s="17" t="s">
        <v>635</v>
      </c>
      <c r="R5" s="17" t="s">
        <v>1329</v>
      </c>
    </row>
    <row r="6" spans="2:18" x14ac:dyDescent="0.2">
      <c r="B6" s="74">
        <f>Out_of_Sample!B113</f>
        <v>44896</v>
      </c>
      <c r="C6" s="5">
        <f>Out_of_Sample!D113</f>
        <v>-4.5408132398515252E-2</v>
      </c>
      <c r="D6" s="5">
        <f>Out_of_Sample!E113</f>
        <v>-6.1935832025117765E-2</v>
      </c>
      <c r="E6" s="5">
        <f>Out_of_Sample!$U$2</f>
        <v>3.3333333333333335E-3</v>
      </c>
      <c r="F6" s="5">
        <f t="shared" si="0"/>
        <v>-4.8741465731848586E-2</v>
      </c>
      <c r="G6" s="5">
        <f t="shared" si="1"/>
        <v>-6.5269165358451092E-2</v>
      </c>
      <c r="H6" s="5">
        <f t="shared" si="2"/>
        <v>-5.0554547963797401E-2</v>
      </c>
      <c r="K6" s="5" t="s">
        <v>1432</v>
      </c>
      <c r="L6" s="5">
        <f>'capm-reg'!B17</f>
        <v>1.2358014473303529E-2</v>
      </c>
      <c r="M6" s="5">
        <f>'capm-reg'!D17</f>
        <v>4.364574202239166</v>
      </c>
      <c r="N6" s="5">
        <f>'capm-reg'!E17</f>
        <v>9.4390617856497487E-5</v>
      </c>
      <c r="Q6" s="5" t="s">
        <v>1455</v>
      </c>
      <c r="R6" s="89">
        <f>L6</f>
        <v>1.2358014473303529E-2</v>
      </c>
    </row>
    <row r="7" spans="2:18" x14ac:dyDescent="0.2">
      <c r="B7" s="74">
        <f>Out_of_Sample!B114</f>
        <v>44927</v>
      </c>
      <c r="C7" s="5">
        <f>Out_of_Sample!D114</f>
        <v>9.5053907409438643E-2</v>
      </c>
      <c r="D7" s="5">
        <f>Out_of_Sample!E114</f>
        <v>6.2887325785111026E-2</v>
      </c>
      <c r="E7" s="5">
        <f>Out_of_Sample!$U$2</f>
        <v>3.3333333333333335E-3</v>
      </c>
      <c r="F7" s="5">
        <f t="shared" si="0"/>
        <v>9.1720574076105316E-2</v>
      </c>
      <c r="G7" s="5">
        <f t="shared" si="1"/>
        <v>5.9553992451777692E-2</v>
      </c>
      <c r="H7" s="5">
        <f t="shared" si="2"/>
        <v>6.9761755549578475E-2</v>
      </c>
      <c r="K7" s="5" t="s">
        <v>1421</v>
      </c>
      <c r="L7" s="5">
        <f>'capm-reg'!B18</f>
        <v>0.96389408523292797</v>
      </c>
      <c r="M7" s="5">
        <f>'capm-reg'!D18</f>
        <v>13.336331584377222</v>
      </c>
      <c r="N7" s="5">
        <f>'capm-reg'!E18</f>
        <v>6.541104381267999E-16</v>
      </c>
      <c r="Q7" s="5" t="s">
        <v>1456</v>
      </c>
      <c r="R7" s="89">
        <f>(1 +R6)^12 - 1</f>
        <v>0.1588027158131653</v>
      </c>
    </row>
    <row r="8" spans="2:18" x14ac:dyDescent="0.2">
      <c r="B8" s="74">
        <f>Out_of_Sample!B115</f>
        <v>44958</v>
      </c>
      <c r="C8" s="5">
        <f>Out_of_Sample!D115</f>
        <v>8.8757522356778546E-3</v>
      </c>
      <c r="D8" s="5">
        <f>Out_of_Sample!E115</f>
        <v>-2.514268844715617E-2</v>
      </c>
      <c r="E8" s="5">
        <f>Out_of_Sample!$U$2</f>
        <v>3.3333333333333335E-3</v>
      </c>
      <c r="F8" s="5">
        <f t="shared" si="0"/>
        <v>5.5424189023445206E-3</v>
      </c>
      <c r="G8" s="5">
        <f t="shared" si="1"/>
        <v>-2.8476021780489504E-2</v>
      </c>
      <c r="H8" s="5">
        <f t="shared" si="2"/>
        <v>-1.5089854491874333E-2</v>
      </c>
    </row>
    <row r="9" spans="2:18" x14ac:dyDescent="0.2">
      <c r="B9" s="74">
        <f>Out_of_Sample!B116</f>
        <v>44986</v>
      </c>
      <c r="C9" s="5">
        <f>Out_of_Sample!D116</f>
        <v>6.8075396451631132E-2</v>
      </c>
      <c r="D9" s="5">
        <f>Out_of_Sample!E116</f>
        <v>3.3134810477968957E-2</v>
      </c>
      <c r="E9" s="5">
        <f>Out_of_Sample!$U$2</f>
        <v>3.3333333333333335E-3</v>
      </c>
      <c r="F9" s="5">
        <f t="shared" si="0"/>
        <v>6.4742063118297805E-2</v>
      </c>
      <c r="G9" s="5">
        <f t="shared" si="1"/>
        <v>2.9801477144635623E-2</v>
      </c>
      <c r="H9" s="5">
        <f t="shared" si="2"/>
        <v>4.1083482024222094E-2</v>
      </c>
    </row>
    <row r="10" spans="2:18" x14ac:dyDescent="0.2">
      <c r="B10" s="74">
        <f>Out_of_Sample!B117</f>
        <v>45017</v>
      </c>
      <c r="C10" s="5">
        <f>Out_of_Sample!D117</f>
        <v>1.7323702969813323E-2</v>
      </c>
      <c r="D10" s="5">
        <f>Out_of_Sample!E117</f>
        <v>1.5974987176042399E-2</v>
      </c>
      <c r="E10" s="5">
        <f>Out_of_Sample!$U$2</f>
        <v>3.3333333333333335E-3</v>
      </c>
      <c r="F10" s="5">
        <f t="shared" si="0"/>
        <v>1.3990369636479989E-2</v>
      </c>
      <c r="G10" s="5">
        <f t="shared" si="1"/>
        <v>1.2641653842709065E-2</v>
      </c>
      <c r="H10" s="5">
        <f t="shared" si="2"/>
        <v>2.4543229839852909E-2</v>
      </c>
    </row>
    <row r="11" spans="2:18" x14ac:dyDescent="0.2">
      <c r="B11" s="74">
        <f>Out_of_Sample!B118</f>
        <v>45047</v>
      </c>
      <c r="C11" s="5">
        <f>Out_of_Sample!D118</f>
        <v>5.3190694202089363E-2</v>
      </c>
      <c r="D11" s="5">
        <f>Out_of_Sample!E118</f>
        <v>4.6161613733080031E-3</v>
      </c>
      <c r="E11" s="5">
        <f>Out_of_Sample!$U$2</f>
        <v>3.3333333333333335E-3</v>
      </c>
      <c r="F11" s="5">
        <f t="shared" si="0"/>
        <v>4.9857360868756029E-2</v>
      </c>
      <c r="G11" s="5">
        <f t="shared" si="1"/>
        <v>1.2828280399746696E-3</v>
      </c>
      <c r="H11" s="5">
        <f t="shared" si="2"/>
        <v>1.3594524833406063E-2</v>
      </c>
    </row>
    <row r="12" spans="2:18" ht="15.75" x14ac:dyDescent="0.25">
      <c r="B12" s="74">
        <f>Out_of_Sample!B119</f>
        <v>45078</v>
      </c>
      <c r="C12" s="5">
        <f>Out_of_Sample!D119</f>
        <v>5.2904203258667494E-2</v>
      </c>
      <c r="D12" s="5">
        <f>Out_of_Sample!E119</f>
        <v>6.0859159985640732E-2</v>
      </c>
      <c r="E12" s="5">
        <f>Out_of_Sample!$U$2</f>
        <v>3.3333333333333335E-3</v>
      </c>
      <c r="F12" s="5">
        <f t="shared" si="0"/>
        <v>4.957086992533416E-2</v>
      </c>
      <c r="G12" s="5">
        <f t="shared" si="1"/>
        <v>5.7525826652307398E-2</v>
      </c>
      <c r="H12" s="5">
        <f t="shared" si="2"/>
        <v>6.7806818531597354E-2</v>
      </c>
      <c r="K12" s="131" t="s">
        <v>1450</v>
      </c>
      <c r="L12" s="131"/>
    </row>
    <row r="13" spans="2:18" ht="15" x14ac:dyDescent="0.2">
      <c r="B13" s="74">
        <f>Out_of_Sample!B120</f>
        <v>45108</v>
      </c>
      <c r="C13" s="5">
        <f>Out_of_Sample!D120</f>
        <v>4.6318447877313491E-2</v>
      </c>
      <c r="D13" s="5">
        <f>Out_of_Sample!E120</f>
        <v>3.2733261144197945E-2</v>
      </c>
      <c r="E13" s="5">
        <f>Out_of_Sample!$U$2</f>
        <v>3.3333333333333335E-3</v>
      </c>
      <c r="F13" s="5">
        <f t="shared" si="0"/>
        <v>4.2985114543980157E-2</v>
      </c>
      <c r="G13" s="5">
        <f t="shared" si="1"/>
        <v>2.9399927810864611E-2</v>
      </c>
      <c r="H13" s="5">
        <f t="shared" si="2"/>
        <v>4.0696430996470995E-2</v>
      </c>
      <c r="K13" s="88" t="s">
        <v>635</v>
      </c>
      <c r="L13" s="88" t="s">
        <v>1329</v>
      </c>
    </row>
    <row r="14" spans="2:18" x14ac:dyDescent="0.2">
      <c r="B14" s="74">
        <f>Out_of_Sample!B121</f>
        <v>45139</v>
      </c>
      <c r="C14" s="5">
        <f>Out_of_Sample!D121</f>
        <v>-1.2297172358909345E-2</v>
      </c>
      <c r="D14" s="5">
        <f>Out_of_Sample!E121</f>
        <v>-1.6251993272024312E-2</v>
      </c>
      <c r="E14" s="5">
        <f>Out_of_Sample!$U$2</f>
        <v>3.3333333333333335E-3</v>
      </c>
      <c r="F14" s="5">
        <f t="shared" si="0"/>
        <v>-1.5630505692242679E-2</v>
      </c>
      <c r="G14" s="5">
        <f t="shared" si="1"/>
        <v>-1.9585326605357646E-2</v>
      </c>
      <c r="H14" s="5">
        <f t="shared" si="2"/>
        <v>-6.5201659989558049E-3</v>
      </c>
      <c r="K14" s="5" t="s">
        <v>1451</v>
      </c>
      <c r="L14" s="5">
        <f>'capm-reg'!B4</f>
        <v>0.90772139505899896</v>
      </c>
    </row>
    <row r="15" spans="2:18" ht="15" x14ac:dyDescent="0.2">
      <c r="B15" s="74">
        <f>Out_of_Sample!B122</f>
        <v>45170</v>
      </c>
      <c r="C15" s="5">
        <f>Out_of_Sample!D122</f>
        <v>-5.8452856218078282E-2</v>
      </c>
      <c r="D15" s="5">
        <f>Out_of_Sample!E122</f>
        <v>-5.0782724547574154E-2</v>
      </c>
      <c r="E15" s="5">
        <f>Out_of_Sample!$U$2</f>
        <v>3.3333333333333335E-3</v>
      </c>
      <c r="F15" s="5">
        <f t="shared" si="0"/>
        <v>-6.1786189551411616E-2</v>
      </c>
      <c r="G15" s="5">
        <f t="shared" si="1"/>
        <v>-5.4116057880907488E-2</v>
      </c>
      <c r="H15" s="5">
        <f t="shared" si="2"/>
        <v>-3.9804133634225976E-2</v>
      </c>
      <c r="K15" s="10" t="s">
        <v>1452</v>
      </c>
      <c r="L15" s="5">
        <f>'capm-reg'!B5</f>
        <v>0.82395813104785531</v>
      </c>
    </row>
    <row r="16" spans="2:18" x14ac:dyDescent="0.2">
      <c r="B16" s="74">
        <f>Out_of_Sample!B123</f>
        <v>45200</v>
      </c>
      <c r="C16" s="5">
        <f>Out_of_Sample!D123</f>
        <v>-5.561011416660047E-3</v>
      </c>
      <c r="D16" s="5">
        <f>Out_of_Sample!E123</f>
        <v>-2.1708617947038489E-2</v>
      </c>
      <c r="E16" s="5">
        <f>Out_of_Sample!$U$2</f>
        <v>3.3333333333333335E-3</v>
      </c>
      <c r="F16" s="5">
        <f t="shared" si="0"/>
        <v>-8.8943447499933801E-3</v>
      </c>
      <c r="G16" s="5">
        <f t="shared" si="1"/>
        <v>-2.5041951280371823E-2</v>
      </c>
      <c r="H16" s="5">
        <f t="shared" si="2"/>
        <v>-1.177977424853802E-2</v>
      </c>
      <c r="K16" s="5" t="s">
        <v>1453</v>
      </c>
      <c r="L16" s="5">
        <f>'capm-reg'!E12</f>
        <v>177.85774012845741</v>
      </c>
    </row>
    <row r="17" spans="2:12" x14ac:dyDescent="0.2">
      <c r="B17" s="74">
        <f>Out_of_Sample!B124</f>
        <v>45231</v>
      </c>
      <c r="C17" s="5">
        <f>Out_of_Sample!D124</f>
        <v>8.8562694227601518E-2</v>
      </c>
      <c r="D17" s="5">
        <f>Out_of_Sample!E124</f>
        <v>9.1343854615016706E-2</v>
      </c>
      <c r="E17" s="5">
        <f>Out_of_Sample!$U$2</f>
        <v>3.3333333333333335E-3</v>
      </c>
      <c r="F17" s="5">
        <f t="shared" si="0"/>
        <v>8.5229360894268191E-2</v>
      </c>
      <c r="G17" s="5">
        <f t="shared" si="1"/>
        <v>8.8010521281683379E-2</v>
      </c>
      <c r="H17" s="5">
        <f t="shared" si="2"/>
        <v>9.719083537498488E-2</v>
      </c>
      <c r="K17" s="5" t="s">
        <v>1437</v>
      </c>
      <c r="L17" s="5">
        <f>'capm-reg'!F12</f>
        <v>6.541104381268E-16</v>
      </c>
    </row>
    <row r="18" spans="2:12" x14ac:dyDescent="0.2">
      <c r="B18" s="74">
        <f>Out_of_Sample!B125</f>
        <v>45261</v>
      </c>
      <c r="C18" s="5">
        <f>Out_of_Sample!D125</f>
        <v>3.5079309798344824E-2</v>
      </c>
      <c r="D18" s="5">
        <f>Out_of_Sample!E125</f>
        <v>4.1432953549517926E-2</v>
      </c>
      <c r="E18" s="5">
        <f>Out_of_Sample!$U$2</f>
        <v>3.3333333333333335E-3</v>
      </c>
      <c r="F18" s="5">
        <f t="shared" si="0"/>
        <v>3.174597646501149E-2</v>
      </c>
      <c r="G18" s="5">
        <f t="shared" si="1"/>
        <v>3.8099620216184592E-2</v>
      </c>
      <c r="H18" s="5">
        <f t="shared" si="2"/>
        <v>4.9082013049304749E-2</v>
      </c>
      <c r="K18" s="5" t="s">
        <v>1427</v>
      </c>
      <c r="L18" s="5">
        <v>1.6726978256976405E-2</v>
      </c>
    </row>
    <row r="19" spans="2:12" x14ac:dyDescent="0.2">
      <c r="B19" s="74">
        <f>Out_of_Sample!B126</f>
        <v>45292</v>
      </c>
      <c r="C19" s="5">
        <f>Out_of_Sample!D126</f>
        <v>4.9470390720970828E-2</v>
      </c>
      <c r="D19" s="5">
        <f>Out_of_Sample!E126</f>
        <v>1.592644800235643E-2</v>
      </c>
      <c r="E19" s="5">
        <f>Out_of_Sample!$U$2</f>
        <v>3.3333333333333335E-3</v>
      </c>
      <c r="F19" s="5">
        <f t="shared" si="0"/>
        <v>4.6137057387637494E-2</v>
      </c>
      <c r="G19" s="5">
        <f t="shared" si="1"/>
        <v>1.2593114669023096E-2</v>
      </c>
      <c r="H19" s="5">
        <f t="shared" si="2"/>
        <v>2.4496443217434914E-2</v>
      </c>
      <c r="K19" s="5" t="s">
        <v>1428</v>
      </c>
      <c r="L19" s="5">
        <v>40</v>
      </c>
    </row>
    <row r="20" spans="2:12" x14ac:dyDescent="0.2">
      <c r="B20" s="74">
        <f>Out_of_Sample!B127</f>
        <v>45323</v>
      </c>
      <c r="C20" s="5">
        <f>Out_of_Sample!D127</f>
        <v>7.3381542146760612E-2</v>
      </c>
      <c r="D20" s="5">
        <f>Out_of_Sample!E127</f>
        <v>5.2186878727634278E-2</v>
      </c>
      <c r="E20" s="5">
        <f>Out_of_Sample!$U$2</f>
        <v>3.3333333333333335E-3</v>
      </c>
      <c r="F20" s="5">
        <f t="shared" si="0"/>
        <v>7.0048208813427285E-2</v>
      </c>
      <c r="G20" s="5">
        <f t="shared" si="1"/>
        <v>4.8853545394300944E-2</v>
      </c>
      <c r="H20" s="5">
        <f t="shared" si="2"/>
        <v>5.9447657921528556E-2</v>
      </c>
    </row>
    <row r="21" spans="2:12" x14ac:dyDescent="0.2">
      <c r="B21" s="74">
        <f>Out_of_Sample!B128</f>
        <v>45352</v>
      </c>
      <c r="C21" s="5">
        <f>Out_of_Sample!D128</f>
        <v>5.910117364264858E-2</v>
      </c>
      <c r="D21" s="5">
        <f>Out_of_Sample!E128</f>
        <v>2.9503227838135748E-2</v>
      </c>
      <c r="E21" s="5">
        <f>Out_of_Sample!$U$2</f>
        <v>3.3333333333333335E-3</v>
      </c>
      <c r="F21" s="5">
        <f t="shared" si="0"/>
        <v>5.5767840309315246E-2</v>
      </c>
      <c r="G21" s="5">
        <f t="shared" si="1"/>
        <v>2.6169894504802414E-2</v>
      </c>
      <c r="H21" s="5">
        <f t="shared" si="2"/>
        <v>3.7583020997652282E-2</v>
      </c>
    </row>
    <row r="22" spans="2:12" x14ac:dyDescent="0.2">
      <c r="B22" s="74">
        <f>Out_of_Sample!B129</f>
        <v>45383</v>
      </c>
      <c r="C22" s="5">
        <f>Out_of_Sample!D129</f>
        <v>-2.3994202078795518E-2</v>
      </c>
      <c r="D22" s="5">
        <f>Out_of_Sample!E129</f>
        <v>-4.0319651289502434E-2</v>
      </c>
      <c r="E22" s="5">
        <f>Out_of_Sample!$U$2</f>
        <v>3.3333333333333335E-3</v>
      </c>
      <c r="F22" s="5">
        <f t="shared" si="0"/>
        <v>-2.7327535412128852E-2</v>
      </c>
      <c r="G22" s="5">
        <f t="shared" si="1"/>
        <v>-4.3652984622835768E-2</v>
      </c>
      <c r="H22" s="5">
        <f t="shared" si="2"/>
        <v>-2.9718839207411828E-2</v>
      </c>
    </row>
    <row r="23" spans="2:12" x14ac:dyDescent="0.2">
      <c r="B23" s="74">
        <f>Out_of_Sample!B130</f>
        <v>45413</v>
      </c>
      <c r="C23" s="5">
        <f>Out_of_Sample!D130</f>
        <v>7.6816594673842359E-2</v>
      </c>
      <c r="D23" s="5">
        <f>Out_of_Sample!E130</f>
        <v>5.0579704370691925E-2</v>
      </c>
      <c r="E23" s="5">
        <f>Out_of_Sample!$U$2</f>
        <v>3.3333333333333335E-3</v>
      </c>
      <c r="F23" s="5">
        <f t="shared" si="0"/>
        <v>7.3483261340509032E-2</v>
      </c>
      <c r="G23" s="5">
        <f t="shared" si="1"/>
        <v>4.7246371037358591E-2</v>
      </c>
      <c r="H23" s="5">
        <f t="shared" si="2"/>
        <v>5.7898512064933787E-2</v>
      </c>
    </row>
    <row r="24" spans="2:12" x14ac:dyDescent="0.2">
      <c r="B24" s="74">
        <f>Out_of_Sample!B131</f>
        <v>45444</v>
      </c>
      <c r="C24" s="5">
        <f>Out_of_Sample!D131</f>
        <v>3.7786007784149561E-2</v>
      </c>
      <c r="D24" s="5">
        <f>Out_of_Sample!E131</f>
        <v>3.1951002142708296E-2</v>
      </c>
      <c r="E24" s="5">
        <f>Out_of_Sample!$U$2</f>
        <v>3.3333333333333335E-3</v>
      </c>
      <c r="F24" s="5">
        <f t="shared" si="0"/>
        <v>3.4452674450816227E-2</v>
      </c>
      <c r="G24" s="5">
        <f t="shared" si="1"/>
        <v>2.8617668809374962E-2</v>
      </c>
      <c r="H24" s="5">
        <f t="shared" si="2"/>
        <v>3.9942416171814904E-2</v>
      </c>
    </row>
    <row r="25" spans="2:12" x14ac:dyDescent="0.2">
      <c r="B25" s="74">
        <f>Out_of_Sample!B132</f>
        <v>45474</v>
      </c>
      <c r="C25" s="5">
        <f>Out_of_Sample!D132</f>
        <v>7.6118953071843661E-3</v>
      </c>
      <c r="D25" s="5">
        <f>Out_of_Sample!E132</f>
        <v>1.2109073536437309E-2</v>
      </c>
      <c r="E25" s="5">
        <f>Out_of_Sample!$U$2</f>
        <v>3.3333333333333335E-3</v>
      </c>
      <c r="F25" s="5">
        <f t="shared" si="0"/>
        <v>4.278561973851033E-3</v>
      </c>
      <c r="G25" s="5">
        <f t="shared" si="1"/>
        <v>8.7757402031039752E-3</v>
      </c>
      <c r="H25" s="5">
        <f t="shared" si="2"/>
        <v>2.0816898548616264E-2</v>
      </c>
    </row>
    <row r="26" spans="2:12" x14ac:dyDescent="0.2">
      <c r="B26" s="74">
        <f>Out_of_Sample!B133</f>
        <v>45505</v>
      </c>
      <c r="C26" s="5">
        <f>Out_of_Sample!D133</f>
        <v>2.8160814588668554E-2</v>
      </c>
      <c r="D26" s="5">
        <f>Out_of_Sample!E133</f>
        <v>2.3365588860042585E-2</v>
      </c>
      <c r="E26" s="5">
        <f>Out_of_Sample!$U$2</f>
        <v>3.3333333333333335E-3</v>
      </c>
      <c r="F26" s="5">
        <f t="shared" si="0"/>
        <v>2.482748125533522E-2</v>
      </c>
      <c r="G26" s="5">
        <f t="shared" si="1"/>
        <v>2.0032255526709251E-2</v>
      </c>
      <c r="H26" s="5">
        <f t="shared" si="2"/>
        <v>3.1666987089373211E-2</v>
      </c>
    </row>
    <row r="27" spans="2:12" x14ac:dyDescent="0.2">
      <c r="B27" s="74">
        <f>Out_of_Sample!B134</f>
        <v>45536</v>
      </c>
      <c r="C27" s="5">
        <f>Out_of_Sample!D134</f>
        <v>1.6376854598759275E-2</v>
      </c>
      <c r="D27" s="5">
        <f>Out_of_Sample!E134</f>
        <v>1.7882486517172946E-2</v>
      </c>
      <c r="E27" s="5">
        <f>Out_of_Sample!$U$2</f>
        <v>3.3333333333333335E-3</v>
      </c>
      <c r="F27" s="5">
        <f t="shared" si="0"/>
        <v>1.3043521265425941E-2</v>
      </c>
      <c r="G27" s="5">
        <f t="shared" si="1"/>
        <v>1.4549153183839612E-2</v>
      </c>
      <c r="H27" s="5">
        <f t="shared" si="2"/>
        <v>2.6381857172354355E-2</v>
      </c>
    </row>
    <row r="28" spans="2:12" x14ac:dyDescent="0.2">
      <c r="B28" s="74">
        <f>Out_of_Sample!B135</f>
        <v>45566</v>
      </c>
      <c r="C28" s="5">
        <f>Out_of_Sample!D135</f>
        <v>1.7653464840724876E-2</v>
      </c>
      <c r="D28" s="5">
        <f>Out_of_Sample!E135</f>
        <v>-8.9235917456776948E-3</v>
      </c>
      <c r="E28" s="5">
        <f>Out_of_Sample!$U$2</f>
        <v>3.3333333333333335E-3</v>
      </c>
      <c r="F28" s="5">
        <f t="shared" si="0"/>
        <v>1.4320131507391542E-2</v>
      </c>
      <c r="G28" s="5">
        <f t="shared" si="1"/>
        <v>-1.2256925079011029E-2</v>
      </c>
      <c r="H28" s="5">
        <f t="shared" si="2"/>
        <v>5.4363688650166039E-4</v>
      </c>
    </row>
    <row r="29" spans="2:12" x14ac:dyDescent="0.2">
      <c r="B29" s="74">
        <f>Out_of_Sample!B136</f>
        <v>45597</v>
      </c>
      <c r="C29" s="5">
        <f>Out_of_Sample!D136</f>
        <v>4.609200756088476E-2</v>
      </c>
      <c r="D29" s="5">
        <f>Out_of_Sample!E136</f>
        <v>5.9633511536297146E-2</v>
      </c>
      <c r="E29" s="5">
        <f>Out_of_Sample!$U$2</f>
        <v>3.3333333333333335E-3</v>
      </c>
      <c r="F29" s="5">
        <f t="shared" si="0"/>
        <v>4.2758674227551426E-2</v>
      </c>
      <c r="G29" s="5">
        <f t="shared" si="1"/>
        <v>5.6300178202963812E-2</v>
      </c>
      <c r="H29" s="5">
        <f t="shared" si="2"/>
        <v>6.6625423240700171E-2</v>
      </c>
    </row>
    <row r="30" spans="2:12" x14ac:dyDescent="0.2">
      <c r="B30" s="74">
        <f>Out_of_Sample!B137</f>
        <v>45627</v>
      </c>
      <c r="C30" s="5">
        <f>Out_of_Sample!D137</f>
        <v>-2.6793790527769392E-2</v>
      </c>
      <c r="D30" s="5">
        <f>Out_of_Sample!E137</f>
        <v>-2.7333831217326243E-2</v>
      </c>
      <c r="E30" s="5">
        <f>Out_of_Sample!$U$2</f>
        <v>3.3333333333333335E-3</v>
      </c>
      <c r="F30" s="5">
        <f t="shared" si="0"/>
        <v>-3.0127123861102726E-2</v>
      </c>
      <c r="G30" s="5">
        <f t="shared" si="1"/>
        <v>-3.0667164550659577E-2</v>
      </c>
      <c r="H30" s="5">
        <f t="shared" si="2"/>
        <v>-1.7201884047942161E-2</v>
      </c>
    </row>
    <row r="31" spans="2:12" x14ac:dyDescent="0.2">
      <c r="B31" s="74">
        <f>Out_of_Sample!B138</f>
        <v>45658</v>
      </c>
      <c r="C31" s="5">
        <f>Out_of_Sample!D138</f>
        <v>1.5357803539346824E-2</v>
      </c>
      <c r="D31" s="5">
        <f>Out_of_Sample!E138</f>
        <v>2.6856401856401924E-2</v>
      </c>
      <c r="E31" s="5">
        <f>Out_of_Sample!$U$2</f>
        <v>3.3333333333333335E-3</v>
      </c>
      <c r="F31" s="5">
        <f t="shared" si="0"/>
        <v>1.202447020601349E-2</v>
      </c>
      <c r="G31" s="5">
        <f t="shared" si="1"/>
        <v>2.352306852306859E-2</v>
      </c>
      <c r="H31" s="5">
        <f t="shared" si="2"/>
        <v>3.5031761089218211E-2</v>
      </c>
    </row>
    <row r="32" spans="2:12" x14ac:dyDescent="0.2">
      <c r="B32" s="74">
        <f>Out_of_Sample!B139</f>
        <v>45689</v>
      </c>
      <c r="C32" s="5">
        <f>Out_of_Sample!D139</f>
        <v>6.7833597862572139E-3</v>
      </c>
      <c r="D32" s="5">
        <f>Out_of_Sample!E139</f>
        <v>-1.2694825695390821E-2</v>
      </c>
      <c r="E32" s="5">
        <f>Out_of_Sample!$U$2</f>
        <v>3.3333333333333335E-3</v>
      </c>
      <c r="F32" s="5">
        <f t="shared" si="0"/>
        <v>3.4500264529238804E-3</v>
      </c>
      <c r="G32" s="5">
        <f t="shared" si="1"/>
        <v>-1.6028159028724155E-2</v>
      </c>
      <c r="H32" s="5">
        <f t="shared" si="2"/>
        <v>-3.0914332116564365E-3</v>
      </c>
    </row>
    <row r="33" spans="2:8" x14ac:dyDescent="0.2">
      <c r="B33" s="74">
        <f>Out_of_Sample!B140</f>
        <v>45717</v>
      </c>
      <c r="C33" s="5">
        <f>Out_of_Sample!D140</f>
        <v>-3.8904579591870568E-2</v>
      </c>
      <c r="D33" s="5">
        <f>Out_of_Sample!E140</f>
        <v>-5.8551280756673041E-2</v>
      </c>
      <c r="E33" s="5">
        <f>Out_of_Sample!$U$2</f>
        <v>3.3333333333333335E-3</v>
      </c>
      <c r="F33" s="5">
        <f t="shared" si="0"/>
        <v>-4.2237912925203902E-2</v>
      </c>
      <c r="G33" s="5">
        <f t="shared" si="1"/>
        <v>-6.1884614090006375E-2</v>
      </c>
      <c r="H33" s="5">
        <f t="shared" si="2"/>
        <v>-4.729219901497593E-2</v>
      </c>
    </row>
    <row r="34" spans="2:8" x14ac:dyDescent="0.2">
      <c r="B34" s="74">
        <f>Out_of_Sample!B141</f>
        <v>45748</v>
      </c>
      <c r="C34" s="5">
        <f>Out_of_Sample!D141</f>
        <v>7.9175856254592343E-3</v>
      </c>
      <c r="D34" s="5">
        <f>Out_of_Sample!E141</f>
        <v>-8.6701585655803992E-3</v>
      </c>
      <c r="E34" s="5">
        <f>Out_of_Sample!$U$2</f>
        <v>3.3333333333333335E-3</v>
      </c>
      <c r="F34" s="5">
        <f t="shared" si="0"/>
        <v>4.5842522921259003E-3</v>
      </c>
      <c r="G34" s="5">
        <f t="shared" si="1"/>
        <v>-1.2003491898913733E-2</v>
      </c>
      <c r="H34" s="5">
        <f t="shared" si="2"/>
        <v>7.8791962979921429E-4</v>
      </c>
    </row>
    <row r="35" spans="2:8" x14ac:dyDescent="0.2">
      <c r="B35" s="74">
        <f>Out_of_Sample!B142</f>
        <v>45778</v>
      </c>
      <c r="C35" s="5">
        <f>Out_of_Sample!D142</f>
        <v>8.2070461273732048E-2</v>
      </c>
      <c r="D35" s="5">
        <f>Out_of_Sample!E142</f>
        <v>6.2844880441446982E-2</v>
      </c>
      <c r="E35" s="5">
        <f>Out_of_Sample!$U$2</f>
        <v>3.3333333333333335E-3</v>
      </c>
      <c r="F35" s="5">
        <f t="shared" si="0"/>
        <v>7.8737127940398721E-2</v>
      </c>
      <c r="G35" s="5">
        <f t="shared" si="1"/>
        <v>5.9511547108113648E-2</v>
      </c>
      <c r="H35" s="5">
        <f t="shared" si="2"/>
        <v>6.9720842733875035E-2</v>
      </c>
    </row>
    <row r="36" spans="2:8" x14ac:dyDescent="0.2">
      <c r="B36" s="74">
        <f>Out_of_Sample!B143</f>
        <v>45809</v>
      </c>
      <c r="C36" s="5">
        <f>Out_of_Sample!D143</f>
        <v>5.7534319122987211E-2</v>
      </c>
      <c r="D36" s="5">
        <f>Out_of_Sample!E143</f>
        <v>4.8287212202446694E-2</v>
      </c>
      <c r="E36" s="5">
        <f>Out_of_Sample!$U$2</f>
        <v>3.3333333333333335E-3</v>
      </c>
      <c r="F36" s="5">
        <f t="shared" si="0"/>
        <v>5.4200985789653877E-2</v>
      </c>
      <c r="G36" s="5">
        <f t="shared" si="1"/>
        <v>4.495387886911336E-2</v>
      </c>
      <c r="H36" s="5">
        <f t="shared" si="2"/>
        <v>5.5688792423519401E-2</v>
      </c>
    </row>
    <row r="37" spans="2:8" x14ac:dyDescent="0.2">
      <c r="B37" s="74">
        <f>Out_of_Sample!B144</f>
        <v>45839</v>
      </c>
      <c r="C37" s="5">
        <f>Out_of_Sample!D144</f>
        <v>2.5734443846560345E-2</v>
      </c>
      <c r="D37" s="5">
        <f>Out_of_Sample!E144</f>
        <v>2.3031480132718274E-2</v>
      </c>
      <c r="E37" s="5">
        <f>Out_of_Sample!$U$2</f>
        <v>3.3333333333333335E-3</v>
      </c>
      <c r="F37" s="5">
        <f t="shared" si="0"/>
        <v>2.2401110513227011E-2</v>
      </c>
      <c r="G37" s="5">
        <f t="shared" si="1"/>
        <v>1.969814679938494E-2</v>
      </c>
      <c r="H37" s="5">
        <f t="shared" si="2"/>
        <v>3.1344941663280598E-2</v>
      </c>
    </row>
    <row r="38" spans="2:8" x14ac:dyDescent="0.2">
      <c r="B38" s="74">
        <f>Out_of_Sample!B145</f>
        <v>45870</v>
      </c>
      <c r="C38" s="5">
        <f>Out_of_Sample!D145</f>
        <v>2.1648540259821453E-2</v>
      </c>
      <c r="D38" s="5">
        <f>Out_of_Sample!E145</f>
        <v>2.0519554486773783E-2</v>
      </c>
      <c r="E38" s="5">
        <f>Out_of_Sample!$U$2</f>
        <v>3.3333333333333335E-3</v>
      </c>
      <c r="F38" s="5">
        <f t="shared" si="0"/>
        <v>1.8315206926488119E-2</v>
      </c>
      <c r="G38" s="5">
        <f t="shared" si="1"/>
        <v>1.7186221153440449E-2</v>
      </c>
      <c r="H38" s="5">
        <f t="shared" si="2"/>
        <v>2.8923711390609806E-2</v>
      </c>
    </row>
    <row r="39" spans="2:8" x14ac:dyDescent="0.2">
      <c r="B39" s="74">
        <f>Out_of_Sample!B146</f>
        <v>45901</v>
      </c>
      <c r="C39" s="5">
        <f>Out_of_Sample!D146</f>
        <v>5.7014410633254263E-2</v>
      </c>
      <c r="D39" s="5">
        <f>Out_of_Sample!E146</f>
        <v>3.2757150608480057E-2</v>
      </c>
      <c r="E39" s="5">
        <f>Out_of_Sample!$U$2</f>
        <v>3.3333333333333335E-3</v>
      </c>
      <c r="F39" s="5">
        <f t="shared" si="0"/>
        <v>5.3681077299920929E-2</v>
      </c>
      <c r="G39" s="5">
        <f t="shared" si="1"/>
        <v>2.9423817275146723E-2</v>
      </c>
      <c r="H39" s="5">
        <f t="shared" si="2"/>
        <v>4.0719457909791902E-2</v>
      </c>
    </row>
    <row r="40" spans="2:8" x14ac:dyDescent="0.2">
      <c r="B40" s="74">
        <f>Out_of_Sample!B147</f>
        <v>45931</v>
      </c>
      <c r="C40" s="5">
        <f>Out_of_Sample!D147</f>
        <v>3.2520737993219417E-2</v>
      </c>
      <c r="D40" s="5">
        <f>Out_of_Sample!E147</f>
        <v>2.38374013029512E-2</v>
      </c>
      <c r="E40" s="5">
        <f>Out_of_Sample!$U$2</f>
        <v>3.3333333333333335E-3</v>
      </c>
      <c r="F40" s="5">
        <f t="shared" si="0"/>
        <v>2.9187404659886083E-2</v>
      </c>
      <c r="G40" s="5">
        <f t="shared" si="1"/>
        <v>2.0504067969617866E-2</v>
      </c>
      <c r="H40" s="5">
        <f t="shared" si="2"/>
        <v>3.2121764312432119E-2</v>
      </c>
    </row>
    <row r="41" spans="2:8" x14ac:dyDescent="0.2">
      <c r="B41" s="74">
        <f>Out_of_Sample!B148</f>
        <v>45962</v>
      </c>
      <c r="C41" s="5">
        <f>Out_of_Sample!D148</f>
        <v>-1.6046522496228895E-2</v>
      </c>
      <c r="D41" s="5">
        <f>Out_of_Sample!E148</f>
        <v>1.9499750755065381E-3</v>
      </c>
      <c r="E41" s="5">
        <f>Out_of_Sample!$U$2</f>
        <v>3.3333333333333335E-3</v>
      </c>
      <c r="F41" s="5">
        <f t="shared" si="0"/>
        <v>-1.9379855829562229E-2</v>
      </c>
      <c r="G41" s="5">
        <f t="shared" si="1"/>
        <v>-1.3833582578267954E-3</v>
      </c>
      <c r="H41" s="5">
        <f t="shared" si="2"/>
        <v>1.1024603630826153E-2</v>
      </c>
    </row>
    <row r="42" spans="2:8" x14ac:dyDescent="0.2">
      <c r="B42" s="74">
        <f>Out_of_Sample!B149</f>
        <v>45992</v>
      </c>
      <c r="C42" s="5">
        <f>Out_of_Sample!D149</f>
        <v>1.2154361875103197E-2</v>
      </c>
      <c r="D42" s="5">
        <f>Out_of_Sample!E149</f>
        <v>-2.1510411331743251E-3</v>
      </c>
      <c r="E42" s="5">
        <f>Out_of_Sample!$U$2</f>
        <v>3.3333333333333335E-3</v>
      </c>
      <c r="F42" s="5">
        <f t="shared" si="0"/>
        <v>8.8210285417698632E-3</v>
      </c>
      <c r="G42" s="5">
        <f t="shared" si="1"/>
        <v>-5.4843744665076591E-3</v>
      </c>
      <c r="H42" s="5">
        <f t="shared" si="2"/>
        <v>7.071658363834301E-3</v>
      </c>
    </row>
    <row r="43" spans="2:8" x14ac:dyDescent="0.2">
      <c r="B43" s="74">
        <f>Out_of_Sample!B150</f>
        <v>46023</v>
      </c>
      <c r="C43" s="5">
        <f>Out_of_Sample!D150</f>
        <v>2.0375896136883599E-2</v>
      </c>
      <c r="D43" s="5">
        <f>Out_of_Sample!E150</f>
        <v>1.4283200375410532E-2</v>
      </c>
      <c r="E43" s="5">
        <f>Out_of_Sample!$U$2</f>
        <v>3.3333333333333335E-3</v>
      </c>
      <c r="F43" s="5">
        <f t="shared" si="0"/>
        <v>1.7042562803550265E-2</v>
      </c>
      <c r="G43" s="5">
        <f t="shared" si="1"/>
        <v>1.0949867042077198E-2</v>
      </c>
      <c r="H43" s="5">
        <f t="shared" si="2"/>
        <v>2.2912526549248718E-2</v>
      </c>
    </row>
    <row r="44" spans="2:8" x14ac:dyDescent="0.2">
      <c r="B44" s="1"/>
    </row>
  </sheetData>
  <mergeCells count="4">
    <mergeCell ref="K4:N4"/>
    <mergeCell ref="K12:L12"/>
    <mergeCell ref="Q4:R4"/>
    <mergeCell ref="B2:H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5B725-4354-4DD2-AE18-A3BAF67DB0B2}">
  <dimension ref="B3:F14"/>
  <sheetViews>
    <sheetView workbookViewId="0">
      <selection activeCell="L35" sqref="L35"/>
    </sheetView>
  </sheetViews>
  <sheetFormatPr defaultRowHeight="14.25" x14ac:dyDescent="0.2"/>
  <cols>
    <col min="4" max="4" width="15.5" bestFit="1" customWidth="1"/>
    <col min="5" max="5" width="12" bestFit="1" customWidth="1"/>
    <col min="6" max="6" width="14.25" bestFit="1" customWidth="1"/>
  </cols>
  <sheetData>
    <row r="3" spans="2:6" ht="15.75" x14ac:dyDescent="0.25">
      <c r="B3" s="90" t="s">
        <v>637</v>
      </c>
      <c r="C3" s="90" t="s">
        <v>1327</v>
      </c>
      <c r="D3" s="91" t="s">
        <v>1458</v>
      </c>
      <c r="E3" s="91" t="s">
        <v>1459</v>
      </c>
      <c r="F3" s="91" t="s">
        <v>1460</v>
      </c>
    </row>
    <row r="4" spans="2:6" x14ac:dyDescent="0.2">
      <c r="B4" s="92" t="s">
        <v>630</v>
      </c>
      <c r="C4" s="6">
        <v>0</v>
      </c>
      <c r="D4" s="5">
        <f>AVERAGEIFS(Returns!C3:C135,Returns!A3:A135,"&gt;="&amp;Out_of_Sample!C12)</f>
        <v>1.2042723136918777E-2</v>
      </c>
      <c r="E4" s="5">
        <f t="shared" ref="E4:E13" si="0">C4*D4</f>
        <v>0</v>
      </c>
      <c r="F4" s="69">
        <f t="shared" ref="F4:F13" si="1">E4/$E$14</f>
        <v>0</v>
      </c>
    </row>
    <row r="5" spans="2:6" x14ac:dyDescent="0.2">
      <c r="B5" s="14" t="s">
        <v>783</v>
      </c>
      <c r="C5" s="5">
        <v>0</v>
      </c>
      <c r="D5" s="5">
        <f>AVERAGEIFS(Returns!H3:H135,Returns!A3:A135,"&gt;="&amp;Out_of_Sample!C12)</f>
        <v>-2.9908854820425686E-3</v>
      </c>
      <c r="E5" s="5">
        <f t="shared" si="0"/>
        <v>0</v>
      </c>
      <c r="F5" s="69">
        <f t="shared" si="1"/>
        <v>0</v>
      </c>
    </row>
    <row r="6" spans="2:6" x14ac:dyDescent="0.2">
      <c r="B6" s="14" t="s">
        <v>1042</v>
      </c>
      <c r="C6" s="5">
        <v>0</v>
      </c>
      <c r="D6" s="5">
        <f>AVERAGEIFS(Returns!J3:J135,Returns!A3:A135,"&gt;="&amp;Out_of_Sample!C12)</f>
        <v>4.2150472544477289E-3</v>
      </c>
      <c r="E6" s="5">
        <f t="shared" si="0"/>
        <v>0</v>
      </c>
      <c r="F6" s="69">
        <f t="shared" si="1"/>
        <v>0</v>
      </c>
    </row>
    <row r="7" spans="2:6" x14ac:dyDescent="0.2">
      <c r="B7" s="14" t="s">
        <v>652</v>
      </c>
      <c r="C7" s="5">
        <v>0.1</v>
      </c>
      <c r="D7" s="5">
        <f>AVERAGEIFS(Returns!G3:G135,Returns!A3:A135,"&gt;="&amp;Out_of_Sample!C12)</f>
        <v>5.5058081394808028E-3</v>
      </c>
      <c r="E7" s="5">
        <f t="shared" si="0"/>
        <v>5.5058081394808033E-4</v>
      </c>
      <c r="F7" s="69">
        <f t="shared" si="1"/>
        <v>1.8871570015196251E-2</v>
      </c>
    </row>
    <row r="8" spans="2:6" x14ac:dyDescent="0.2">
      <c r="B8" s="14" t="s">
        <v>1174</v>
      </c>
      <c r="C8" s="5">
        <v>0.05</v>
      </c>
      <c r="D8" s="5">
        <f>AVERAGEIFS(Returns!K3:K135,Returns!A3:A135,"&gt;="&amp;Out_of_Sample!C12)</f>
        <v>1.4632641524747952E-2</v>
      </c>
      <c r="E8" s="5">
        <f t="shared" si="0"/>
        <v>7.3163207623739765E-4</v>
      </c>
      <c r="F8" s="69">
        <f t="shared" si="1"/>
        <v>2.5077237713879826E-2</v>
      </c>
    </row>
    <row r="9" spans="2:6" x14ac:dyDescent="0.2">
      <c r="B9" s="14" t="s">
        <v>369</v>
      </c>
      <c r="C9" s="5">
        <v>0.10000000124176341</v>
      </c>
      <c r="D9" s="5">
        <f>AVERAGEIFS(Returns!E3:E135,Returns!A3:A135,"&gt;="&amp;Out_of_Sample!C12)</f>
        <v>2.9692213363730412E-2</v>
      </c>
      <c r="E9" s="5">
        <f t="shared" si="0"/>
        <v>2.9692213732437451E-3</v>
      </c>
      <c r="F9" s="69">
        <f t="shared" si="1"/>
        <v>0.10177228776640677</v>
      </c>
    </row>
    <row r="10" spans="2:6" x14ac:dyDescent="0.2">
      <c r="B10" s="14" t="s">
        <v>914</v>
      </c>
      <c r="C10" s="5">
        <v>0.15</v>
      </c>
      <c r="D10" s="5">
        <f>AVERAGEIFS(Returns!I3:I135,Returns!A3:A135,"&gt;="&amp;Out_of_Sample!C12)</f>
        <v>2.4082006005764125E-2</v>
      </c>
      <c r="E10" s="5">
        <f t="shared" si="0"/>
        <v>3.6123009008646187E-3</v>
      </c>
      <c r="F10" s="69">
        <f t="shared" si="1"/>
        <v>0.12381432051326718</v>
      </c>
    </row>
    <row r="11" spans="2:6" x14ac:dyDescent="0.2">
      <c r="B11" s="14" t="s">
        <v>273</v>
      </c>
      <c r="C11" s="5">
        <v>0.25</v>
      </c>
      <c r="D11" s="5">
        <f>AVERAGEIFS(Returns!D3:D135,Returns!A3:A135,"&gt;="&amp;Out_of_Sample!C12)</f>
        <v>1.7322213009735479E-2</v>
      </c>
      <c r="E11" s="5">
        <f t="shared" si="0"/>
        <v>4.3305532524338698E-3</v>
      </c>
      <c r="F11" s="69">
        <f t="shared" si="1"/>
        <v>0.14843295813709231</v>
      </c>
    </row>
    <row r="12" spans="2:6" x14ac:dyDescent="0.2">
      <c r="B12" s="14" t="s">
        <v>139</v>
      </c>
      <c r="C12" s="5">
        <v>0.2</v>
      </c>
      <c r="D12" s="5">
        <f>AVERAGEIFS(Returns!B3:B134,Returns!A3:A134,"&gt;="&amp;Out_of_Sample!C12)</f>
        <v>2.6133536342914689E-2</v>
      </c>
      <c r="E12" s="5">
        <f t="shared" si="0"/>
        <v>5.2267072685829377E-3</v>
      </c>
      <c r="F12" s="69">
        <f t="shared" si="1"/>
        <v>0.17914930863773149</v>
      </c>
    </row>
    <row r="13" spans="2:6" ht="15" thickBot="1" x14ac:dyDescent="0.25">
      <c r="B13" s="14" t="s">
        <v>503</v>
      </c>
      <c r="C13" s="5">
        <v>0.15</v>
      </c>
      <c r="D13" s="5">
        <f>AVERAGEIFS(Returns!F3:F135,Returns!A3:A135,"&gt;="&amp;Out_of_Sample!C12)</f>
        <v>7.8361003336302373E-2</v>
      </c>
      <c r="E13" s="93">
        <f t="shared" si="0"/>
        <v>1.1754150500445355E-2</v>
      </c>
      <c r="F13" s="69">
        <f t="shared" si="1"/>
        <v>0.40288231721642609</v>
      </c>
    </row>
    <row r="14" spans="2:6" ht="15" thickBot="1" x14ac:dyDescent="0.25">
      <c r="E14" s="94">
        <f>SUM(E4:E13)</f>
        <v>2.9175146185756007E-2</v>
      </c>
      <c r="F14" s="2"/>
    </row>
  </sheetData>
  <sortState xmlns:xlrd2="http://schemas.microsoft.com/office/spreadsheetml/2017/richdata2" ref="B4:F13">
    <sortCondition ref="F4:F13"/>
  </sortState>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61049-7A45-4CA2-91BB-6F981E70D6C9}">
  <dimension ref="A1:J46"/>
  <sheetViews>
    <sheetView workbookViewId="0">
      <selection activeCell="E2" sqref="E2"/>
    </sheetView>
  </sheetViews>
  <sheetFormatPr defaultRowHeight="14.25" x14ac:dyDescent="0.2"/>
  <cols>
    <col min="3" max="3" width="13.125" customWidth="1"/>
    <col min="4" max="4" width="20.375" customWidth="1"/>
    <col min="5" max="5" width="11.875" customWidth="1"/>
    <col min="6" max="6" width="11.875" bestFit="1" customWidth="1"/>
    <col min="7" max="7" width="7.125" customWidth="1"/>
    <col min="8" max="8" width="8.25" customWidth="1"/>
  </cols>
  <sheetData>
    <row r="1" spans="1:5" ht="48" thickBot="1" x14ac:dyDescent="0.25">
      <c r="A1" s="53" t="s">
        <v>637</v>
      </c>
      <c r="B1" s="53" t="s">
        <v>638</v>
      </c>
      <c r="C1" s="54" t="s">
        <v>1319</v>
      </c>
      <c r="D1" s="53" t="s">
        <v>1344</v>
      </c>
    </row>
    <row r="2" spans="1:5" ht="15.75" x14ac:dyDescent="0.25">
      <c r="A2" s="52" t="s">
        <v>139</v>
      </c>
      <c r="B2" s="5">
        <v>0.2</v>
      </c>
      <c r="C2" s="6">
        <f t="shared" ref="C2:C11" si="0">($B2*E2)/$B$40</f>
        <v>1.5872266141419237E-3</v>
      </c>
      <c r="D2" s="55">
        <f t="shared" ref="D2:D11" si="1">C2/SUM($C$2:$C$11)</f>
        <v>3.7144492148861057E-2</v>
      </c>
      <c r="E2" s="57">
        <f t="array" ref="E2:E11">MMULT('Portfolio '!$B$22:$K$31,$B$2:$B$11)</f>
        <v>3.3912003892045176E-4</v>
      </c>
    </row>
    <row r="3" spans="1:5" ht="15.75" x14ac:dyDescent="0.25">
      <c r="A3" s="52" t="s">
        <v>630</v>
      </c>
      <c r="B3" s="5">
        <v>0</v>
      </c>
      <c r="C3" s="6">
        <f t="shared" si="0"/>
        <v>0</v>
      </c>
      <c r="D3" s="55">
        <f t="shared" si="1"/>
        <v>0</v>
      </c>
      <c r="E3" s="57">
        <v>1.1037773793348047E-3</v>
      </c>
    </row>
    <row r="4" spans="1:5" ht="15.75" x14ac:dyDescent="0.25">
      <c r="A4" s="52" t="s">
        <v>273</v>
      </c>
      <c r="B4" s="5">
        <v>0.25</v>
      </c>
      <c r="C4" s="6">
        <f t="shared" si="0"/>
        <v>9.8871873205527566E-3</v>
      </c>
      <c r="D4" s="55">
        <f t="shared" si="1"/>
        <v>0.23138129648936945</v>
      </c>
      <c r="E4" s="57">
        <v>1.689963270063888E-3</v>
      </c>
    </row>
    <row r="5" spans="1:5" ht="15.75" x14ac:dyDescent="0.25">
      <c r="A5" s="52" t="s">
        <v>369</v>
      </c>
      <c r="B5" s="5">
        <v>0.1</v>
      </c>
      <c r="C5" s="6">
        <f t="shared" si="0"/>
        <v>4.2104797056019081E-3</v>
      </c>
      <c r="D5" s="55">
        <f t="shared" si="1"/>
        <v>9.8534216207191536E-2</v>
      </c>
      <c r="E5" s="57">
        <v>1.7991861135839267E-3</v>
      </c>
    </row>
    <row r="6" spans="1:5" ht="15.75" x14ac:dyDescent="0.25">
      <c r="A6" s="52" t="s">
        <v>503</v>
      </c>
      <c r="B6" s="5">
        <v>0.15</v>
      </c>
      <c r="C6" s="6">
        <f t="shared" si="0"/>
        <v>1.6133696195622306E-2</v>
      </c>
      <c r="D6" s="55">
        <f t="shared" si="1"/>
        <v>0.37756294301704363</v>
      </c>
      <c r="E6" s="57">
        <v>4.5960752195409469E-3</v>
      </c>
    </row>
    <row r="7" spans="1:5" ht="15.75" x14ac:dyDescent="0.25">
      <c r="A7" s="52" t="s">
        <v>652</v>
      </c>
      <c r="B7" s="5">
        <v>0.1</v>
      </c>
      <c r="C7" s="6">
        <f t="shared" si="0"/>
        <v>1.4963074068098964E-3</v>
      </c>
      <c r="D7" s="55">
        <f t="shared" si="1"/>
        <v>3.5016788547601263E-2</v>
      </c>
      <c r="E7" s="57">
        <v>6.3938926113415084E-4</v>
      </c>
    </row>
    <row r="8" spans="1:5" ht="15.75" x14ac:dyDescent="0.25">
      <c r="A8" s="52" t="s">
        <v>783</v>
      </c>
      <c r="B8" s="5">
        <v>0</v>
      </c>
      <c r="C8" s="6">
        <f t="shared" si="0"/>
        <v>0</v>
      </c>
      <c r="D8" s="55">
        <f t="shared" si="1"/>
        <v>0</v>
      </c>
      <c r="E8" s="57">
        <v>3.468640989592213E-4</v>
      </c>
    </row>
    <row r="9" spans="1:5" ht="15.75" x14ac:dyDescent="0.25">
      <c r="A9" s="52" t="s">
        <v>914</v>
      </c>
      <c r="B9" s="5">
        <v>0.15</v>
      </c>
      <c r="C9" s="6">
        <f t="shared" si="0"/>
        <v>7.7104431896621991E-3</v>
      </c>
      <c r="D9" s="55">
        <f t="shared" si="1"/>
        <v>0.18044083558760055</v>
      </c>
      <c r="E9" s="57">
        <v>2.1965070152554578E-3</v>
      </c>
    </row>
    <row r="10" spans="1:5" ht="15.75" x14ac:dyDescent="0.25">
      <c r="A10" s="52" t="s">
        <v>1042</v>
      </c>
      <c r="B10" s="5">
        <v>0</v>
      </c>
      <c r="C10" s="6">
        <f t="shared" si="0"/>
        <v>0</v>
      </c>
      <c r="D10" s="55">
        <f t="shared" si="1"/>
        <v>0</v>
      </c>
      <c r="E10" s="57">
        <v>1.3704844139874018E-3</v>
      </c>
    </row>
    <row r="11" spans="1:5" ht="15.75" x14ac:dyDescent="0.25">
      <c r="A11" s="52" t="s">
        <v>1174</v>
      </c>
      <c r="B11" s="5">
        <v>0.05</v>
      </c>
      <c r="C11" s="6">
        <f t="shared" si="0"/>
        <v>1.7058027955449461E-3</v>
      </c>
      <c r="D11" s="55">
        <f t="shared" si="1"/>
        <v>3.9919428002332481E-2</v>
      </c>
      <c r="E11" s="57">
        <v>1.4578180715008925E-3</v>
      </c>
    </row>
    <row r="13" spans="1:5" x14ac:dyDescent="0.2">
      <c r="D13" s="56"/>
    </row>
    <row r="38" spans="1:10" ht="15" thickBot="1" x14ac:dyDescent="0.25"/>
    <row r="39" spans="1:10" ht="32.25" thickBot="1" x14ac:dyDescent="0.3">
      <c r="A39" s="43" t="s">
        <v>1316</v>
      </c>
      <c r="B39" s="51">
        <f t="array" ref="B39">MMULT( MMULT(A46:J46, 'Portfolio '!B22:K31), B2:B11 )</f>
        <v>1.8259506015663753E-3</v>
      </c>
    </row>
    <row r="40" spans="1:10" ht="32.25" thickBot="1" x14ac:dyDescent="0.3">
      <c r="A40" s="43" t="s">
        <v>1317</v>
      </c>
      <c r="B40" s="51">
        <f>SQRT(B39)</f>
        <v>4.273114322793594E-2</v>
      </c>
    </row>
    <row r="45" spans="1:10" ht="15" x14ac:dyDescent="0.25">
      <c r="A45" s="37" t="s">
        <v>139</v>
      </c>
      <c r="B45" s="37" t="s">
        <v>630</v>
      </c>
      <c r="C45" s="37" t="s">
        <v>273</v>
      </c>
      <c r="D45" s="37" t="s">
        <v>369</v>
      </c>
      <c r="E45" s="37" t="s">
        <v>503</v>
      </c>
      <c r="F45" s="37" t="s">
        <v>652</v>
      </c>
      <c r="G45" s="37" t="s">
        <v>783</v>
      </c>
      <c r="H45" s="37" t="s">
        <v>914</v>
      </c>
      <c r="I45" s="37" t="s">
        <v>1042</v>
      </c>
      <c r="J45" s="37" t="s">
        <v>1174</v>
      </c>
    </row>
    <row r="46" spans="1:10" x14ac:dyDescent="0.2">
      <c r="A46" s="6">
        <v>0.2</v>
      </c>
      <c r="B46" s="6">
        <v>0</v>
      </c>
      <c r="C46" s="6">
        <v>0.25</v>
      </c>
      <c r="D46" s="6">
        <v>0.1</v>
      </c>
      <c r="E46" s="6">
        <v>0.15</v>
      </c>
      <c r="F46" s="6">
        <v>0.1</v>
      </c>
      <c r="G46" s="6">
        <v>0</v>
      </c>
      <c r="H46" s="6">
        <v>0.15</v>
      </c>
      <c r="I46" s="6">
        <v>0</v>
      </c>
      <c r="J46" s="6">
        <v>0.05</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FF6E-B178-40AB-B880-B0A823E552D3}">
  <dimension ref="B2:AC135"/>
  <sheetViews>
    <sheetView workbookViewId="0">
      <selection activeCell="C7" sqref="C7"/>
    </sheetView>
  </sheetViews>
  <sheetFormatPr defaultRowHeight="14.25" x14ac:dyDescent="0.2"/>
  <cols>
    <col min="2" max="2" width="9.875" bestFit="1" customWidth="1"/>
    <col min="3" max="3" width="15.25" bestFit="1" customWidth="1"/>
    <col min="7" max="7" width="9.875" bestFit="1" customWidth="1"/>
    <col min="11" max="11" width="9.875" bestFit="1" customWidth="1"/>
    <col min="27" max="27" width="15" bestFit="1" customWidth="1"/>
  </cols>
  <sheetData>
    <row r="2" spans="2:29" ht="15" x14ac:dyDescent="0.25">
      <c r="B2" s="114" t="s">
        <v>1328</v>
      </c>
      <c r="C2" s="114"/>
      <c r="G2" s="126" t="s">
        <v>1327</v>
      </c>
      <c r="H2" s="126"/>
      <c r="I2" s="126"/>
      <c r="J2" s="126"/>
      <c r="K2" s="126"/>
      <c r="L2" s="126"/>
      <c r="M2" s="126"/>
      <c r="N2" s="126"/>
      <c r="O2" s="126"/>
      <c r="P2" s="126"/>
    </row>
    <row r="3" spans="2:29" ht="15" x14ac:dyDescent="0.25">
      <c r="B3" s="37" t="s">
        <v>0</v>
      </c>
      <c r="C3" s="37" t="s">
        <v>1326</v>
      </c>
      <c r="G3" s="37" t="s">
        <v>139</v>
      </c>
      <c r="H3" s="37" t="s">
        <v>630</v>
      </c>
      <c r="I3" s="37" t="s">
        <v>273</v>
      </c>
      <c r="J3" s="37" t="s">
        <v>369</v>
      </c>
      <c r="K3" s="37" t="s">
        <v>503</v>
      </c>
      <c r="L3" s="37" t="s">
        <v>652</v>
      </c>
      <c r="M3" s="37" t="s">
        <v>783</v>
      </c>
      <c r="N3" s="37" t="s">
        <v>914</v>
      </c>
      <c r="O3" s="37" t="s">
        <v>1042</v>
      </c>
      <c r="P3" s="37" t="s">
        <v>1174</v>
      </c>
    </row>
    <row r="4" spans="2:29" x14ac:dyDescent="0.2">
      <c r="B4" s="13">
        <v>42036</v>
      </c>
      <c r="C4" s="5">
        <f>SUMPRODUCT(Returns!B3:K3,$G$4:$P$4)</f>
        <v>5.3187883585277929E-2</v>
      </c>
      <c r="G4" s="6">
        <v>0.2</v>
      </c>
      <c r="H4" s="6">
        <v>0</v>
      </c>
      <c r="I4" s="6">
        <v>0.25</v>
      </c>
      <c r="J4" s="6">
        <v>0.1</v>
      </c>
      <c r="K4" s="6">
        <v>0.15</v>
      </c>
      <c r="L4" s="6">
        <v>0.1</v>
      </c>
      <c r="M4" s="6">
        <v>0</v>
      </c>
      <c r="N4" s="6">
        <v>0.15</v>
      </c>
      <c r="O4" s="6">
        <v>0</v>
      </c>
      <c r="P4" s="6">
        <v>0.05</v>
      </c>
    </row>
    <row r="5" spans="2:29" x14ac:dyDescent="0.2">
      <c r="B5" s="13">
        <v>42064</v>
      </c>
      <c r="C5" s="5">
        <f>SUMPRODUCT(Returns!B4:K4,$G$4:$P$4)</f>
        <v>-2.6987598480012517E-2</v>
      </c>
    </row>
    <row r="6" spans="2:29" x14ac:dyDescent="0.2">
      <c r="B6" s="13">
        <v>42095</v>
      </c>
      <c r="C6" s="5">
        <f>SUMPRODUCT(Returns!B5:K5,$G$4:$P$4)</f>
        <v>1.6568686820135681E-2</v>
      </c>
      <c r="AA6" t="s">
        <v>1379</v>
      </c>
      <c r="AB6" t="s">
        <v>1380</v>
      </c>
      <c r="AC6" t="s">
        <v>1381</v>
      </c>
    </row>
    <row r="7" spans="2:29" x14ac:dyDescent="0.2">
      <c r="B7" s="13">
        <v>42125</v>
      </c>
      <c r="C7" s="5">
        <f>SUMPRODUCT(Returns!B6:K6,$G$4:$P$4)</f>
        <v>1.0184520012560917E-2</v>
      </c>
      <c r="AA7" s="56">
        <v>0.9</v>
      </c>
      <c r="AB7" s="77">
        <v>-3.7716685480543168E-2</v>
      </c>
      <c r="AC7" s="77">
        <v>-6.5984933512406849E-2</v>
      </c>
    </row>
    <row r="8" spans="2:29" ht="15" x14ac:dyDescent="0.25">
      <c r="B8" s="13">
        <v>42156</v>
      </c>
      <c r="C8" s="5">
        <f>SUMPRODUCT(Returns!B7:K7,$G$4:$P$4)</f>
        <v>-2.78885940735288E-2</v>
      </c>
      <c r="G8" s="126" t="s">
        <v>1333</v>
      </c>
      <c r="H8" s="126"/>
      <c r="K8" s="126" t="s">
        <v>1378</v>
      </c>
      <c r="L8" s="126"/>
      <c r="AA8" s="56">
        <v>0.95</v>
      </c>
      <c r="AB8" s="77">
        <v>-6.1948556898446888E-2</v>
      </c>
      <c r="AC8" s="77">
        <v>-8.5289794762596821E-2</v>
      </c>
    </row>
    <row r="9" spans="2:29" ht="15" x14ac:dyDescent="0.25">
      <c r="B9" s="13">
        <v>42186</v>
      </c>
      <c r="C9" s="5">
        <f>SUMPRODUCT(Returns!B8:K8,$G$4:$P$4)</f>
        <v>-5.301762124421034E-3</v>
      </c>
      <c r="G9" s="37" t="s">
        <v>635</v>
      </c>
      <c r="H9" s="37" t="s">
        <v>1329</v>
      </c>
      <c r="K9" s="37" t="s">
        <v>635</v>
      </c>
      <c r="L9" s="37" t="s">
        <v>1329</v>
      </c>
      <c r="AA9" s="56">
        <v>0.99</v>
      </c>
      <c r="AB9" s="77">
        <v>-9.5452237071455587E-2</v>
      </c>
      <c r="AC9" s="77">
        <v>-9.9893073032778751E-2</v>
      </c>
    </row>
    <row r="10" spans="2:29" x14ac:dyDescent="0.2">
      <c r="B10" s="13">
        <v>42217</v>
      </c>
      <c r="C10" s="5">
        <f>SUMPRODUCT(Returns!B9:K9,$G$4:$P$4)</f>
        <v>-1.6563921640751222E-2</v>
      </c>
      <c r="G10" s="5" t="s">
        <v>1330</v>
      </c>
      <c r="H10" s="68">
        <f>_xlfn.PERCENTILE.INC(C4:C135, 0.1)</f>
        <v>-3.6517951466164857E-2</v>
      </c>
      <c r="K10" s="5" t="s">
        <v>1375</v>
      </c>
      <c r="L10" s="69">
        <f>AVERAGEIF($C$4:$C$1000,"&lt;="&amp;_xlfn.PERCENTILE.INC($C$4:$C$1000,0.1),$C$4:$C$1000)</f>
        <v>-6.6254302229531187E-2</v>
      </c>
    </row>
    <row r="11" spans="2:29" x14ac:dyDescent="0.2">
      <c r="B11" s="13">
        <v>42248</v>
      </c>
      <c r="C11" s="5">
        <f>SUMPRODUCT(Returns!B10:K10,$G$4:$P$4)</f>
        <v>-3.8547197793315341E-3</v>
      </c>
      <c r="G11" s="5" t="s">
        <v>1331</v>
      </c>
      <c r="H11" s="68">
        <f>_xlfn.PERCENTILE.INC(C4:C135, 0.05)</f>
        <v>-6.3572660726563285E-2</v>
      </c>
      <c r="K11" s="5" t="s">
        <v>1376</v>
      </c>
      <c r="L11" s="69">
        <f>AVERAGEIF($C$4:$C$1000,"&lt;="&amp;_xlfn.PERCENTILE.INC($C$4:$C$1000,0.05),$C$4:$C$1000)</f>
        <v>-8.4363775239346503E-2</v>
      </c>
    </row>
    <row r="12" spans="2:29" x14ac:dyDescent="0.2">
      <c r="B12" s="13">
        <v>42278</v>
      </c>
      <c r="C12" s="5">
        <f>SUMPRODUCT(Returns!B11:K11,$G$4:$P$4)</f>
        <v>7.7972358776997666E-2</v>
      </c>
      <c r="G12" s="5" t="s">
        <v>1332</v>
      </c>
      <c r="H12" s="68">
        <f>_xlfn.PERCENTILE.INC(C4:C135, 0.01)</f>
        <v>-9.5975142246264619E-2</v>
      </c>
      <c r="K12" s="5" t="s">
        <v>1377</v>
      </c>
      <c r="L12" s="69">
        <f>AVERAGEIF($C$4:$C$1000,"&lt;="&amp;_xlfn.PERCENTILE.INC($C$4:$C$1000,0.01),$C$4:$C$1000)</f>
        <v>-0.10071168379826795</v>
      </c>
    </row>
    <row r="13" spans="2:29" x14ac:dyDescent="0.2">
      <c r="B13" s="13">
        <v>42309</v>
      </c>
      <c r="C13" s="5">
        <f>SUMPRODUCT(Returns!B12:K12,$G$4:$P$4)</f>
        <v>7.1975375801397647E-3</v>
      </c>
      <c r="H13" s="77"/>
    </row>
    <row r="14" spans="2:29" x14ac:dyDescent="0.2">
      <c r="B14" s="13">
        <v>42339</v>
      </c>
      <c r="C14" s="5">
        <f>SUMPRODUCT(Returns!B13:K13,$G$4:$P$4)</f>
        <v>-1.9826405005558987E-3</v>
      </c>
      <c r="H14" s="77"/>
    </row>
    <row r="15" spans="2:29" x14ac:dyDescent="0.2">
      <c r="B15" s="13">
        <v>42370</v>
      </c>
      <c r="C15" s="5">
        <f>SUMPRODUCT(Returns!B14:K14,$G$4:$P$4)</f>
        <v>-3.6642688139189895E-2</v>
      </c>
      <c r="H15" s="77"/>
    </row>
    <row r="16" spans="2:29" x14ac:dyDescent="0.2">
      <c r="B16" s="13">
        <v>42401</v>
      </c>
      <c r="C16" s="5">
        <f>SUMPRODUCT(Returns!B15:K15,$G$4:$P$4)</f>
        <v>2.2148392497631772E-2</v>
      </c>
    </row>
    <row r="17" spans="2:26" x14ac:dyDescent="0.2">
      <c r="B17" s="13">
        <v>42430</v>
      </c>
      <c r="C17" s="5">
        <f>SUMPRODUCT(Returns!B16:K16,$G$4:$P$4)</f>
        <v>5.9373254914082532E-2</v>
      </c>
    </row>
    <row r="18" spans="2:26" x14ac:dyDescent="0.2">
      <c r="B18" s="13">
        <v>42461</v>
      </c>
      <c r="C18" s="5">
        <f>SUMPRODUCT(Returns!B17:K17,$G$4:$P$4)</f>
        <v>9.3308676676513696E-3</v>
      </c>
    </row>
    <row r="19" spans="2:26" x14ac:dyDescent="0.2">
      <c r="B19" s="13">
        <v>42491</v>
      </c>
      <c r="C19" s="5">
        <f>SUMPRODUCT(Returns!B18:K18,$G$4:$P$4)</f>
        <v>5.111708460023856E-2</v>
      </c>
    </row>
    <row r="20" spans="2:26" x14ac:dyDescent="0.2">
      <c r="B20" s="13">
        <v>42522</v>
      </c>
      <c r="C20" s="5">
        <f>SUMPRODUCT(Returns!B19:K19,$G$4:$P$4)</f>
        <v>1.3452797790697532E-2</v>
      </c>
    </row>
    <row r="21" spans="2:26" x14ac:dyDescent="0.2">
      <c r="B21" s="13">
        <v>42552</v>
      </c>
      <c r="C21" s="5">
        <f>SUMPRODUCT(Returns!B20:K20,$G$4:$P$4)</f>
        <v>6.2529748410287467E-2</v>
      </c>
    </row>
    <row r="22" spans="2:26" x14ac:dyDescent="0.2">
      <c r="B22" s="13">
        <v>42583</v>
      </c>
      <c r="C22" s="5">
        <f>SUMPRODUCT(Returns!B21:K21,$G$4:$P$4)</f>
        <v>1.5532497898995766E-2</v>
      </c>
    </row>
    <row r="23" spans="2:26" x14ac:dyDescent="0.2">
      <c r="B23" s="13">
        <v>42614</v>
      </c>
      <c r="C23" s="5">
        <f>SUMPRODUCT(Returns!B22:K22,$G$4:$P$4)</f>
        <v>2.2931434376682516E-2</v>
      </c>
    </row>
    <row r="24" spans="2:26" x14ac:dyDescent="0.2">
      <c r="B24" s="13">
        <v>42644</v>
      </c>
      <c r="C24" s="5">
        <f>SUMPRODUCT(Returns!B23:K23,$G$4:$P$4)</f>
        <v>-5.1242384980902675E-3</v>
      </c>
    </row>
    <row r="25" spans="2:26" x14ac:dyDescent="0.2">
      <c r="B25" s="13">
        <v>42675</v>
      </c>
      <c r="C25" s="5">
        <f>SUMPRODUCT(Returns!B24:K24,$G$4:$P$4)</f>
        <v>4.7696858437293703E-2</v>
      </c>
    </row>
    <row r="26" spans="2:26" x14ac:dyDescent="0.2">
      <c r="B26" s="13">
        <v>42705</v>
      </c>
      <c r="C26" s="5">
        <f>SUMPRODUCT(Returns!B25:K25,$G$4:$P$4)</f>
        <v>3.470260909175913E-2</v>
      </c>
    </row>
    <row r="27" spans="2:26" x14ac:dyDescent="0.2">
      <c r="B27" s="13">
        <v>42736</v>
      </c>
      <c r="C27" s="5">
        <f>SUMPRODUCT(Returns!B26:K26,$G$4:$P$4)</f>
        <v>2.9452690478341495E-2</v>
      </c>
      <c r="Z27" t="s">
        <v>1382</v>
      </c>
    </row>
    <row r="28" spans="2:26" x14ac:dyDescent="0.2">
      <c r="B28" s="13">
        <v>42767</v>
      </c>
      <c r="C28" s="5">
        <f>SUMPRODUCT(Returns!B27:K27,$G$4:$P$4)</f>
        <v>2.4870938257338007E-2</v>
      </c>
    </row>
    <row r="29" spans="2:26" x14ac:dyDescent="0.2">
      <c r="B29" s="13">
        <v>42795</v>
      </c>
      <c r="C29" s="5">
        <f>SUMPRODUCT(Returns!B28:K28,$G$4:$P$4)</f>
        <v>8.8943648996517959E-3</v>
      </c>
    </row>
    <row r="30" spans="2:26" x14ac:dyDescent="0.2">
      <c r="B30" s="13">
        <v>42826</v>
      </c>
      <c r="C30" s="5">
        <f>SUMPRODUCT(Returns!B29:K29,$G$4:$P$4)</f>
        <v>6.4034801302070908E-4</v>
      </c>
    </row>
    <row r="31" spans="2:26" x14ac:dyDescent="0.2">
      <c r="B31" s="13">
        <v>42856</v>
      </c>
      <c r="C31" s="5">
        <f>SUMPRODUCT(Returns!B30:K30,$G$4:$P$4)</f>
        <v>6.413975648708499E-2</v>
      </c>
    </row>
    <row r="32" spans="2:26" x14ac:dyDescent="0.2">
      <c r="B32" s="13">
        <v>42887</v>
      </c>
      <c r="C32" s="5">
        <f>SUMPRODUCT(Returns!B31:K31,$G$4:$P$4)</f>
        <v>1.811177751929954E-3</v>
      </c>
    </row>
    <row r="33" spans="2:3" x14ac:dyDescent="0.2">
      <c r="B33" s="13">
        <v>42917</v>
      </c>
      <c r="C33" s="5">
        <f>SUMPRODUCT(Returns!B32:K32,$G$4:$P$4)</f>
        <v>4.0993893508503534E-2</v>
      </c>
    </row>
    <row r="34" spans="2:3" x14ac:dyDescent="0.2">
      <c r="B34" s="13">
        <v>42948</v>
      </c>
      <c r="C34" s="5">
        <f>SUMPRODUCT(Returns!B33:K33,$G$4:$P$4)</f>
        <v>2.1316231674372077E-2</v>
      </c>
    </row>
    <row r="35" spans="2:3" x14ac:dyDescent="0.2">
      <c r="B35" s="13">
        <v>42979</v>
      </c>
      <c r="C35" s="5">
        <f>SUMPRODUCT(Returns!B34:K34,$G$4:$P$4)</f>
        <v>1.0290263533668164E-2</v>
      </c>
    </row>
    <row r="36" spans="2:3" x14ac:dyDescent="0.2">
      <c r="B36" s="13">
        <v>43009</v>
      </c>
      <c r="C36" s="5">
        <f>SUMPRODUCT(Returns!B35:K35,$G$4:$P$4)</f>
        <v>4.0230629487781812E-2</v>
      </c>
    </row>
    <row r="37" spans="2:3" x14ac:dyDescent="0.2">
      <c r="B37" s="13">
        <v>43040</v>
      </c>
      <c r="C37" s="5">
        <f>SUMPRODUCT(Returns!B36:K36,$G$4:$P$4)</f>
        <v>1.4065001483908855E-2</v>
      </c>
    </row>
    <row r="38" spans="2:3" x14ac:dyDescent="0.2">
      <c r="B38" s="13">
        <v>43070</v>
      </c>
      <c r="C38" s="5">
        <f>SUMPRODUCT(Returns!B37:K37,$G$4:$P$4)</f>
        <v>5.2908759133656275E-3</v>
      </c>
    </row>
    <row r="39" spans="2:3" x14ac:dyDescent="0.2">
      <c r="B39" s="13">
        <v>43101</v>
      </c>
      <c r="C39" s="5">
        <f>SUMPRODUCT(Returns!B38:K38,$G$4:$P$4)</f>
        <v>7.7170806988373017E-2</v>
      </c>
    </row>
    <row r="40" spans="2:3" x14ac:dyDescent="0.2">
      <c r="B40" s="13">
        <v>43132</v>
      </c>
      <c r="C40" s="5">
        <f>SUMPRODUCT(Returns!B39:K39,$G$4:$P$4)</f>
        <v>-2.7123411556963288E-2</v>
      </c>
    </row>
    <row r="41" spans="2:3" x14ac:dyDescent="0.2">
      <c r="B41" s="13">
        <v>43160</v>
      </c>
      <c r="C41" s="5">
        <f>SUMPRODUCT(Returns!B40:K40,$G$4:$P$4)</f>
        <v>-2.2503688546574207E-2</v>
      </c>
    </row>
    <row r="42" spans="2:3" x14ac:dyDescent="0.2">
      <c r="B42" s="13">
        <v>43191</v>
      </c>
      <c r="C42" s="5">
        <f>SUMPRODUCT(Returns!B41:K41,$G$4:$P$4)</f>
        <v>-1.466114814629604E-2</v>
      </c>
    </row>
    <row r="43" spans="2:3" x14ac:dyDescent="0.2">
      <c r="B43" s="13">
        <v>43221</v>
      </c>
      <c r="C43" s="5">
        <f>SUMPRODUCT(Returns!B42:K42,$G$4:$P$4)</f>
        <v>3.1109248956112768E-2</v>
      </c>
    </row>
    <row r="44" spans="2:3" x14ac:dyDescent="0.2">
      <c r="B44" s="13">
        <v>43252</v>
      </c>
      <c r="C44" s="5">
        <f>SUMPRODUCT(Returns!B43:K43,$G$4:$P$4)</f>
        <v>-1.4818945489094825E-2</v>
      </c>
    </row>
    <row r="45" spans="2:3" x14ac:dyDescent="0.2">
      <c r="B45" s="13">
        <v>43282</v>
      </c>
      <c r="C45" s="5">
        <f>SUMPRODUCT(Returns!B44:K44,$G$4:$P$4)</f>
        <v>2.8986213400202309E-2</v>
      </c>
    </row>
    <row r="46" spans="2:3" x14ac:dyDescent="0.2">
      <c r="B46" s="13">
        <v>43313</v>
      </c>
      <c r="C46" s="5">
        <f>SUMPRODUCT(Returns!B45:K45,$G$4:$P$4)</f>
        <v>4.0209204384184745E-2</v>
      </c>
    </row>
    <row r="47" spans="2:3" x14ac:dyDescent="0.2">
      <c r="B47" s="13">
        <v>43344</v>
      </c>
      <c r="C47" s="5">
        <f>SUMPRODUCT(Returns!B46:K46,$G$4:$P$4)</f>
        <v>-2.2517792421937024E-3</v>
      </c>
    </row>
    <row r="48" spans="2:3" x14ac:dyDescent="0.2">
      <c r="B48" s="13">
        <v>43374</v>
      </c>
      <c r="C48" s="5">
        <f>SUMPRODUCT(Returns!B47:K47,$G$4:$P$4)</f>
        <v>-6.4420057784816603E-2</v>
      </c>
    </row>
    <row r="49" spans="2:3" x14ac:dyDescent="0.2">
      <c r="B49" s="13">
        <v>43405</v>
      </c>
      <c r="C49" s="5">
        <f>SUMPRODUCT(Returns!B48:K48,$G$4:$P$4)</f>
        <v>-2.1067317605392898E-2</v>
      </c>
    </row>
    <row r="50" spans="2:3" x14ac:dyDescent="0.2">
      <c r="B50" s="13">
        <v>43435</v>
      </c>
      <c r="C50" s="14">
        <f>SUMPRODUCT(Returns!B49:K49,$G$4:$P$4)</f>
        <v>-7.1887183585539707E-2</v>
      </c>
    </row>
    <row r="51" spans="2:3" x14ac:dyDescent="0.2">
      <c r="B51" s="13">
        <v>43466</v>
      </c>
      <c r="C51" s="5">
        <f>SUMPRODUCT(Returns!B50:K50,$G$4:$P$4)</f>
        <v>6.3808834399046013E-2</v>
      </c>
    </row>
    <row r="52" spans="2:3" x14ac:dyDescent="0.2">
      <c r="B52" s="13">
        <v>43497</v>
      </c>
      <c r="C52" s="5">
        <f>SUMPRODUCT(Returns!B51:K51,$G$4:$P$4)</f>
        <v>3.2960398927198035E-2</v>
      </c>
    </row>
    <row r="53" spans="2:3" x14ac:dyDescent="0.2">
      <c r="B53" s="13">
        <v>43525</v>
      </c>
      <c r="C53" s="5">
        <f>SUMPRODUCT(Returns!B52:K52,$G$4:$P$4)</f>
        <v>3.3140982734097088E-2</v>
      </c>
    </row>
    <row r="54" spans="2:3" x14ac:dyDescent="0.2">
      <c r="B54" s="13">
        <v>43556</v>
      </c>
      <c r="C54" s="5">
        <f>SUMPRODUCT(Returns!B53:K53,$G$4:$P$4)</f>
        <v>3.8139185144285825E-2</v>
      </c>
    </row>
    <row r="55" spans="2:3" x14ac:dyDescent="0.2">
      <c r="B55" s="13">
        <v>43586</v>
      </c>
      <c r="C55" s="5">
        <f>SUMPRODUCT(Returns!B54:K54,$G$4:$P$4)</f>
        <v>-7.8252024862158973E-2</v>
      </c>
    </row>
    <row r="56" spans="2:3" x14ac:dyDescent="0.2">
      <c r="B56" s="13">
        <v>43617</v>
      </c>
      <c r="C56" s="5">
        <f>SUMPRODUCT(Returns!B55:K55,$G$4:$P$4)</f>
        <v>9.0980585360311853E-2</v>
      </c>
    </row>
    <row r="57" spans="2:3" x14ac:dyDescent="0.2">
      <c r="B57" s="13">
        <v>43647</v>
      </c>
      <c r="C57" s="5">
        <f>SUMPRODUCT(Returns!B56:K56,$G$4:$P$4)</f>
        <v>2.3528627308142078E-2</v>
      </c>
    </row>
    <row r="58" spans="2:3" x14ac:dyDescent="0.2">
      <c r="B58" s="13">
        <v>43678</v>
      </c>
      <c r="C58" s="5">
        <f>SUMPRODUCT(Returns!B57:K57,$G$4:$P$4)</f>
        <v>2.7608674085581948E-3</v>
      </c>
    </row>
    <row r="59" spans="2:3" x14ac:dyDescent="0.2">
      <c r="B59" s="13">
        <v>43709</v>
      </c>
      <c r="C59" s="5">
        <f>SUMPRODUCT(Returns!B58:K58,$G$4:$P$4)</f>
        <v>1.5675617099235151E-2</v>
      </c>
    </row>
    <row r="60" spans="2:3" x14ac:dyDescent="0.2">
      <c r="B60" s="13">
        <v>43739</v>
      </c>
      <c r="C60" s="5">
        <f>SUMPRODUCT(Returns!B59:K59,$G$4:$P$4)</f>
        <v>4.7692222860082345E-2</v>
      </c>
    </row>
    <row r="61" spans="2:3" x14ac:dyDescent="0.2">
      <c r="B61" s="13">
        <v>43770</v>
      </c>
      <c r="C61" s="5">
        <f>SUMPRODUCT(Returns!B60:K60,$G$4:$P$4)</f>
        <v>2.6657065446256976E-2</v>
      </c>
    </row>
    <row r="62" spans="2:3" x14ac:dyDescent="0.2">
      <c r="B62" s="13">
        <v>43800</v>
      </c>
      <c r="C62" s="5">
        <f>SUMPRODUCT(Returns!B61:K61,$G$4:$P$4)</f>
        <v>4.1301944500749505E-2</v>
      </c>
    </row>
    <row r="63" spans="2:3" x14ac:dyDescent="0.2">
      <c r="B63" s="13">
        <v>43831</v>
      </c>
      <c r="C63" s="5">
        <f>SUMPRODUCT(Returns!B62:K62,$G$4:$P$4)</f>
        <v>8.4080870170103791E-3</v>
      </c>
    </row>
    <row r="64" spans="2:3" x14ac:dyDescent="0.2">
      <c r="B64" s="13">
        <v>43862</v>
      </c>
      <c r="C64" s="5">
        <f>SUMPRODUCT(Returns!B63:K63,$G$4:$P$4)</f>
        <v>-3.5395321408939549E-2</v>
      </c>
    </row>
    <row r="65" spans="2:3" x14ac:dyDescent="0.2">
      <c r="B65" s="13">
        <v>43891</v>
      </c>
      <c r="C65" s="5">
        <f>SUMPRODUCT(Returns!B64:K64,$G$4:$P$4)</f>
        <v>-8.5177728264647395E-2</v>
      </c>
    </row>
    <row r="66" spans="2:3" x14ac:dyDescent="0.2">
      <c r="B66" s="13">
        <v>43922</v>
      </c>
      <c r="C66" s="5">
        <f>SUMPRODUCT(Returns!B65:K65,$G$4:$P$4)</f>
        <v>0.10128401633710178</v>
      </c>
    </row>
    <row r="67" spans="2:3" x14ac:dyDescent="0.2">
      <c r="B67" s="13">
        <v>43952</v>
      </c>
      <c r="C67" s="5">
        <f>SUMPRODUCT(Returns!B66:K66,$G$4:$P$4)</f>
        <v>6.3566271909283933E-2</v>
      </c>
    </row>
    <row r="68" spans="2:3" x14ac:dyDescent="0.2">
      <c r="B68" s="13">
        <v>43983</v>
      </c>
      <c r="C68" s="5">
        <f>SUMPRODUCT(Returns!B67:K67,$G$4:$P$4)</f>
        <v>3.1092045474414531E-2</v>
      </c>
    </row>
    <row r="69" spans="2:3" x14ac:dyDescent="0.2">
      <c r="B69" s="13">
        <v>44013</v>
      </c>
      <c r="C69" s="5">
        <f>SUMPRODUCT(Returns!B68:K68,$G$4:$P$4)</f>
        <v>7.7219764226863941E-2</v>
      </c>
    </row>
    <row r="70" spans="2:3" x14ac:dyDescent="0.2">
      <c r="B70" s="13">
        <v>44044</v>
      </c>
      <c r="C70" s="5">
        <f>SUMPRODUCT(Returns!B69:K69,$G$4:$P$4)</f>
        <v>8.3913736158852087E-2</v>
      </c>
    </row>
    <row r="71" spans="2:3" x14ac:dyDescent="0.2">
      <c r="B71" s="13">
        <v>44075</v>
      </c>
      <c r="C71" s="5">
        <f>SUMPRODUCT(Returns!B70:K70,$G$4:$P$4)</f>
        <v>-2.9161990953694008E-2</v>
      </c>
    </row>
    <row r="72" spans="2:3" x14ac:dyDescent="0.2">
      <c r="B72" s="13">
        <v>44105</v>
      </c>
      <c r="C72" s="5">
        <f>SUMPRODUCT(Returns!B71:K71,$G$4:$P$4)</f>
        <v>-2.5512607083186322E-2</v>
      </c>
    </row>
    <row r="73" spans="2:3" x14ac:dyDescent="0.2">
      <c r="B73" s="13">
        <v>44136</v>
      </c>
      <c r="C73" s="5">
        <f>SUMPRODUCT(Returns!B72:K72,$G$4:$P$4)</f>
        <v>7.3423200278260617E-2</v>
      </c>
    </row>
    <row r="74" spans="2:3" x14ac:dyDescent="0.2">
      <c r="B74" s="13">
        <v>44166</v>
      </c>
      <c r="C74" s="5">
        <f>SUMPRODUCT(Returns!B73:K73,$G$4:$P$4)</f>
        <v>3.7035588736926778E-2</v>
      </c>
    </row>
    <row r="75" spans="2:3" x14ac:dyDescent="0.2">
      <c r="B75" s="13">
        <v>44197</v>
      </c>
      <c r="C75" s="5">
        <f>SUMPRODUCT(Returns!B74:K74,$G$4:$P$4)</f>
        <v>-1.7326516882805815E-2</v>
      </c>
    </row>
    <row r="76" spans="2:3" x14ac:dyDescent="0.2">
      <c r="B76" s="13">
        <v>44228</v>
      </c>
      <c r="C76" s="5">
        <f>SUMPRODUCT(Returns!B75:K75,$G$4:$P$4)</f>
        <v>1.6852024443801315E-2</v>
      </c>
    </row>
    <row r="77" spans="2:3" x14ac:dyDescent="0.2">
      <c r="B77" s="13">
        <v>44256</v>
      </c>
      <c r="C77" s="5">
        <f>SUMPRODUCT(Returns!B76:K76,$G$4:$P$4)</f>
        <v>1.8990439548631468E-2</v>
      </c>
    </row>
    <row r="78" spans="2:3" x14ac:dyDescent="0.2">
      <c r="B78" s="13">
        <v>44287</v>
      </c>
      <c r="C78" s="5">
        <f>SUMPRODUCT(Returns!B77:K77,$G$4:$P$4)</f>
        <v>4.7667262473495106E-2</v>
      </c>
    </row>
    <row r="79" spans="2:3" x14ac:dyDescent="0.2">
      <c r="B79" s="13">
        <v>44317</v>
      </c>
      <c r="C79" s="5">
        <f>SUMPRODUCT(Returns!B78:K78,$G$4:$P$4)</f>
        <v>3.682486837167892E-2</v>
      </c>
    </row>
    <row r="80" spans="2:3" x14ac:dyDescent="0.2">
      <c r="B80" s="13">
        <v>44348</v>
      </c>
      <c r="C80" s="5">
        <f>SUMPRODUCT(Returns!B79:K79,$G$4:$P$4)</f>
        <v>3.0085650120667471E-2</v>
      </c>
    </row>
    <row r="81" spans="2:3" x14ac:dyDescent="0.2">
      <c r="B81" s="13">
        <v>44378</v>
      </c>
      <c r="C81" s="5">
        <f>SUMPRODUCT(Returns!B80:K80,$G$4:$P$4)</f>
        <v>1.4897622805552013E-2</v>
      </c>
    </row>
    <row r="82" spans="2:3" x14ac:dyDescent="0.2">
      <c r="B82" s="13">
        <v>44409</v>
      </c>
      <c r="C82" s="5">
        <f>SUMPRODUCT(Returns!B81:K81,$G$4:$P$4)</f>
        <v>4.1009882248158797E-2</v>
      </c>
    </row>
    <row r="83" spans="2:3" x14ac:dyDescent="0.2">
      <c r="B83" s="13">
        <v>44440</v>
      </c>
      <c r="C83" s="5">
        <f>SUMPRODUCT(Returns!B82:K82,$G$4:$P$4)</f>
        <v>-4.0449967038657941E-2</v>
      </c>
    </row>
    <row r="84" spans="2:3" x14ac:dyDescent="0.2">
      <c r="B84" s="13">
        <v>44470</v>
      </c>
      <c r="C84" s="5">
        <f>SUMPRODUCT(Returns!B83:K83,$G$4:$P$4)</f>
        <v>7.5405956201210614E-2</v>
      </c>
    </row>
    <row r="85" spans="2:3" x14ac:dyDescent="0.2">
      <c r="B85" s="13">
        <v>44501</v>
      </c>
      <c r="C85" s="5">
        <f>SUMPRODUCT(Returns!B84:K84,$G$4:$P$4)</f>
        <v>3.5468451239624943E-2</v>
      </c>
    </row>
    <row r="86" spans="2:3" x14ac:dyDescent="0.2">
      <c r="B86" s="13">
        <v>44531</v>
      </c>
      <c r="C86" s="5">
        <f>SUMPRODUCT(Returns!B85:K85,$G$4:$P$4)</f>
        <v>1.959698039125294E-2</v>
      </c>
    </row>
    <row r="87" spans="2:3" x14ac:dyDescent="0.2">
      <c r="B87" s="13">
        <v>44562</v>
      </c>
      <c r="C87" s="5">
        <f>SUMPRODUCT(Returns!B86:K86,$G$4:$P$4)</f>
        <v>-6.2879335860719671E-2</v>
      </c>
    </row>
    <row r="88" spans="2:3" x14ac:dyDescent="0.2">
      <c r="B88" s="13">
        <v>44593</v>
      </c>
      <c r="C88" s="5">
        <f>SUMPRODUCT(Returns!B87:K87,$G$4:$P$4)</f>
        <v>-1.1109492941316718E-2</v>
      </c>
    </row>
    <row r="89" spans="2:3" x14ac:dyDescent="0.2">
      <c r="B89" s="13">
        <v>44621</v>
      </c>
      <c r="C89" s="5">
        <f>SUMPRODUCT(Returns!B88:K88,$G$4:$P$4)</f>
        <v>2.7570931524194948E-2</v>
      </c>
    </row>
    <row r="90" spans="2:3" x14ac:dyDescent="0.2">
      <c r="B90" s="13">
        <v>44652</v>
      </c>
      <c r="C90" s="5">
        <f>SUMPRODUCT(Returns!B89:K89,$G$4:$P$4)</f>
        <v>-0.10248791509518911</v>
      </c>
    </row>
    <row r="91" spans="2:3" x14ac:dyDescent="0.2">
      <c r="B91" s="13">
        <v>44682</v>
      </c>
      <c r="C91" s="5">
        <f>SUMPRODUCT(Returns!B90:K90,$G$4:$P$4)</f>
        <v>-3.8285353068775395E-3</v>
      </c>
    </row>
    <row r="92" spans="2:3" x14ac:dyDescent="0.2">
      <c r="B92" s="13">
        <v>44713</v>
      </c>
      <c r="C92" s="5">
        <f>SUMPRODUCT(Returns!B91:K91,$G$4:$P$4)</f>
        <v>-8.9386064581726848E-2</v>
      </c>
    </row>
    <row r="93" spans="2:3" x14ac:dyDescent="0.2">
      <c r="B93" s="13">
        <v>44743</v>
      </c>
      <c r="C93" s="5">
        <f>SUMPRODUCT(Returns!B92:K92,$G$4:$P$4)</f>
        <v>6.8449042236405674E-2</v>
      </c>
    </row>
    <row r="94" spans="2:3" x14ac:dyDescent="0.2">
      <c r="B94" s="13">
        <v>44774</v>
      </c>
      <c r="C94" s="5">
        <f>SUMPRODUCT(Returns!B93:K93,$G$4:$P$4)</f>
        <v>-5.4276245429553741E-2</v>
      </c>
    </row>
    <row r="95" spans="2:3" x14ac:dyDescent="0.2">
      <c r="B95" s="13">
        <v>44805</v>
      </c>
      <c r="C95" s="5">
        <f>SUMPRODUCT(Returns!B94:K94,$G$4:$P$4)</f>
        <v>-9.8935452501346804E-2</v>
      </c>
    </row>
    <row r="96" spans="2:3" x14ac:dyDescent="0.2">
      <c r="B96" s="13">
        <v>44835</v>
      </c>
      <c r="C96" s="5">
        <f>SUMPRODUCT(Returns!B95:K95,$G$4:$P$4)</f>
        <v>7.352805772611537E-2</v>
      </c>
    </row>
    <row r="97" spans="2:3" x14ac:dyDescent="0.2">
      <c r="B97" s="13">
        <v>44866</v>
      </c>
      <c r="C97" s="5">
        <f>SUMPRODUCT(Returns!B96:K96,$G$4:$P$4)</f>
        <v>0.10398928202776414</v>
      </c>
    </row>
    <row r="98" spans="2:3" x14ac:dyDescent="0.2">
      <c r="B98" s="13">
        <v>44896</v>
      </c>
      <c r="C98" s="5">
        <f>SUMPRODUCT(Returns!B97:K97,$G$4:$P$4)</f>
        <v>-4.5408132361850068E-2</v>
      </c>
    </row>
    <row r="99" spans="2:3" x14ac:dyDescent="0.2">
      <c r="B99" s="13">
        <v>44927</v>
      </c>
      <c r="C99" s="5">
        <f>SUMPRODUCT(Returns!B98:K98,$G$4:$P$4)</f>
        <v>9.505390735517516E-2</v>
      </c>
    </row>
    <row r="100" spans="2:3" x14ac:dyDescent="0.2">
      <c r="B100" s="13">
        <v>44958</v>
      </c>
      <c r="C100" s="5">
        <f>SUMPRODUCT(Returns!B99:K99,$G$4:$P$4)</f>
        <v>8.875752205600846E-3</v>
      </c>
    </row>
    <row r="101" spans="2:3" x14ac:dyDescent="0.2">
      <c r="B101" s="13">
        <v>44986</v>
      </c>
      <c r="C101" s="5">
        <f>SUMPRODUCT(Returns!B100:K100,$G$4:$P$4)</f>
        <v>6.807539656458958E-2</v>
      </c>
    </row>
    <row r="102" spans="2:3" x14ac:dyDescent="0.2">
      <c r="B102" s="13">
        <v>45017</v>
      </c>
      <c r="C102" s="5">
        <f>SUMPRODUCT(Returns!B101:K101,$G$4:$P$4)</f>
        <v>1.7323702894245955E-2</v>
      </c>
    </row>
    <row r="103" spans="2:3" x14ac:dyDescent="0.2">
      <c r="B103" s="13">
        <v>45047</v>
      </c>
      <c r="C103" s="5">
        <f>SUMPRODUCT(Returns!B102:K102,$G$4:$P$4)</f>
        <v>5.3190694224815503E-2</v>
      </c>
    </row>
    <row r="104" spans="2:3" x14ac:dyDescent="0.2">
      <c r="B104" s="13">
        <v>45078</v>
      </c>
      <c r="C104" s="5">
        <f>SUMPRODUCT(Returns!B103:K103,$G$4:$P$4)</f>
        <v>5.2904203169636781E-2</v>
      </c>
    </row>
    <row r="105" spans="2:3" x14ac:dyDescent="0.2">
      <c r="B105" s="13">
        <v>45108</v>
      </c>
      <c r="C105" s="5">
        <f>SUMPRODUCT(Returns!B104:K104,$G$4:$P$4)</f>
        <v>4.6318447770418013E-2</v>
      </c>
    </row>
    <row r="106" spans="2:3" x14ac:dyDescent="0.2">
      <c r="B106" s="13">
        <v>45139</v>
      </c>
      <c r="C106" s="5">
        <f>SUMPRODUCT(Returns!B105:K105,$G$4:$P$4)</f>
        <v>-1.2297172267482982E-2</v>
      </c>
    </row>
    <row r="107" spans="2:3" x14ac:dyDescent="0.2">
      <c r="B107" s="13">
        <v>45170</v>
      </c>
      <c r="C107" s="5">
        <f>SUMPRODUCT(Returns!B106:K106,$G$4:$P$4)</f>
        <v>-5.845285620696155E-2</v>
      </c>
    </row>
    <row r="108" spans="2:3" x14ac:dyDescent="0.2">
      <c r="B108" s="13">
        <v>45200</v>
      </c>
      <c r="C108" s="5">
        <f>SUMPRODUCT(Returns!B107:K107,$G$4:$P$4)</f>
        <v>-5.5610113656263281E-3</v>
      </c>
    </row>
    <row r="109" spans="2:3" x14ac:dyDescent="0.2">
      <c r="B109" s="13">
        <v>45231</v>
      </c>
      <c r="C109" s="5">
        <f>SUMPRODUCT(Returns!B108:K108,$G$4:$P$4)</f>
        <v>8.856269407561812E-2</v>
      </c>
    </row>
    <row r="110" spans="2:3" x14ac:dyDescent="0.2">
      <c r="B110" s="13">
        <v>45261</v>
      </c>
      <c r="C110" s="5">
        <f>SUMPRODUCT(Returns!B109:K109,$G$4:$P$4)</f>
        <v>3.5079309686802521E-2</v>
      </c>
    </row>
    <row r="111" spans="2:3" x14ac:dyDescent="0.2">
      <c r="B111" s="13">
        <v>45292</v>
      </c>
      <c r="C111" s="5">
        <f>SUMPRODUCT(Returns!B110:K110,$G$4:$P$4)</f>
        <v>4.9470390689871996E-2</v>
      </c>
    </row>
    <row r="112" spans="2:3" x14ac:dyDescent="0.2">
      <c r="B112" s="13">
        <v>45323</v>
      </c>
      <c r="C112" s="5">
        <f>SUMPRODUCT(Returns!B111:K111,$G$4:$P$4)</f>
        <v>7.3381542063435126E-2</v>
      </c>
    </row>
    <row r="113" spans="2:3" x14ac:dyDescent="0.2">
      <c r="B113" s="13">
        <v>45352</v>
      </c>
      <c r="C113" s="5">
        <f>SUMPRODUCT(Returns!B112:K112,$G$4:$P$4)</f>
        <v>5.9101173547610894E-2</v>
      </c>
    </row>
    <row r="114" spans="2:3" x14ac:dyDescent="0.2">
      <c r="B114" s="13">
        <v>45383</v>
      </c>
      <c r="C114" s="5">
        <f>SUMPRODUCT(Returns!B113:K113,$G$4:$P$4)</f>
        <v>-2.3994202025727648E-2</v>
      </c>
    </row>
    <row r="115" spans="2:3" x14ac:dyDescent="0.2">
      <c r="B115" s="13">
        <v>45413</v>
      </c>
      <c r="C115" s="5">
        <f>SUMPRODUCT(Returns!B114:K114,$G$4:$P$4)</f>
        <v>7.681659460331558E-2</v>
      </c>
    </row>
    <row r="116" spans="2:3" x14ac:dyDescent="0.2">
      <c r="B116" s="13">
        <v>45444</v>
      </c>
      <c r="C116" s="5">
        <f>SUMPRODUCT(Returns!B115:K115,$G$4:$P$4)</f>
        <v>3.7786007786417011E-2</v>
      </c>
    </row>
    <row r="117" spans="2:3" x14ac:dyDescent="0.2">
      <c r="B117" s="13">
        <v>45474</v>
      </c>
      <c r="C117" s="5">
        <f>SUMPRODUCT(Returns!B116:K116,$G$4:$P$4)</f>
        <v>7.6118952424746563E-3</v>
      </c>
    </row>
    <row r="118" spans="2:3" x14ac:dyDescent="0.2">
      <c r="B118" s="13">
        <v>45505</v>
      </c>
      <c r="C118" s="5">
        <f>SUMPRODUCT(Returns!B117:K117,$G$4:$P$4)</f>
        <v>2.8160814518644304E-2</v>
      </c>
    </row>
    <row r="119" spans="2:3" x14ac:dyDescent="0.2">
      <c r="B119" s="13">
        <v>45536</v>
      </c>
      <c r="C119" s="5">
        <f>SUMPRODUCT(Returns!B118:K118,$G$4:$P$4)</f>
        <v>1.6376854675761866E-2</v>
      </c>
    </row>
    <row r="120" spans="2:3" x14ac:dyDescent="0.2">
      <c r="B120" s="13">
        <v>45566</v>
      </c>
      <c r="C120" s="5">
        <f>SUMPRODUCT(Returns!B119:K119,$G$4:$P$4)</f>
        <v>1.7653464775592067E-2</v>
      </c>
    </row>
    <row r="121" spans="2:3" x14ac:dyDescent="0.2">
      <c r="B121" s="13">
        <v>45597</v>
      </c>
      <c r="C121" s="5">
        <f>SUMPRODUCT(Returns!B120:K120,$G$4:$P$4)</f>
        <v>4.6092007405328608E-2</v>
      </c>
    </row>
    <row r="122" spans="2:3" x14ac:dyDescent="0.2">
      <c r="B122" s="13">
        <v>45627</v>
      </c>
      <c r="C122" s="5">
        <f>SUMPRODUCT(Returns!B121:K121,$G$4:$P$4)</f>
        <v>-2.6793790477993438E-2</v>
      </c>
    </row>
    <row r="123" spans="2:3" x14ac:dyDescent="0.2">
      <c r="B123" s="13">
        <v>45658</v>
      </c>
      <c r="C123" s="5">
        <f>SUMPRODUCT(Returns!B122:K122,$G$4:$P$4)</f>
        <v>1.5357803396423075E-2</v>
      </c>
    </row>
    <row r="124" spans="2:3" x14ac:dyDescent="0.2">
      <c r="B124" s="13">
        <v>45689</v>
      </c>
      <c r="C124" s="5">
        <f>SUMPRODUCT(Returns!B123:K123,$G$4:$P$4)</f>
        <v>6.7833597985680017E-3</v>
      </c>
    </row>
    <row r="125" spans="2:3" x14ac:dyDescent="0.2">
      <c r="B125" s="13">
        <v>45717</v>
      </c>
      <c r="C125" s="5">
        <f>SUMPRODUCT(Returns!B124:K124,$G$4:$P$4)</f>
        <v>-3.89045795010785E-2</v>
      </c>
    </row>
    <row r="126" spans="2:3" x14ac:dyDescent="0.2">
      <c r="B126" s="13">
        <v>45748</v>
      </c>
      <c r="C126" s="5">
        <f>SUMPRODUCT(Returns!B125:K125,$G$4:$P$4)</f>
        <v>7.9175856289015467E-3</v>
      </c>
    </row>
    <row r="127" spans="2:3" x14ac:dyDescent="0.2">
      <c r="B127" s="13">
        <v>45778</v>
      </c>
      <c r="C127" s="5">
        <f>SUMPRODUCT(Returns!B126:K126,$G$4:$P$4)</f>
        <v>8.2070461175353437E-2</v>
      </c>
    </row>
    <row r="128" spans="2:3" x14ac:dyDescent="0.2">
      <c r="B128" s="13">
        <v>45809</v>
      </c>
      <c r="C128" s="5">
        <f>SUMPRODUCT(Returns!B127:K127,$G$4:$P$4)</f>
        <v>5.7534319001115657E-2</v>
      </c>
    </row>
    <row r="129" spans="2:3" x14ac:dyDescent="0.2">
      <c r="B129" s="13">
        <v>45839</v>
      </c>
      <c r="C129" s="5">
        <f>SUMPRODUCT(Returns!B128:K128,$G$4:$P$4)</f>
        <v>2.5734443819447235E-2</v>
      </c>
    </row>
    <row r="130" spans="2:3" x14ac:dyDescent="0.2">
      <c r="B130" s="13">
        <v>45870</v>
      </c>
      <c r="C130" s="5">
        <f>SUMPRODUCT(Returns!B129:K129,$G$4:$P$4)</f>
        <v>2.1648540238108197E-2</v>
      </c>
    </row>
    <row r="131" spans="2:3" x14ac:dyDescent="0.2">
      <c r="B131" s="13">
        <v>45901</v>
      </c>
      <c r="C131" s="5">
        <f>SUMPRODUCT(Returns!B130:K130,$G$4:$P$4)</f>
        <v>5.7014410575537113E-2</v>
      </c>
    </row>
    <row r="132" spans="2:3" x14ac:dyDescent="0.2">
      <c r="B132" s="13">
        <v>45931</v>
      </c>
      <c r="C132" s="5">
        <f>SUMPRODUCT(Returns!B131:K131,$G$4:$P$4)</f>
        <v>3.2520738010186734E-2</v>
      </c>
    </row>
    <row r="133" spans="2:3" x14ac:dyDescent="0.2">
      <c r="B133" s="13">
        <v>45962</v>
      </c>
      <c r="C133" s="5">
        <f>SUMPRODUCT(Returns!B132:K132,$G$4:$P$4)</f>
        <v>-1.604652250405178E-2</v>
      </c>
    </row>
    <row r="134" spans="2:3" x14ac:dyDescent="0.2">
      <c r="B134" s="13">
        <v>45992</v>
      </c>
      <c r="C134" s="5">
        <f>SUMPRODUCT(Returns!B133:K133,$G$4:$P$4)</f>
        <v>1.2154361838851385E-2</v>
      </c>
    </row>
    <row r="135" spans="2:3" x14ac:dyDescent="0.2">
      <c r="B135" s="13">
        <v>46023</v>
      </c>
      <c r="C135" s="5">
        <f>SUMPRODUCT(Returns!B134:K134,$G$4:$P$4)</f>
        <v>2.0375896174457907E-2</v>
      </c>
    </row>
  </sheetData>
  <mergeCells count="4">
    <mergeCell ref="G2:P2"/>
    <mergeCell ref="B2:C2"/>
    <mergeCell ref="G8:H8"/>
    <mergeCell ref="K8:L8"/>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8C90-6367-4BE2-8CBA-93DA83FD8FF2}">
  <dimension ref="B3:L155"/>
  <sheetViews>
    <sheetView zoomScale="80" zoomScaleNormal="80" workbookViewId="0">
      <selection activeCell="Q16" sqref="Q16"/>
    </sheetView>
  </sheetViews>
  <sheetFormatPr defaultRowHeight="14.25" x14ac:dyDescent="0.2"/>
  <cols>
    <col min="2" max="2" width="16.625" customWidth="1"/>
    <col min="3" max="3" width="15.25" bestFit="1" customWidth="1"/>
    <col min="4" max="4" width="19.125" bestFit="1" customWidth="1"/>
    <col min="5" max="5" width="14.75" bestFit="1" customWidth="1"/>
    <col min="6" max="6" width="12.5" bestFit="1" customWidth="1"/>
    <col min="7" max="7" width="19.375" bestFit="1" customWidth="1"/>
    <col min="10" max="10" width="34.375" bestFit="1" customWidth="1"/>
    <col min="11" max="11" width="11.875" bestFit="1" customWidth="1"/>
    <col min="12" max="12" width="24.5" bestFit="1" customWidth="1"/>
    <col min="13" max="13" width="14.125" bestFit="1" customWidth="1"/>
    <col min="17" max="17" width="30.5" bestFit="1" customWidth="1"/>
    <col min="19" max="19" width="18.375" bestFit="1" customWidth="1"/>
  </cols>
  <sheetData>
    <row r="3" spans="2:12" ht="15.75" x14ac:dyDescent="0.25">
      <c r="B3" s="73" t="s">
        <v>0</v>
      </c>
      <c r="C3" s="73" t="s">
        <v>1326</v>
      </c>
      <c r="D3" s="73" t="s">
        <v>1359</v>
      </c>
      <c r="E3" s="73" t="s">
        <v>1360</v>
      </c>
      <c r="F3" s="73" t="s">
        <v>1361</v>
      </c>
      <c r="G3" s="73" t="s">
        <v>1363</v>
      </c>
      <c r="J3" s="76" t="s">
        <v>635</v>
      </c>
      <c r="K3" s="76" t="s">
        <v>1329</v>
      </c>
      <c r="L3" s="76" t="s">
        <v>0</v>
      </c>
    </row>
    <row r="4" spans="2:12" x14ac:dyDescent="0.2">
      <c r="B4" s="13">
        <v>42036</v>
      </c>
      <c r="C4" s="68">
        <f>VaR!C4</f>
        <v>5.3187883585277929E-2</v>
      </c>
      <c r="D4" s="5">
        <f>1+C4</f>
        <v>1.0531878835852779</v>
      </c>
      <c r="E4" s="5">
        <f>D4</f>
        <v>1.0531878835852779</v>
      </c>
      <c r="F4" s="68">
        <f>(D4/E4)-1</f>
        <v>0</v>
      </c>
      <c r="G4" s="5">
        <f>IF($D4&lt;$E4,1,0)</f>
        <v>0</v>
      </c>
      <c r="J4" s="5" t="s">
        <v>1362</v>
      </c>
      <c r="K4" s="68">
        <v>0.29409999999999997</v>
      </c>
      <c r="L4" s="74">
        <v>44805</v>
      </c>
    </row>
    <row r="5" spans="2:12" x14ac:dyDescent="0.2">
      <c r="B5" s="13">
        <v>42064</v>
      </c>
      <c r="C5" s="68">
        <f>VaR!C5</f>
        <v>-2.6987598480012517E-2</v>
      </c>
      <c r="D5" s="5">
        <f>D4*(1+C5)</f>
        <v>1.0247648718590643</v>
      </c>
      <c r="E5" s="5">
        <f>MAX(E4,D5)</f>
        <v>1.0531878835852779</v>
      </c>
      <c r="F5" s="68">
        <f t="shared" ref="F5:F68" si="0">(D5/E5)-1</f>
        <v>-2.6987598480012531E-2</v>
      </c>
      <c r="G5" s="5">
        <f>IF($D5&lt;$E5,G4+1,0)</f>
        <v>1</v>
      </c>
      <c r="J5" s="5" t="s">
        <v>1370</v>
      </c>
      <c r="K5" s="5" t="s">
        <v>1371</v>
      </c>
      <c r="L5" s="74">
        <v>45047</v>
      </c>
    </row>
    <row r="6" spans="2:12" x14ac:dyDescent="0.2">
      <c r="B6" s="13">
        <v>42095</v>
      </c>
      <c r="C6" s="68">
        <f>VaR!C6</f>
        <v>1.6568686820135681E-2</v>
      </c>
      <c r="D6" s="5">
        <f t="shared" ref="D6:D69" si="1">D5*(1+C6)</f>
        <v>1.0417438800851737</v>
      </c>
      <c r="E6" s="5">
        <f t="shared" ref="E6:E69" si="2">MAX(E5,D6)</f>
        <v>1.0531878835852779</v>
      </c>
      <c r="F6" s="68">
        <f t="shared" si="0"/>
        <v>-1.0866060727119597E-2</v>
      </c>
      <c r="G6" s="5">
        <f t="shared" ref="G6:G69" si="3">IF($D6&lt;$E6,G5+1,0)</f>
        <v>2</v>
      </c>
      <c r="J6" s="5" t="s">
        <v>1374</v>
      </c>
      <c r="K6" s="5" t="s">
        <v>1372</v>
      </c>
      <c r="L6" s="13" t="s">
        <v>1373</v>
      </c>
    </row>
    <row r="7" spans="2:12" x14ac:dyDescent="0.2">
      <c r="B7" s="13">
        <v>42125</v>
      </c>
      <c r="C7" s="68">
        <f>VaR!C7</f>
        <v>1.0184520012560917E-2</v>
      </c>
      <c r="D7" s="5">
        <f t="shared" si="1"/>
        <v>1.0523535414798642</v>
      </c>
      <c r="E7" s="5">
        <f t="shared" si="2"/>
        <v>1.0531878835852779</v>
      </c>
      <c r="F7" s="68">
        <f t="shared" si="0"/>
        <v>-7.9220632749166242E-4</v>
      </c>
      <c r="G7" s="5">
        <f t="shared" si="3"/>
        <v>3</v>
      </c>
    </row>
    <row r="8" spans="2:12" x14ac:dyDescent="0.2">
      <c r="B8" s="13">
        <v>42156</v>
      </c>
      <c r="C8" s="68">
        <f>VaR!C8</f>
        <v>-2.78885940735288E-2</v>
      </c>
      <c r="D8" s="5">
        <f t="shared" si="1"/>
        <v>1.0230048807396916</v>
      </c>
      <c r="E8" s="5">
        <f t="shared" si="2"/>
        <v>1.0531878835852779</v>
      </c>
      <c r="F8" s="68">
        <f t="shared" si="0"/>
        <v>-2.8658706880330675E-2</v>
      </c>
      <c r="G8" s="5">
        <f t="shared" si="3"/>
        <v>4</v>
      </c>
    </row>
    <row r="9" spans="2:12" x14ac:dyDescent="0.2">
      <c r="B9" s="13">
        <v>42186</v>
      </c>
      <c r="C9" s="68">
        <f>VaR!C9</f>
        <v>-5.301762124421034E-3</v>
      </c>
      <c r="D9" s="5">
        <f t="shared" si="1"/>
        <v>1.0175811522098881</v>
      </c>
      <c r="E9" s="5">
        <f t="shared" si="2"/>
        <v>1.0531878835852779</v>
      </c>
      <c r="F9" s="68">
        <f t="shared" si="0"/>
        <v>-3.380852735807871E-2</v>
      </c>
      <c r="G9" s="5">
        <f t="shared" si="3"/>
        <v>5</v>
      </c>
    </row>
    <row r="10" spans="2:12" x14ac:dyDescent="0.2">
      <c r="B10" s="13">
        <v>42217</v>
      </c>
      <c r="C10" s="68">
        <f>VaR!C10</f>
        <v>-1.6563921640751222E-2</v>
      </c>
      <c r="D10" s="5">
        <f t="shared" si="1"/>
        <v>1.0007260177415782</v>
      </c>
      <c r="E10" s="5">
        <f t="shared" si="2"/>
        <v>1.0531878835852779</v>
      </c>
      <c r="F10" s="68">
        <f t="shared" si="0"/>
        <v>-4.9812447200881405E-2</v>
      </c>
      <c r="G10" s="5">
        <f t="shared" si="3"/>
        <v>6</v>
      </c>
    </row>
    <row r="11" spans="2:12" x14ac:dyDescent="0.2">
      <c r="B11" s="13">
        <v>42248</v>
      </c>
      <c r="C11" s="68">
        <f>VaR!C11</f>
        <v>-3.8547197793315341E-3</v>
      </c>
      <c r="D11" s="5">
        <f t="shared" si="1"/>
        <v>0.99686849936729816</v>
      </c>
      <c r="E11" s="5">
        <f t="shared" si="2"/>
        <v>1.0531878835852779</v>
      </c>
      <c r="F11" s="68">
        <f t="shared" si="0"/>
        <v>-5.3475153954730792E-2</v>
      </c>
      <c r="G11" s="5">
        <f t="shared" si="3"/>
        <v>7</v>
      </c>
    </row>
    <row r="12" spans="2:12" x14ac:dyDescent="0.2">
      <c r="B12" s="13">
        <v>42278</v>
      </c>
      <c r="C12" s="68">
        <f>VaR!C12</f>
        <v>7.7972358776997666E-2</v>
      </c>
      <c r="D12" s="5">
        <f t="shared" si="1"/>
        <v>1.0745966876534523</v>
      </c>
      <c r="E12" s="5">
        <f t="shared" si="2"/>
        <v>1.0745966876534523</v>
      </c>
      <c r="F12" s="68">
        <f t="shared" si="0"/>
        <v>0</v>
      </c>
      <c r="G12" s="5">
        <f t="shared" si="3"/>
        <v>0</v>
      </c>
    </row>
    <row r="13" spans="2:12" x14ac:dyDescent="0.2">
      <c r="B13" s="13">
        <v>42309</v>
      </c>
      <c r="C13" s="68">
        <f>VaR!C13</f>
        <v>7.1975375801397647E-3</v>
      </c>
      <c r="D13" s="5">
        <f t="shared" si="1"/>
        <v>1.0823311376963318</v>
      </c>
      <c r="E13" s="5">
        <f t="shared" si="2"/>
        <v>1.0823311376963318</v>
      </c>
      <c r="F13" s="68">
        <f t="shared" si="0"/>
        <v>0</v>
      </c>
      <c r="G13" s="5">
        <f t="shared" si="3"/>
        <v>0</v>
      </c>
    </row>
    <row r="14" spans="2:12" x14ac:dyDescent="0.2">
      <c r="B14" s="13">
        <v>42339</v>
      </c>
      <c r="C14" s="68">
        <f>VaR!C14</f>
        <v>-1.9826405005558987E-3</v>
      </c>
      <c r="D14" s="5">
        <f t="shared" si="1"/>
        <v>1.0801852641477223</v>
      </c>
      <c r="E14" s="5">
        <f t="shared" si="2"/>
        <v>1.0823311376963318</v>
      </c>
      <c r="F14" s="68">
        <f t="shared" si="0"/>
        <v>-1.9826405005559655E-3</v>
      </c>
      <c r="G14" s="5">
        <f t="shared" si="3"/>
        <v>1</v>
      </c>
    </row>
    <row r="15" spans="2:12" x14ac:dyDescent="0.2">
      <c r="B15" s="13">
        <v>42370</v>
      </c>
      <c r="C15" s="68">
        <f>VaR!C15</f>
        <v>-3.6642688139189895E-2</v>
      </c>
      <c r="D15" s="5">
        <f t="shared" si="1"/>
        <v>1.0406043723810088</v>
      </c>
      <c r="E15" s="5">
        <f t="shared" si="2"/>
        <v>1.0823311376963318</v>
      </c>
      <c r="F15" s="68">
        <f t="shared" si="0"/>
        <v>-3.8552679362191866E-2</v>
      </c>
      <c r="G15" s="5">
        <f t="shared" si="3"/>
        <v>2</v>
      </c>
    </row>
    <row r="16" spans="2:12" x14ac:dyDescent="0.2">
      <c r="B16" s="13">
        <v>42401</v>
      </c>
      <c r="C16" s="68">
        <f>VaR!C16</f>
        <v>2.2148392497631772E-2</v>
      </c>
      <c r="D16" s="5">
        <f t="shared" si="1"/>
        <v>1.0636520864552552</v>
      </c>
      <c r="E16" s="5">
        <f t="shared" si="2"/>
        <v>1.0823311376963318</v>
      </c>
      <c r="F16" s="68">
        <f t="shared" si="0"/>
        <v>-1.7258166738909231E-2</v>
      </c>
      <c r="G16" s="5">
        <f t="shared" si="3"/>
        <v>3</v>
      </c>
    </row>
    <row r="17" spans="2:7" x14ac:dyDescent="0.2">
      <c r="B17" s="13">
        <v>42430</v>
      </c>
      <c r="C17" s="68">
        <f>VaR!C17</f>
        <v>5.9373254914082532E-2</v>
      </c>
      <c r="D17" s="5">
        <f t="shared" si="1"/>
        <v>1.1268045729242588</v>
      </c>
      <c r="E17" s="5">
        <f t="shared" si="2"/>
        <v>1.1268045729242588</v>
      </c>
      <c r="F17" s="68">
        <f t="shared" si="0"/>
        <v>0</v>
      </c>
      <c r="G17" s="5">
        <f t="shared" si="3"/>
        <v>0</v>
      </c>
    </row>
    <row r="18" spans="2:7" x14ac:dyDescent="0.2">
      <c r="B18" s="13">
        <v>42461</v>
      </c>
      <c r="C18" s="68">
        <f>VaR!C18</f>
        <v>9.3308676676513696E-3</v>
      </c>
      <c r="D18" s="5">
        <f t="shared" si="1"/>
        <v>1.1373186372815194</v>
      </c>
      <c r="E18" s="5">
        <f t="shared" si="2"/>
        <v>1.1373186372815194</v>
      </c>
      <c r="F18" s="68">
        <f t="shared" si="0"/>
        <v>0</v>
      </c>
      <c r="G18" s="5">
        <f t="shared" si="3"/>
        <v>0</v>
      </c>
    </row>
    <row r="19" spans="2:7" x14ac:dyDescent="0.2">
      <c r="B19" s="13">
        <v>42491</v>
      </c>
      <c r="C19" s="68">
        <f>VaR!C19</f>
        <v>5.111708460023856E-2</v>
      </c>
      <c r="D19" s="5">
        <f t="shared" si="1"/>
        <v>1.1954550502808667</v>
      </c>
      <c r="E19" s="5">
        <f t="shared" si="2"/>
        <v>1.1954550502808667</v>
      </c>
      <c r="F19" s="68">
        <f t="shared" si="0"/>
        <v>0</v>
      </c>
      <c r="G19" s="5">
        <f t="shared" si="3"/>
        <v>0</v>
      </c>
    </row>
    <row r="20" spans="2:7" x14ac:dyDescent="0.2">
      <c r="B20" s="13">
        <v>42522</v>
      </c>
      <c r="C20" s="68">
        <f>VaR!C20</f>
        <v>1.3452797790697532E-2</v>
      </c>
      <c r="D20" s="5">
        <f t="shared" si="1"/>
        <v>1.2115372653401635</v>
      </c>
      <c r="E20" s="5">
        <f t="shared" si="2"/>
        <v>1.2115372653401635</v>
      </c>
      <c r="F20" s="68">
        <f t="shared" si="0"/>
        <v>0</v>
      </c>
      <c r="G20" s="5">
        <f t="shared" si="3"/>
        <v>0</v>
      </c>
    </row>
    <row r="21" spans="2:7" x14ac:dyDescent="0.2">
      <c r="B21" s="13">
        <v>42552</v>
      </c>
      <c r="C21" s="68">
        <f>VaR!C21</f>
        <v>6.2529748410287467E-2</v>
      </c>
      <c r="D21" s="5">
        <f t="shared" si="1"/>
        <v>1.2872943857315717</v>
      </c>
      <c r="E21" s="5">
        <f t="shared" si="2"/>
        <v>1.2872943857315717</v>
      </c>
      <c r="F21" s="68">
        <f t="shared" si="0"/>
        <v>0</v>
      </c>
      <c r="G21" s="5">
        <f t="shared" si="3"/>
        <v>0</v>
      </c>
    </row>
    <row r="22" spans="2:7" x14ac:dyDescent="0.2">
      <c r="B22" s="13">
        <v>42583</v>
      </c>
      <c r="C22" s="68">
        <f>VaR!C22</f>
        <v>1.5532497898995766E-2</v>
      </c>
      <c r="D22" s="5">
        <f t="shared" si="1"/>
        <v>1.3072892830733363</v>
      </c>
      <c r="E22" s="5">
        <f t="shared" si="2"/>
        <v>1.3072892830733363</v>
      </c>
      <c r="F22" s="68">
        <f t="shared" si="0"/>
        <v>0</v>
      </c>
      <c r="G22" s="5">
        <f t="shared" si="3"/>
        <v>0</v>
      </c>
    </row>
    <row r="23" spans="2:7" x14ac:dyDescent="0.2">
      <c r="B23" s="13">
        <v>42614</v>
      </c>
      <c r="C23" s="68">
        <f>VaR!C23</f>
        <v>2.2931434376682516E-2</v>
      </c>
      <c r="D23" s="5">
        <f t="shared" si="1"/>
        <v>1.3372673014794727</v>
      </c>
      <c r="E23" s="5">
        <f t="shared" si="2"/>
        <v>1.3372673014794727</v>
      </c>
      <c r="F23" s="68">
        <f t="shared" si="0"/>
        <v>0</v>
      </c>
      <c r="G23" s="5">
        <f t="shared" si="3"/>
        <v>0</v>
      </c>
    </row>
    <row r="24" spans="2:7" x14ac:dyDescent="0.2">
      <c r="B24" s="13">
        <v>42644</v>
      </c>
      <c r="C24" s="68">
        <f>VaR!C24</f>
        <v>-5.1242384980902675E-3</v>
      </c>
      <c r="D24" s="5">
        <f t="shared" si="1"/>
        <v>1.3304148248909942</v>
      </c>
      <c r="E24" s="5">
        <f t="shared" si="2"/>
        <v>1.3372673014794727</v>
      </c>
      <c r="F24" s="68">
        <f t="shared" si="0"/>
        <v>-5.1242384980904054E-3</v>
      </c>
      <c r="G24" s="5">
        <f t="shared" si="3"/>
        <v>1</v>
      </c>
    </row>
    <row r="25" spans="2:7" x14ac:dyDescent="0.2">
      <c r="B25" s="13">
        <v>42675</v>
      </c>
      <c r="C25" s="68">
        <f>VaR!C25</f>
        <v>4.7696858437293703E-2</v>
      </c>
      <c r="D25" s="5">
        <f t="shared" si="1"/>
        <v>1.3938714324566968</v>
      </c>
      <c r="E25" s="5">
        <f t="shared" si="2"/>
        <v>1.3938714324566968</v>
      </c>
      <c r="F25" s="68">
        <f t="shared" si="0"/>
        <v>0</v>
      </c>
      <c r="G25" s="5">
        <f t="shared" si="3"/>
        <v>0</v>
      </c>
    </row>
    <row r="26" spans="2:7" x14ac:dyDescent="0.2">
      <c r="B26" s="13">
        <v>42705</v>
      </c>
      <c r="C26" s="68">
        <f>VaR!C26</f>
        <v>3.470260909175913E-2</v>
      </c>
      <c r="D26" s="5">
        <f t="shared" si="1"/>
        <v>1.4422424079014118</v>
      </c>
      <c r="E26" s="5">
        <f t="shared" si="2"/>
        <v>1.4422424079014118</v>
      </c>
      <c r="F26" s="68">
        <f t="shared" si="0"/>
        <v>0</v>
      </c>
      <c r="G26" s="5">
        <f t="shared" si="3"/>
        <v>0</v>
      </c>
    </row>
    <row r="27" spans="2:7" x14ac:dyDescent="0.2">
      <c r="B27" s="13">
        <v>42736</v>
      </c>
      <c r="C27" s="68">
        <f>VaR!C27</f>
        <v>2.9452690478341495E-2</v>
      </c>
      <c r="D27" s="5">
        <f t="shared" si="1"/>
        <v>1.4847203271360698</v>
      </c>
      <c r="E27" s="5">
        <f t="shared" si="2"/>
        <v>1.4847203271360698</v>
      </c>
      <c r="F27" s="68">
        <f t="shared" si="0"/>
        <v>0</v>
      </c>
      <c r="G27" s="5">
        <f t="shared" si="3"/>
        <v>0</v>
      </c>
    </row>
    <row r="28" spans="2:7" x14ac:dyDescent="0.2">
      <c r="B28" s="13">
        <v>42767</v>
      </c>
      <c r="C28" s="68">
        <f>VaR!C28</f>
        <v>2.4870938257338007E-2</v>
      </c>
      <c r="D28" s="5">
        <f t="shared" si="1"/>
        <v>1.5216467147216857</v>
      </c>
      <c r="E28" s="5">
        <f t="shared" si="2"/>
        <v>1.5216467147216857</v>
      </c>
      <c r="F28" s="68">
        <f t="shared" si="0"/>
        <v>0</v>
      </c>
      <c r="G28" s="5">
        <f t="shared" si="3"/>
        <v>0</v>
      </c>
    </row>
    <row r="29" spans="2:7" x14ac:dyDescent="0.2">
      <c r="B29" s="13">
        <v>42795</v>
      </c>
      <c r="C29" s="68">
        <f>VaR!C29</f>
        <v>8.8943648996517959E-3</v>
      </c>
      <c r="D29" s="5">
        <f t="shared" si="1"/>
        <v>1.5351807958507766</v>
      </c>
      <c r="E29" s="5">
        <f t="shared" si="2"/>
        <v>1.5351807958507766</v>
      </c>
      <c r="F29" s="68">
        <f t="shared" si="0"/>
        <v>0</v>
      </c>
      <c r="G29" s="5">
        <f t="shared" si="3"/>
        <v>0</v>
      </c>
    </row>
    <row r="30" spans="2:7" x14ac:dyDescent="0.2">
      <c r="B30" s="13">
        <v>42826</v>
      </c>
      <c r="C30" s="68">
        <f>VaR!C30</f>
        <v>6.4034801302070908E-4</v>
      </c>
      <c r="D30" s="5">
        <f t="shared" si="1"/>
        <v>1.5361638458230273</v>
      </c>
      <c r="E30" s="5">
        <f t="shared" si="2"/>
        <v>1.5361638458230273</v>
      </c>
      <c r="F30" s="68">
        <f t="shared" si="0"/>
        <v>0</v>
      </c>
      <c r="G30" s="5">
        <f t="shared" si="3"/>
        <v>0</v>
      </c>
    </row>
    <row r="31" spans="2:7" x14ac:dyDescent="0.2">
      <c r="B31" s="13">
        <v>42856</v>
      </c>
      <c r="C31" s="68">
        <f>VaR!C31</f>
        <v>6.413975648708499E-2</v>
      </c>
      <c r="D31" s="5">
        <f t="shared" si="1"/>
        <v>1.6346930208183801</v>
      </c>
      <c r="E31" s="5">
        <f t="shared" si="2"/>
        <v>1.6346930208183801</v>
      </c>
      <c r="F31" s="68">
        <f t="shared" si="0"/>
        <v>0</v>
      </c>
      <c r="G31" s="5">
        <f t="shared" si="3"/>
        <v>0</v>
      </c>
    </row>
    <row r="32" spans="2:7" x14ac:dyDescent="0.2">
      <c r="B32" s="13">
        <v>42887</v>
      </c>
      <c r="C32" s="68">
        <f>VaR!C32</f>
        <v>1.811177751929954E-3</v>
      </c>
      <c r="D32" s="5">
        <f t="shared" si="1"/>
        <v>1.6376537404489213</v>
      </c>
      <c r="E32" s="5">
        <f t="shared" si="2"/>
        <v>1.6376537404489213</v>
      </c>
      <c r="F32" s="68">
        <f t="shared" si="0"/>
        <v>0</v>
      </c>
      <c r="G32" s="5">
        <f t="shared" si="3"/>
        <v>0</v>
      </c>
    </row>
    <row r="33" spans="2:7" x14ac:dyDescent="0.2">
      <c r="B33" s="13">
        <v>42917</v>
      </c>
      <c r="C33" s="68">
        <f>VaR!C33</f>
        <v>4.0993893508503534E-2</v>
      </c>
      <c r="D33" s="5">
        <f t="shared" si="1"/>
        <v>1.7047875434886868</v>
      </c>
      <c r="E33" s="5">
        <f t="shared" si="2"/>
        <v>1.7047875434886868</v>
      </c>
      <c r="F33" s="68">
        <f t="shared" si="0"/>
        <v>0</v>
      </c>
      <c r="G33" s="5">
        <f t="shared" si="3"/>
        <v>0</v>
      </c>
    </row>
    <row r="34" spans="2:7" x14ac:dyDescent="0.2">
      <c r="B34" s="13">
        <v>42948</v>
      </c>
      <c r="C34" s="68">
        <f>VaR!C34</f>
        <v>2.1316231674372077E-2</v>
      </c>
      <c r="D34" s="5">
        <f t="shared" si="1"/>
        <v>1.7411271897212752</v>
      </c>
      <c r="E34" s="5">
        <f t="shared" si="2"/>
        <v>1.7411271897212752</v>
      </c>
      <c r="F34" s="68">
        <f t="shared" si="0"/>
        <v>0</v>
      </c>
      <c r="G34" s="5">
        <f t="shared" si="3"/>
        <v>0</v>
      </c>
    </row>
    <row r="35" spans="2:7" x14ac:dyDescent="0.2">
      <c r="B35" s="13">
        <v>42979</v>
      </c>
      <c r="C35" s="68">
        <f>VaR!C35</f>
        <v>1.0290263533668164E-2</v>
      </c>
      <c r="D35" s="5">
        <f t="shared" si="1"/>
        <v>1.7590438473491421</v>
      </c>
      <c r="E35" s="5">
        <f t="shared" si="2"/>
        <v>1.7590438473491421</v>
      </c>
      <c r="F35" s="68">
        <f t="shared" si="0"/>
        <v>0</v>
      </c>
      <c r="G35" s="5">
        <f t="shared" si="3"/>
        <v>0</v>
      </c>
    </row>
    <row r="36" spans="2:7" x14ac:dyDescent="0.2">
      <c r="B36" s="13">
        <v>43009</v>
      </c>
      <c r="C36" s="68">
        <f>VaR!C36</f>
        <v>4.0230629487781812E-2</v>
      </c>
      <c r="D36" s="5">
        <f t="shared" si="1"/>
        <v>1.8298112886246078</v>
      </c>
      <c r="E36" s="5">
        <f t="shared" si="2"/>
        <v>1.8298112886246078</v>
      </c>
      <c r="F36" s="68">
        <f t="shared" si="0"/>
        <v>0</v>
      </c>
      <c r="G36" s="5">
        <f t="shared" si="3"/>
        <v>0</v>
      </c>
    </row>
    <row r="37" spans="2:7" x14ac:dyDescent="0.2">
      <c r="B37" s="13">
        <v>43040</v>
      </c>
      <c r="C37" s="68">
        <f>VaR!C37</f>
        <v>1.4065001483908855E-2</v>
      </c>
      <c r="D37" s="5">
        <f t="shared" si="1"/>
        <v>1.8555475871143861</v>
      </c>
      <c r="E37" s="5">
        <f t="shared" si="2"/>
        <v>1.8555475871143861</v>
      </c>
      <c r="F37" s="68">
        <f t="shared" si="0"/>
        <v>0</v>
      </c>
      <c r="G37" s="5">
        <f t="shared" si="3"/>
        <v>0</v>
      </c>
    </row>
    <row r="38" spans="2:7" x14ac:dyDescent="0.2">
      <c r="B38" s="13">
        <v>43070</v>
      </c>
      <c r="C38" s="68">
        <f>VaR!C38</f>
        <v>5.2908759133656275E-3</v>
      </c>
      <c r="D38" s="5">
        <f t="shared" si="1"/>
        <v>1.8653650591491533</v>
      </c>
      <c r="E38" s="5">
        <f t="shared" si="2"/>
        <v>1.8653650591491533</v>
      </c>
      <c r="F38" s="68">
        <f t="shared" si="0"/>
        <v>0</v>
      </c>
      <c r="G38" s="5">
        <f t="shared" si="3"/>
        <v>0</v>
      </c>
    </row>
    <row r="39" spans="2:7" x14ac:dyDescent="0.2">
      <c r="B39" s="13">
        <v>43101</v>
      </c>
      <c r="C39" s="68">
        <f>VaR!C39</f>
        <v>7.7170806988373017E-2</v>
      </c>
      <c r="D39" s="5">
        <f t="shared" si="1"/>
        <v>2.0093167860916075</v>
      </c>
      <c r="E39" s="5">
        <f t="shared" si="2"/>
        <v>2.0093167860916075</v>
      </c>
      <c r="F39" s="68">
        <f t="shared" si="0"/>
        <v>0</v>
      </c>
      <c r="G39" s="5">
        <f t="shared" si="3"/>
        <v>0</v>
      </c>
    </row>
    <row r="40" spans="2:7" x14ac:dyDescent="0.2">
      <c r="B40" s="13">
        <v>43132</v>
      </c>
      <c r="C40" s="68">
        <f>VaR!C40</f>
        <v>-2.7123411556963288E-2</v>
      </c>
      <c r="D40" s="5">
        <f t="shared" si="1"/>
        <v>1.95481725995413</v>
      </c>
      <c r="E40" s="5">
        <f t="shared" si="2"/>
        <v>2.0093167860916075</v>
      </c>
      <c r="F40" s="68">
        <f t="shared" si="0"/>
        <v>-2.7123411556963295E-2</v>
      </c>
      <c r="G40" s="5">
        <f t="shared" si="3"/>
        <v>1</v>
      </c>
    </row>
    <row r="41" spans="2:7" x14ac:dyDescent="0.2">
      <c r="B41" s="13">
        <v>43160</v>
      </c>
      <c r="C41" s="68">
        <f>VaR!C41</f>
        <v>-2.2503688546574207E-2</v>
      </c>
      <c r="D41" s="5">
        <f t="shared" si="1"/>
        <v>1.9108266611706546</v>
      </c>
      <c r="E41" s="5">
        <f t="shared" si="2"/>
        <v>2.0093167860916075</v>
      </c>
      <c r="F41" s="68">
        <f t="shared" si="0"/>
        <v>-4.9016723297539144E-2</v>
      </c>
      <c r="G41" s="5">
        <f t="shared" si="3"/>
        <v>2</v>
      </c>
    </row>
    <row r="42" spans="2:7" x14ac:dyDescent="0.2">
      <c r="B42" s="13">
        <v>43191</v>
      </c>
      <c r="C42" s="68">
        <f>VaR!C42</f>
        <v>-1.466114814629604E-2</v>
      </c>
      <c r="D42" s="5">
        <f t="shared" si="1"/>
        <v>1.8828117484093394</v>
      </c>
      <c r="E42" s="5">
        <f t="shared" si="2"/>
        <v>2.0093167860916075</v>
      </c>
      <c r="F42" s="68">
        <f t="shared" si="0"/>
        <v>-6.2959230001923938E-2</v>
      </c>
      <c r="G42" s="5">
        <f t="shared" si="3"/>
        <v>3</v>
      </c>
    </row>
    <row r="43" spans="2:7" x14ac:dyDescent="0.2">
      <c r="B43" s="13">
        <v>43221</v>
      </c>
      <c r="C43" s="68">
        <f>VaR!C43</f>
        <v>3.1109248956112768E-2</v>
      </c>
      <c r="D43" s="5">
        <f t="shared" si="1"/>
        <v>1.9413846078280994</v>
      </c>
      <c r="E43" s="5">
        <f t="shared" si="2"/>
        <v>2.0093167860916075</v>
      </c>
      <c r="F43" s="68">
        <f t="shared" si="0"/>
        <v>-3.3808595406026209E-2</v>
      </c>
      <c r="G43" s="5">
        <f t="shared" si="3"/>
        <v>4</v>
      </c>
    </row>
    <row r="44" spans="2:7" x14ac:dyDescent="0.2">
      <c r="B44" s="13">
        <v>43252</v>
      </c>
      <c r="C44" s="68">
        <f>VaR!C44</f>
        <v>-1.4818945489094825E-2</v>
      </c>
      <c r="D44" s="5">
        <f t="shared" si="1"/>
        <v>1.9126153351513271</v>
      </c>
      <c r="E44" s="5">
        <f t="shared" si="2"/>
        <v>2.0093167860916075</v>
      </c>
      <c r="F44" s="68">
        <f t="shared" si="0"/>
        <v>-4.8126533162736296E-2</v>
      </c>
      <c r="G44" s="5">
        <f t="shared" si="3"/>
        <v>5</v>
      </c>
    </row>
    <row r="45" spans="2:7" x14ac:dyDescent="0.2">
      <c r="B45" s="13">
        <v>43282</v>
      </c>
      <c r="C45" s="68">
        <f>VaR!C45</f>
        <v>2.8986213400202309E-2</v>
      </c>
      <c r="D45" s="5">
        <f t="shared" si="1"/>
        <v>1.968054811408523</v>
      </c>
      <c r="E45" s="5">
        <f t="shared" si="2"/>
        <v>2.0093167860916075</v>
      </c>
      <c r="F45" s="68">
        <f t="shared" si="0"/>
        <v>-2.0535325723000875E-2</v>
      </c>
      <c r="G45" s="5">
        <f t="shared" si="3"/>
        <v>6</v>
      </c>
    </row>
    <row r="46" spans="2:7" x14ac:dyDescent="0.2">
      <c r="B46" s="13">
        <v>43313</v>
      </c>
      <c r="C46" s="68">
        <f>VaR!C46</f>
        <v>4.0209204384184745E-2</v>
      </c>
      <c r="D46" s="5">
        <f t="shared" si="1"/>
        <v>2.0471887295597266</v>
      </c>
      <c r="E46" s="5">
        <f t="shared" si="2"/>
        <v>2.0471887295597266</v>
      </c>
      <c r="F46" s="68">
        <f t="shared" si="0"/>
        <v>0</v>
      </c>
      <c r="G46" s="5">
        <f t="shared" si="3"/>
        <v>0</v>
      </c>
    </row>
    <row r="47" spans="2:7" x14ac:dyDescent="0.2">
      <c r="B47" s="13">
        <v>43344</v>
      </c>
      <c r="C47" s="68">
        <f>VaR!C47</f>
        <v>-2.2517792421937024E-3</v>
      </c>
      <c r="D47" s="5">
        <f t="shared" si="1"/>
        <v>2.0425789124736511</v>
      </c>
      <c r="E47" s="5">
        <f t="shared" si="2"/>
        <v>2.0471887295597266</v>
      </c>
      <c r="F47" s="68">
        <f t="shared" si="0"/>
        <v>-2.2517792421937743E-3</v>
      </c>
      <c r="G47" s="5">
        <f t="shared" si="3"/>
        <v>1</v>
      </c>
    </row>
    <row r="48" spans="2:7" x14ac:dyDescent="0.2">
      <c r="B48" s="13">
        <v>43374</v>
      </c>
      <c r="C48" s="68">
        <f>VaR!C48</f>
        <v>-6.4420057784816603E-2</v>
      </c>
      <c r="D48" s="5">
        <f t="shared" si="1"/>
        <v>1.9109958609020505</v>
      </c>
      <c r="E48" s="5">
        <f t="shared" si="2"/>
        <v>2.0471887295597266</v>
      </c>
      <c r="F48" s="68">
        <f t="shared" si="0"/>
        <v>-6.6526777278109628E-2</v>
      </c>
      <c r="G48" s="5">
        <f t="shared" si="3"/>
        <v>2</v>
      </c>
    </row>
    <row r="49" spans="2:7" x14ac:dyDescent="0.2">
      <c r="B49" s="13">
        <v>43405</v>
      </c>
      <c r="C49" s="68">
        <f>VaR!C49</f>
        <v>-2.1067317605392898E-2</v>
      </c>
      <c r="D49" s="5">
        <f t="shared" si="1"/>
        <v>1.8707363041578358</v>
      </c>
      <c r="E49" s="5">
        <f t="shared" si="2"/>
        <v>2.0471887295597266</v>
      </c>
      <c r="F49" s="68">
        <f t="shared" si="0"/>
        <v>-8.6192554137321409E-2</v>
      </c>
      <c r="G49" s="5">
        <f t="shared" si="3"/>
        <v>3</v>
      </c>
    </row>
    <row r="50" spans="2:7" x14ac:dyDescent="0.2">
      <c r="B50" s="13">
        <v>43435</v>
      </c>
      <c r="C50" s="68">
        <f>VaR!C50</f>
        <v>-7.1887183585539707E-2</v>
      </c>
      <c r="D50" s="5">
        <f t="shared" si="1"/>
        <v>1.7362543400207073</v>
      </c>
      <c r="E50" s="5">
        <f t="shared" si="2"/>
        <v>2.0471887295597266</v>
      </c>
      <c r="F50" s="68">
        <f t="shared" si="0"/>
        <v>-0.15188359775988491</v>
      </c>
      <c r="G50" s="5">
        <f t="shared" si="3"/>
        <v>4</v>
      </c>
    </row>
    <row r="51" spans="2:7" x14ac:dyDescent="0.2">
      <c r="B51" s="13">
        <v>43466</v>
      </c>
      <c r="C51" s="68">
        <f>VaR!C51</f>
        <v>6.3808834399046013E-2</v>
      </c>
      <c r="D51" s="5">
        <f t="shared" si="1"/>
        <v>1.8470427056777134</v>
      </c>
      <c r="E51" s="5">
        <f t="shared" si="2"/>
        <v>2.0471887295597266</v>
      </c>
      <c r="F51" s="68">
        <f t="shared" si="0"/>
        <v>-9.7766278698230735E-2</v>
      </c>
      <c r="G51" s="5">
        <f t="shared" si="3"/>
        <v>5</v>
      </c>
    </row>
    <row r="52" spans="2:7" x14ac:dyDescent="0.2">
      <c r="B52" s="13">
        <v>43497</v>
      </c>
      <c r="C52" s="68">
        <f>VaR!C52</f>
        <v>3.2960398927198035E-2</v>
      </c>
      <c r="D52" s="5">
        <f t="shared" si="1"/>
        <v>1.9079219700924221</v>
      </c>
      <c r="E52" s="5">
        <f t="shared" si="2"/>
        <v>2.0471887295597266</v>
      </c>
      <c r="F52" s="68">
        <f t="shared" si="0"/>
        <v>-6.8028295318554033E-2</v>
      </c>
      <c r="G52" s="5">
        <f t="shared" si="3"/>
        <v>6</v>
      </c>
    </row>
    <row r="53" spans="2:7" x14ac:dyDescent="0.2">
      <c r="B53" s="13">
        <v>43525</v>
      </c>
      <c r="C53" s="68">
        <f>VaR!C53</f>
        <v>3.3140982734097088E-2</v>
      </c>
      <c r="D53" s="5">
        <f t="shared" si="1"/>
        <v>1.9711523791612597</v>
      </c>
      <c r="E53" s="5">
        <f t="shared" si="2"/>
        <v>2.0471887295597266</v>
      </c>
      <c r="F53" s="68">
        <f t="shared" si="0"/>
        <v>-3.7141837145039158E-2</v>
      </c>
      <c r="G53" s="5">
        <f t="shared" si="3"/>
        <v>7</v>
      </c>
    </row>
    <row r="54" spans="2:7" x14ac:dyDescent="0.2">
      <c r="B54" s="13">
        <v>43556</v>
      </c>
      <c r="C54" s="68">
        <f>VaR!C54</f>
        <v>3.8139185144285825E-2</v>
      </c>
      <c r="D54" s="5">
        <f t="shared" si="1"/>
        <v>2.0463305246976904</v>
      </c>
      <c r="E54" s="5">
        <f t="shared" si="2"/>
        <v>2.0471887295597266</v>
      </c>
      <c r="F54" s="68">
        <f t="shared" si="0"/>
        <v>-4.1921140422696013E-4</v>
      </c>
      <c r="G54" s="5">
        <f t="shared" si="3"/>
        <v>8</v>
      </c>
    </row>
    <row r="55" spans="2:7" x14ac:dyDescent="0.2">
      <c r="B55" s="13">
        <v>43586</v>
      </c>
      <c r="C55" s="68">
        <f>VaR!C55</f>
        <v>-7.8252024862158973E-2</v>
      </c>
      <c r="D55" s="5">
        <f t="shared" si="1"/>
        <v>1.8862010176028519</v>
      </c>
      <c r="E55" s="5">
        <f t="shared" si="2"/>
        <v>2.0471887295597266</v>
      </c>
      <c r="F55" s="68">
        <f t="shared" si="0"/>
        <v>-7.8638432125159863E-2</v>
      </c>
      <c r="G55" s="5">
        <f t="shared" si="3"/>
        <v>9</v>
      </c>
    </row>
    <row r="56" spans="2:7" x14ac:dyDescent="0.2">
      <c r="B56" s="13">
        <v>43617</v>
      </c>
      <c r="C56" s="68">
        <f>VaR!C56</f>
        <v>9.0980585360311853E-2</v>
      </c>
      <c r="D56" s="5">
        <f t="shared" si="1"/>
        <v>2.0578086902915751</v>
      </c>
      <c r="E56" s="5">
        <f t="shared" si="2"/>
        <v>2.0578086902915751</v>
      </c>
      <c r="F56" s="68">
        <f t="shared" si="0"/>
        <v>0</v>
      </c>
      <c r="G56" s="5">
        <f t="shared" si="3"/>
        <v>0</v>
      </c>
    </row>
    <row r="57" spans="2:7" x14ac:dyDescent="0.2">
      <c r="B57" s="13">
        <v>43647</v>
      </c>
      <c r="C57" s="68">
        <f>VaR!C57</f>
        <v>2.3528627308142078E-2</v>
      </c>
      <c r="D57" s="5">
        <f t="shared" si="1"/>
        <v>2.1062261040369017</v>
      </c>
      <c r="E57" s="5">
        <f t="shared" si="2"/>
        <v>2.1062261040369017</v>
      </c>
      <c r="F57" s="68">
        <f t="shared" si="0"/>
        <v>0</v>
      </c>
      <c r="G57" s="5">
        <f t="shared" si="3"/>
        <v>0</v>
      </c>
    </row>
    <row r="58" spans="2:7" x14ac:dyDescent="0.2">
      <c r="B58" s="13">
        <v>43678</v>
      </c>
      <c r="C58" s="68">
        <f>VaR!C58</f>
        <v>2.7608674085581948E-3</v>
      </c>
      <c r="D58" s="5">
        <f t="shared" si="1"/>
        <v>2.1120411150425915</v>
      </c>
      <c r="E58" s="5">
        <f t="shared" si="2"/>
        <v>2.1120411150425915</v>
      </c>
      <c r="F58" s="68">
        <f t="shared" si="0"/>
        <v>0</v>
      </c>
      <c r="G58" s="5">
        <f t="shared" si="3"/>
        <v>0</v>
      </c>
    </row>
    <row r="59" spans="2:7" x14ac:dyDescent="0.2">
      <c r="B59" s="13">
        <v>43709</v>
      </c>
      <c r="C59" s="68">
        <f>VaR!C59</f>
        <v>1.5675617099235151E-2</v>
      </c>
      <c r="D59" s="5">
        <f t="shared" si="1"/>
        <v>2.1451486628598406</v>
      </c>
      <c r="E59" s="5">
        <f t="shared" si="2"/>
        <v>2.1451486628598406</v>
      </c>
      <c r="F59" s="68">
        <f t="shared" si="0"/>
        <v>0</v>
      </c>
      <c r="G59" s="5">
        <f t="shared" si="3"/>
        <v>0</v>
      </c>
    </row>
    <row r="60" spans="2:7" x14ac:dyDescent="0.2">
      <c r="B60" s="13">
        <v>43739</v>
      </c>
      <c r="C60" s="68">
        <f>VaR!C60</f>
        <v>4.7692222860082345E-2</v>
      </c>
      <c r="D60" s="5">
        <f t="shared" si="1"/>
        <v>2.2474555709569599</v>
      </c>
      <c r="E60" s="5">
        <f t="shared" si="2"/>
        <v>2.2474555709569599</v>
      </c>
      <c r="F60" s="68">
        <f t="shared" si="0"/>
        <v>0</v>
      </c>
      <c r="G60" s="5">
        <f t="shared" si="3"/>
        <v>0</v>
      </c>
    </row>
    <row r="61" spans="2:7" x14ac:dyDescent="0.2">
      <c r="B61" s="13">
        <v>43770</v>
      </c>
      <c r="C61" s="68">
        <f>VaR!C61</f>
        <v>2.6657065446256976E-2</v>
      </c>
      <c r="D61" s="5">
        <f t="shared" si="1"/>
        <v>2.3073661411995143</v>
      </c>
      <c r="E61" s="5">
        <f t="shared" si="2"/>
        <v>2.3073661411995143</v>
      </c>
      <c r="F61" s="68">
        <f t="shared" si="0"/>
        <v>0</v>
      </c>
      <c r="G61" s="5">
        <f t="shared" si="3"/>
        <v>0</v>
      </c>
    </row>
    <row r="62" spans="2:7" x14ac:dyDescent="0.2">
      <c r="B62" s="13">
        <v>43800</v>
      </c>
      <c r="C62" s="68">
        <f>VaR!C62</f>
        <v>4.1301944500749505E-2</v>
      </c>
      <c r="D62" s="5">
        <f t="shared" si="1"/>
        <v>2.402664849506245</v>
      </c>
      <c r="E62" s="5">
        <f t="shared" si="2"/>
        <v>2.402664849506245</v>
      </c>
      <c r="F62" s="68">
        <f t="shared" si="0"/>
        <v>0</v>
      </c>
      <c r="G62" s="5">
        <f t="shared" si="3"/>
        <v>0</v>
      </c>
    </row>
    <row r="63" spans="2:7" x14ac:dyDescent="0.2">
      <c r="B63" s="13">
        <v>43831</v>
      </c>
      <c r="C63" s="68">
        <f>VaR!C63</f>
        <v>8.4080870170103791E-3</v>
      </c>
      <c r="D63" s="5">
        <f t="shared" si="1"/>
        <v>2.4228666646336059</v>
      </c>
      <c r="E63" s="5">
        <f t="shared" si="2"/>
        <v>2.4228666646336059</v>
      </c>
      <c r="F63" s="68">
        <f t="shared" si="0"/>
        <v>0</v>
      </c>
      <c r="G63" s="5">
        <f t="shared" si="3"/>
        <v>0</v>
      </c>
    </row>
    <row r="64" spans="2:7" x14ac:dyDescent="0.2">
      <c r="B64" s="13">
        <v>43862</v>
      </c>
      <c r="C64" s="68">
        <f>VaR!C64</f>
        <v>-3.5395321408939549E-2</v>
      </c>
      <c r="D64" s="5">
        <f t="shared" si="1"/>
        <v>2.3371085203078943</v>
      </c>
      <c r="E64" s="5">
        <f t="shared" si="2"/>
        <v>2.4228666646336059</v>
      </c>
      <c r="F64" s="68">
        <f t="shared" si="0"/>
        <v>-3.5395321408939417E-2</v>
      </c>
      <c r="G64" s="5">
        <f t="shared" si="3"/>
        <v>1</v>
      </c>
    </row>
    <row r="65" spans="2:7" x14ac:dyDescent="0.2">
      <c r="B65" s="13">
        <v>43891</v>
      </c>
      <c r="C65" s="68">
        <f>VaR!C65</f>
        <v>-8.5177728264647395E-2</v>
      </c>
      <c r="D65" s="5">
        <f t="shared" si="1"/>
        <v>2.1380389258401165</v>
      </c>
      <c r="E65" s="5">
        <f t="shared" si="2"/>
        <v>2.4228666646336059</v>
      </c>
      <c r="F65" s="68">
        <f t="shared" si="0"/>
        <v>-0.11755815660477631</v>
      </c>
      <c r="G65" s="5">
        <f t="shared" si="3"/>
        <v>2</v>
      </c>
    </row>
    <row r="66" spans="2:7" x14ac:dyDescent="0.2">
      <c r="B66" s="13">
        <v>43922</v>
      </c>
      <c r="C66" s="68">
        <f>VaR!C66</f>
        <v>0.10128401633710178</v>
      </c>
      <c r="D66" s="5">
        <f t="shared" si="1"/>
        <v>2.3545880953342664</v>
      </c>
      <c r="E66" s="5">
        <f t="shared" si="2"/>
        <v>2.4228666646336059</v>
      </c>
      <c r="F66" s="68">
        <f t="shared" si="0"/>
        <v>-2.8180902521792173E-2</v>
      </c>
      <c r="G66" s="5">
        <f t="shared" si="3"/>
        <v>3</v>
      </c>
    </row>
    <row r="67" spans="2:7" x14ac:dyDescent="0.2">
      <c r="B67" s="13">
        <v>43952</v>
      </c>
      <c r="C67" s="68">
        <f>VaR!C67</f>
        <v>6.3566271909283933E-2</v>
      </c>
      <c r="D67" s="5">
        <f t="shared" si="1"/>
        <v>2.5042604824366475</v>
      </c>
      <c r="E67" s="5">
        <f t="shared" si="2"/>
        <v>2.5042604824366475</v>
      </c>
      <c r="F67" s="68">
        <f t="shared" si="0"/>
        <v>0</v>
      </c>
      <c r="G67" s="5">
        <f t="shared" si="3"/>
        <v>0</v>
      </c>
    </row>
    <row r="68" spans="2:7" x14ac:dyDescent="0.2">
      <c r="B68" s="13">
        <v>43983</v>
      </c>
      <c r="C68" s="68">
        <f>VaR!C68</f>
        <v>3.1092045474414531E-2</v>
      </c>
      <c r="D68" s="5">
        <f t="shared" si="1"/>
        <v>2.582123063236347</v>
      </c>
      <c r="E68" s="5">
        <f t="shared" si="2"/>
        <v>2.582123063236347</v>
      </c>
      <c r="F68" s="68">
        <f t="shared" si="0"/>
        <v>0</v>
      </c>
      <c r="G68" s="5">
        <f t="shared" si="3"/>
        <v>0</v>
      </c>
    </row>
    <row r="69" spans="2:7" x14ac:dyDescent="0.2">
      <c r="B69" s="13">
        <v>44013</v>
      </c>
      <c r="C69" s="68">
        <f>VaR!C69</f>
        <v>7.7219764226863941E-2</v>
      </c>
      <c r="D69" s="5">
        <f t="shared" si="1"/>
        <v>2.7815139973842054</v>
      </c>
      <c r="E69" s="5">
        <f t="shared" si="2"/>
        <v>2.7815139973842054</v>
      </c>
      <c r="F69" s="68">
        <f t="shared" ref="F69:F132" si="4">(D69/E69)-1</f>
        <v>0</v>
      </c>
      <c r="G69" s="5">
        <f t="shared" si="3"/>
        <v>0</v>
      </c>
    </row>
    <row r="70" spans="2:7" x14ac:dyDescent="0.2">
      <c r="B70" s="13">
        <v>44044</v>
      </c>
      <c r="C70" s="68">
        <f>VaR!C70</f>
        <v>8.3913736158852087E-2</v>
      </c>
      <c r="D70" s="5">
        <f t="shared" ref="D70:D133" si="5">D69*(1+C70)</f>
        <v>3.0149212290828573</v>
      </c>
      <c r="E70" s="5">
        <f t="shared" ref="E70:E133" si="6">MAX(E69,D70)</f>
        <v>3.0149212290828573</v>
      </c>
      <c r="F70" s="68">
        <f t="shared" si="4"/>
        <v>0</v>
      </c>
      <c r="G70" s="5">
        <f t="shared" ref="G70:G133" si="7">IF($D70&lt;$E70,G69+1,0)</f>
        <v>0</v>
      </c>
    </row>
    <row r="71" spans="2:7" x14ac:dyDescent="0.2">
      <c r="B71" s="13">
        <v>44075</v>
      </c>
      <c r="C71" s="68">
        <f>VaR!C71</f>
        <v>-2.9161990953694008E-2</v>
      </c>
      <c r="D71" s="5">
        <f t="shared" si="5"/>
        <v>2.9270001234742429</v>
      </c>
      <c r="E71" s="5">
        <f t="shared" si="6"/>
        <v>3.0149212290828573</v>
      </c>
      <c r="F71" s="68">
        <f t="shared" si="4"/>
        <v>-2.9161990953694095E-2</v>
      </c>
      <c r="G71" s="5">
        <f t="shared" si="7"/>
        <v>1</v>
      </c>
    </row>
    <row r="72" spans="2:7" x14ac:dyDescent="0.2">
      <c r="B72" s="13">
        <v>44105</v>
      </c>
      <c r="C72" s="68">
        <f>VaR!C72</f>
        <v>-2.5512607083186322E-2</v>
      </c>
      <c r="D72" s="5">
        <f t="shared" si="5"/>
        <v>2.8523247193916066</v>
      </c>
      <c r="E72" s="5">
        <f t="shared" si="6"/>
        <v>3.0149212290828573</v>
      </c>
      <c r="F72" s="68">
        <f t="shared" si="4"/>
        <v>-5.393059961991542E-2</v>
      </c>
      <c r="G72" s="5">
        <f t="shared" si="7"/>
        <v>2</v>
      </c>
    </row>
    <row r="73" spans="2:7" x14ac:dyDescent="0.2">
      <c r="B73" s="13">
        <v>44136</v>
      </c>
      <c r="C73" s="68">
        <f>VaR!C73</f>
        <v>7.3423200278260617E-2</v>
      </c>
      <c r="D73" s="5">
        <f t="shared" si="5"/>
        <v>3.0617515285221302</v>
      </c>
      <c r="E73" s="5">
        <f t="shared" si="6"/>
        <v>3.0617515285221302</v>
      </c>
      <c r="F73" s="68">
        <f t="shared" si="4"/>
        <v>0</v>
      </c>
      <c r="G73" s="5">
        <f t="shared" si="7"/>
        <v>0</v>
      </c>
    </row>
    <row r="74" spans="2:7" x14ac:dyDescent="0.2">
      <c r="B74" s="13">
        <v>44166</v>
      </c>
      <c r="C74" s="68">
        <f>VaR!C74</f>
        <v>3.7035588736926778E-2</v>
      </c>
      <c r="D74" s="5">
        <f t="shared" si="5"/>
        <v>3.1751452989471325</v>
      </c>
      <c r="E74" s="5">
        <f t="shared" si="6"/>
        <v>3.1751452989471325</v>
      </c>
      <c r="F74" s="68">
        <f t="shared" si="4"/>
        <v>0</v>
      </c>
      <c r="G74" s="5">
        <f t="shared" si="7"/>
        <v>0</v>
      </c>
    </row>
    <row r="75" spans="2:7" x14ac:dyDescent="0.2">
      <c r="B75" s="13">
        <v>44197</v>
      </c>
      <c r="C75" s="68">
        <f>VaR!C75</f>
        <v>-1.7326516882805815E-2</v>
      </c>
      <c r="D75" s="5">
        <f t="shared" si="5"/>
        <v>3.1201310903195636</v>
      </c>
      <c r="E75" s="5">
        <f t="shared" si="6"/>
        <v>3.1751452989471325</v>
      </c>
      <c r="F75" s="68">
        <f t="shared" si="4"/>
        <v>-1.7326516882805731E-2</v>
      </c>
      <c r="G75" s="5">
        <f t="shared" si="7"/>
        <v>1</v>
      </c>
    </row>
    <row r="76" spans="2:7" x14ac:dyDescent="0.2">
      <c r="B76" s="13">
        <v>44228</v>
      </c>
      <c r="C76" s="68">
        <f>VaR!C76</f>
        <v>1.6852024443801315E-2</v>
      </c>
      <c r="D76" s="5">
        <f t="shared" si="5"/>
        <v>3.1727116157214934</v>
      </c>
      <c r="E76" s="5">
        <f t="shared" si="6"/>
        <v>3.1751452989471325</v>
      </c>
      <c r="F76" s="68">
        <f t="shared" si="4"/>
        <v>-7.6647932503937088E-4</v>
      </c>
      <c r="G76" s="5">
        <f t="shared" si="7"/>
        <v>2</v>
      </c>
    </row>
    <row r="77" spans="2:7" x14ac:dyDescent="0.2">
      <c r="B77" s="13">
        <v>44256</v>
      </c>
      <c r="C77" s="68">
        <f>VaR!C77</f>
        <v>1.8990439548631468E-2</v>
      </c>
      <c r="D77" s="5">
        <f t="shared" si="5"/>
        <v>3.2329628038650937</v>
      </c>
      <c r="E77" s="5">
        <f t="shared" si="6"/>
        <v>3.2329628038650937</v>
      </c>
      <c r="F77" s="68">
        <f t="shared" si="4"/>
        <v>0</v>
      </c>
      <c r="G77" s="5">
        <f t="shared" si="7"/>
        <v>0</v>
      </c>
    </row>
    <row r="78" spans="2:7" x14ac:dyDescent="0.2">
      <c r="B78" s="13">
        <v>44287</v>
      </c>
      <c r="C78" s="68">
        <f>VaR!C78</f>
        <v>4.7667262473495106E-2</v>
      </c>
      <c r="D78" s="5">
        <f t="shared" si="5"/>
        <v>3.3870692904039776</v>
      </c>
      <c r="E78" s="5">
        <f t="shared" si="6"/>
        <v>3.3870692904039776</v>
      </c>
      <c r="F78" s="68">
        <f t="shared" si="4"/>
        <v>0</v>
      </c>
      <c r="G78" s="5">
        <f t="shared" si="7"/>
        <v>0</v>
      </c>
    </row>
    <row r="79" spans="2:7" x14ac:dyDescent="0.2">
      <c r="B79" s="13">
        <v>44317</v>
      </c>
      <c r="C79" s="68">
        <f>VaR!C79</f>
        <v>3.682486837167892E-2</v>
      </c>
      <c r="D79" s="5">
        <f t="shared" si="5"/>
        <v>3.5117976711888601</v>
      </c>
      <c r="E79" s="5">
        <f t="shared" si="6"/>
        <v>3.5117976711888601</v>
      </c>
      <c r="F79" s="68">
        <f t="shared" si="4"/>
        <v>0</v>
      </c>
      <c r="G79" s="5">
        <f t="shared" si="7"/>
        <v>0</v>
      </c>
    </row>
    <row r="80" spans="2:7" x14ac:dyDescent="0.2">
      <c r="B80" s="13">
        <v>44348</v>
      </c>
      <c r="C80" s="68">
        <f>VaR!C80</f>
        <v>3.0085650120667471E-2</v>
      </c>
      <c r="D80" s="5">
        <f t="shared" si="5"/>
        <v>3.6174523872188229</v>
      </c>
      <c r="E80" s="5">
        <f t="shared" si="6"/>
        <v>3.6174523872188229</v>
      </c>
      <c r="F80" s="68">
        <f t="shared" si="4"/>
        <v>0</v>
      </c>
      <c r="G80" s="5">
        <f t="shared" si="7"/>
        <v>0</v>
      </c>
    </row>
    <row r="81" spans="2:7" x14ac:dyDescent="0.2">
      <c r="B81" s="13">
        <v>44378</v>
      </c>
      <c r="C81" s="68">
        <f>VaR!C81</f>
        <v>1.4897622805552013E-2</v>
      </c>
      <c r="D81" s="5">
        <f t="shared" si="5"/>
        <v>3.6713438284006523</v>
      </c>
      <c r="E81" s="5">
        <f t="shared" si="6"/>
        <v>3.6713438284006523</v>
      </c>
      <c r="F81" s="68">
        <f t="shared" si="4"/>
        <v>0</v>
      </c>
      <c r="G81" s="5">
        <f t="shared" si="7"/>
        <v>0</v>
      </c>
    </row>
    <row r="82" spans="2:7" x14ac:dyDescent="0.2">
      <c r="B82" s="13">
        <v>44409</v>
      </c>
      <c r="C82" s="68">
        <f>VaR!C82</f>
        <v>4.1009882248158797E-2</v>
      </c>
      <c r="D82" s="5">
        <f t="shared" si="5"/>
        <v>3.8219052064958676</v>
      </c>
      <c r="E82" s="5">
        <f t="shared" si="6"/>
        <v>3.8219052064958676</v>
      </c>
      <c r="F82" s="68">
        <f t="shared" si="4"/>
        <v>0</v>
      </c>
      <c r="G82" s="5">
        <f t="shared" si="7"/>
        <v>0</v>
      </c>
    </row>
    <row r="83" spans="2:7" x14ac:dyDescent="0.2">
      <c r="B83" s="13">
        <v>44440</v>
      </c>
      <c r="C83" s="68">
        <f>VaR!C83</f>
        <v>-4.0449967038657941E-2</v>
      </c>
      <c r="D83" s="5">
        <f t="shared" si="5"/>
        <v>3.6673092668682346</v>
      </c>
      <c r="E83" s="5">
        <f t="shared" si="6"/>
        <v>3.8219052064958676</v>
      </c>
      <c r="F83" s="68">
        <f t="shared" si="4"/>
        <v>-4.0449967038657997E-2</v>
      </c>
      <c r="G83" s="5">
        <f t="shared" si="7"/>
        <v>1</v>
      </c>
    </row>
    <row r="84" spans="2:7" x14ac:dyDescent="0.2">
      <c r="B84" s="13">
        <v>44470</v>
      </c>
      <c r="C84" s="68">
        <f>VaR!C84</f>
        <v>7.5405956201210614E-2</v>
      </c>
      <c r="D84" s="5">
        <f t="shared" si="5"/>
        <v>3.9438462288219944</v>
      </c>
      <c r="E84" s="5">
        <f t="shared" si="6"/>
        <v>3.9438462288219944</v>
      </c>
      <c r="F84" s="68">
        <f t="shared" si="4"/>
        <v>0</v>
      </c>
      <c r="G84" s="5">
        <f t="shared" si="7"/>
        <v>0</v>
      </c>
    </row>
    <row r="85" spans="2:7" x14ac:dyDescent="0.2">
      <c r="B85" s="13">
        <v>44501</v>
      </c>
      <c r="C85" s="68">
        <f>VaR!C85</f>
        <v>3.5468451239624943E-2</v>
      </c>
      <c r="D85" s="5">
        <f t="shared" si="5"/>
        <v>4.0837283464855467</v>
      </c>
      <c r="E85" s="5">
        <f t="shared" si="6"/>
        <v>4.0837283464855467</v>
      </c>
      <c r="F85" s="68">
        <f t="shared" si="4"/>
        <v>0</v>
      </c>
      <c r="G85" s="5">
        <f t="shared" si="7"/>
        <v>0</v>
      </c>
    </row>
    <row r="86" spans="2:7" x14ac:dyDescent="0.2">
      <c r="B86" s="13">
        <v>44531</v>
      </c>
      <c r="C86" s="68">
        <f>VaR!C86</f>
        <v>1.959698039125294E-2</v>
      </c>
      <c r="D86" s="5">
        <f t="shared" si="5"/>
        <v>4.163757090814828</v>
      </c>
      <c r="E86" s="5">
        <f t="shared" si="6"/>
        <v>4.163757090814828</v>
      </c>
      <c r="F86" s="68">
        <f t="shared" si="4"/>
        <v>0</v>
      </c>
      <c r="G86" s="5">
        <f t="shared" si="7"/>
        <v>0</v>
      </c>
    </row>
    <row r="87" spans="2:7" x14ac:dyDescent="0.2">
      <c r="B87" s="13">
        <v>44562</v>
      </c>
      <c r="C87" s="68">
        <f>VaR!C87</f>
        <v>-6.2879335860719671E-2</v>
      </c>
      <c r="D87" s="5">
        <f t="shared" si="5"/>
        <v>3.9019428102590292</v>
      </c>
      <c r="E87" s="5">
        <f t="shared" si="6"/>
        <v>4.163757090814828</v>
      </c>
      <c r="F87" s="68">
        <f t="shared" si="4"/>
        <v>-6.2879335860719698E-2</v>
      </c>
      <c r="G87" s="5">
        <f t="shared" si="7"/>
        <v>1</v>
      </c>
    </row>
    <row r="88" spans="2:7" x14ac:dyDescent="0.2">
      <c r="B88" s="13">
        <v>44593</v>
      </c>
      <c r="C88" s="68">
        <f>VaR!C88</f>
        <v>-1.1109492941316718E-2</v>
      </c>
      <c r="D88" s="5">
        <f t="shared" si="5"/>
        <v>3.8585942041510353</v>
      </c>
      <c r="E88" s="5">
        <f t="shared" si="6"/>
        <v>4.163757090814828</v>
      </c>
      <c r="F88" s="68">
        <f t="shared" si="4"/>
        <v>-7.3290271264137008E-2</v>
      </c>
      <c r="G88" s="5">
        <f t="shared" si="7"/>
        <v>2</v>
      </c>
    </row>
    <row r="89" spans="2:7" x14ac:dyDescent="0.2">
      <c r="B89" s="13">
        <v>44621</v>
      </c>
      <c r="C89" s="68">
        <f>VaR!C89</f>
        <v>2.7570931524194948E-2</v>
      </c>
      <c r="D89" s="5">
        <f t="shared" si="5"/>
        <v>3.9649792407333391</v>
      </c>
      <c r="E89" s="5">
        <f t="shared" si="6"/>
        <v>4.163757090814828</v>
      </c>
      <c r="F89" s="68">
        <f t="shared" si="4"/>
        <v>-4.774002079035522E-2</v>
      </c>
      <c r="G89" s="5">
        <f t="shared" si="7"/>
        <v>3</v>
      </c>
    </row>
    <row r="90" spans="2:7" x14ac:dyDescent="0.2">
      <c r="B90" s="13">
        <v>44652</v>
      </c>
      <c r="C90" s="68">
        <f>VaR!C90</f>
        <v>-0.10248791509518911</v>
      </c>
      <c r="D90" s="5">
        <f t="shared" si="5"/>
        <v>3.5586167849548733</v>
      </c>
      <c r="E90" s="5">
        <f t="shared" si="6"/>
        <v>4.163757090814828</v>
      </c>
      <c r="F90" s="68">
        <f t="shared" si="4"/>
        <v>-0.1453351606881399</v>
      </c>
      <c r="G90" s="5">
        <f t="shared" si="7"/>
        <v>4</v>
      </c>
    </row>
    <row r="91" spans="2:7" x14ac:dyDescent="0.2">
      <c r="B91" s="13">
        <v>44682</v>
      </c>
      <c r="C91" s="68">
        <f>VaR!C91</f>
        <v>-3.8285353068775395E-3</v>
      </c>
      <c r="D91" s="5">
        <f t="shared" si="5"/>
        <v>3.5449924949500264</v>
      </c>
      <c r="E91" s="5">
        <f t="shared" si="6"/>
        <v>4.163757090814828</v>
      </c>
      <c r="F91" s="68">
        <f t="shared" si="4"/>
        <v>-0.14860727520099215</v>
      </c>
      <c r="G91" s="5">
        <f t="shared" si="7"/>
        <v>5</v>
      </c>
    </row>
    <row r="92" spans="2:7" x14ac:dyDescent="0.2">
      <c r="B92" s="13">
        <v>44713</v>
      </c>
      <c r="C92" s="68">
        <f>VaR!C92</f>
        <v>-8.9386064581726848E-2</v>
      </c>
      <c r="D92" s="5">
        <f t="shared" si="5"/>
        <v>3.2281195668546867</v>
      </c>
      <c r="E92" s="5">
        <f t="shared" si="6"/>
        <v>4.163757090814828</v>
      </c>
      <c r="F92" s="68">
        <f t="shared" si="4"/>
        <v>-0.2247099202842886</v>
      </c>
      <c r="G92" s="5">
        <f t="shared" si="7"/>
        <v>6</v>
      </c>
    </row>
    <row r="93" spans="2:7" x14ac:dyDescent="0.2">
      <c r="B93" s="13">
        <v>44743</v>
      </c>
      <c r="C93" s="68">
        <f>VaR!C93</f>
        <v>6.8449042236405674E-2</v>
      </c>
      <c r="D93" s="5">
        <f t="shared" si="5"/>
        <v>3.4490812594304909</v>
      </c>
      <c r="E93" s="5">
        <f t="shared" si="6"/>
        <v>4.163757090814828</v>
      </c>
      <c r="F93" s="68">
        <f t="shared" si="4"/>
        <v>-0.17164205687236145</v>
      </c>
      <c r="G93" s="5">
        <f t="shared" si="7"/>
        <v>7</v>
      </c>
    </row>
    <row r="94" spans="2:7" x14ac:dyDescent="0.2">
      <c r="B94" s="13">
        <v>44774</v>
      </c>
      <c r="C94" s="68">
        <f>VaR!C94</f>
        <v>-5.4276245429553741E-2</v>
      </c>
      <c r="D94" s="5">
        <f t="shared" si="5"/>
        <v>3.2618780784871673</v>
      </c>
      <c r="E94" s="5">
        <f t="shared" si="6"/>
        <v>4.163757090814828</v>
      </c>
      <c r="F94" s="68">
        <f t="shared" si="4"/>
        <v>-0.21660221589707751</v>
      </c>
      <c r="G94" s="5">
        <f t="shared" si="7"/>
        <v>8</v>
      </c>
    </row>
    <row r="95" spans="2:7" x14ac:dyDescent="0.2">
      <c r="B95" s="13">
        <v>44805</v>
      </c>
      <c r="C95" s="68">
        <f>VaR!C95</f>
        <v>-9.8935452501346804E-2</v>
      </c>
      <c r="D95" s="5">
        <f t="shared" si="5"/>
        <v>2.9391626947878158</v>
      </c>
      <c r="E95" s="5">
        <f t="shared" si="6"/>
        <v>4.163757090814828</v>
      </c>
      <c r="F95" s="68">
        <f t="shared" si="4"/>
        <v>-0.29410803015585252</v>
      </c>
      <c r="G95" s="5">
        <f t="shared" si="7"/>
        <v>9</v>
      </c>
    </row>
    <row r="96" spans="2:7" x14ac:dyDescent="0.2">
      <c r="B96" s="13">
        <v>44835</v>
      </c>
      <c r="C96" s="68">
        <f>VaR!C96</f>
        <v>7.352805772611537E-2</v>
      </c>
      <c r="D96" s="5">
        <f t="shared" si="5"/>
        <v>3.1552736190766195</v>
      </c>
      <c r="E96" s="5">
        <f t="shared" si="6"/>
        <v>4.163757090814828</v>
      </c>
      <c r="F96" s="68">
        <f t="shared" si="4"/>
        <v>-0.24220516464875064</v>
      </c>
      <c r="G96" s="5">
        <f t="shared" si="7"/>
        <v>10</v>
      </c>
    </row>
    <row r="97" spans="2:7" x14ac:dyDescent="0.2">
      <c r="B97" s="13">
        <v>44866</v>
      </c>
      <c r="C97" s="68">
        <f>VaR!C97</f>
        <v>0.10398928202776414</v>
      </c>
      <c r="D97" s="5">
        <f t="shared" si="5"/>
        <v>3.4833882573255424</v>
      </c>
      <c r="E97" s="5">
        <f t="shared" si="6"/>
        <v>4.163757090814828</v>
      </c>
      <c r="F97" s="68">
        <f t="shared" si="4"/>
        <v>-0.1634026237962265</v>
      </c>
      <c r="G97" s="5">
        <f t="shared" si="7"/>
        <v>11</v>
      </c>
    </row>
    <row r="98" spans="2:7" x14ac:dyDescent="0.2">
      <c r="B98" s="13">
        <v>44896</v>
      </c>
      <c r="C98" s="68">
        <f>VaR!C98</f>
        <v>-4.5408132361850068E-2</v>
      </c>
      <c r="D98" s="5">
        <f t="shared" si="5"/>
        <v>3.3252141022691899</v>
      </c>
      <c r="E98" s="5">
        <f t="shared" si="6"/>
        <v>4.163757090814828</v>
      </c>
      <c r="F98" s="68">
        <f t="shared" si="4"/>
        <v>-0.20139094818846393</v>
      </c>
      <c r="G98" s="5">
        <f t="shared" si="7"/>
        <v>12</v>
      </c>
    </row>
    <row r="99" spans="2:7" x14ac:dyDescent="0.2">
      <c r="B99" s="13">
        <v>44927</v>
      </c>
      <c r="C99" s="68">
        <f>VaR!C99</f>
        <v>9.505390735517516E-2</v>
      </c>
      <c r="D99" s="5">
        <f t="shared" si="5"/>
        <v>3.6412886954824071</v>
      </c>
      <c r="E99" s="5">
        <f t="shared" si="6"/>
        <v>4.163757090814828</v>
      </c>
      <c r="F99" s="68">
        <f t="shared" si="4"/>
        <v>-0.12548003736456592</v>
      </c>
      <c r="G99" s="5">
        <f t="shared" si="7"/>
        <v>13</v>
      </c>
    </row>
    <row r="100" spans="2:7" x14ac:dyDescent="0.2">
      <c r="B100" s="13">
        <v>44958</v>
      </c>
      <c r="C100" s="68">
        <f>VaR!C100</f>
        <v>8.875752205600846E-3</v>
      </c>
      <c r="D100" s="5">
        <f t="shared" si="5"/>
        <v>3.6736078716525644</v>
      </c>
      <c r="E100" s="5">
        <f t="shared" si="6"/>
        <v>4.163757090814828</v>
      </c>
      <c r="F100" s="68">
        <f t="shared" si="4"/>
        <v>-0.11771801487736255</v>
      </c>
      <c r="G100" s="5">
        <f t="shared" si="7"/>
        <v>14</v>
      </c>
    </row>
    <row r="101" spans="2:7" x14ac:dyDescent="0.2">
      <c r="B101" s="13">
        <v>44986</v>
      </c>
      <c r="C101" s="68">
        <f>VaR!C101</f>
        <v>6.807539656458958E-2</v>
      </c>
      <c r="D101" s="5">
        <f t="shared" si="5"/>
        <v>3.9236901843381102</v>
      </c>
      <c r="E101" s="5">
        <f t="shared" si="6"/>
        <v>4.163757090814828</v>
      </c>
      <c r="F101" s="68">
        <f t="shared" si="4"/>
        <v>-5.7656318858345768E-2</v>
      </c>
      <c r="G101" s="5">
        <f t="shared" si="7"/>
        <v>15</v>
      </c>
    </row>
    <row r="102" spans="2:7" x14ac:dyDescent="0.2">
      <c r="B102" s="13">
        <v>45017</v>
      </c>
      <c r="C102" s="68">
        <f>VaR!C102</f>
        <v>1.7323702894245955E-2</v>
      </c>
      <c r="D102" s="5">
        <f t="shared" si="5"/>
        <v>3.9916630273406524</v>
      </c>
      <c r="E102" s="5">
        <f t="shared" si="6"/>
        <v>4.163757090814828</v>
      </c>
      <c r="F102" s="68">
        <f t="shared" si="4"/>
        <v>-4.1331436901977825E-2</v>
      </c>
      <c r="G102" s="5">
        <f t="shared" si="7"/>
        <v>16</v>
      </c>
    </row>
    <row r="103" spans="2:7" x14ac:dyDescent="0.2">
      <c r="B103" s="13">
        <v>45047</v>
      </c>
      <c r="C103" s="68">
        <f>VaR!C103</f>
        <v>5.3190694224815503E-2</v>
      </c>
      <c r="D103" s="5">
        <f t="shared" si="5"/>
        <v>4.2039823548764303</v>
      </c>
      <c r="E103" s="5">
        <f t="shared" si="6"/>
        <v>4.2039823548764303</v>
      </c>
      <c r="F103" s="68">
        <f t="shared" si="4"/>
        <v>0</v>
      </c>
      <c r="G103" s="5">
        <f t="shared" si="7"/>
        <v>0</v>
      </c>
    </row>
    <row r="104" spans="2:7" x14ac:dyDescent="0.2">
      <c r="B104" s="13">
        <v>45078</v>
      </c>
      <c r="C104" s="68">
        <f>VaR!C104</f>
        <v>5.2904203169636781E-2</v>
      </c>
      <c r="D104" s="5">
        <f t="shared" si="5"/>
        <v>4.426390691500381</v>
      </c>
      <c r="E104" s="5">
        <f t="shared" si="6"/>
        <v>4.426390691500381</v>
      </c>
      <c r="F104" s="68">
        <f t="shared" si="4"/>
        <v>0</v>
      </c>
      <c r="G104" s="5">
        <f t="shared" si="7"/>
        <v>0</v>
      </c>
    </row>
    <row r="105" spans="2:7" x14ac:dyDescent="0.2">
      <c r="B105" s="13">
        <v>45108</v>
      </c>
      <c r="C105" s="68">
        <f>VaR!C105</f>
        <v>4.6318447770418013E-2</v>
      </c>
      <c r="D105" s="5">
        <f t="shared" si="5"/>
        <v>4.6314142375561058</v>
      </c>
      <c r="E105" s="5">
        <f t="shared" si="6"/>
        <v>4.6314142375561058</v>
      </c>
      <c r="F105" s="68">
        <f t="shared" si="4"/>
        <v>0</v>
      </c>
      <c r="G105" s="5">
        <f t="shared" si="7"/>
        <v>0</v>
      </c>
    </row>
    <row r="106" spans="2:7" x14ac:dyDescent="0.2">
      <c r="B106" s="13">
        <v>45139</v>
      </c>
      <c r="C106" s="68">
        <f>VaR!C106</f>
        <v>-1.2297172267482982E-2</v>
      </c>
      <c r="D106" s="5">
        <f t="shared" si="5"/>
        <v>4.5744609388348048</v>
      </c>
      <c r="E106" s="5">
        <f t="shared" si="6"/>
        <v>4.6314142375561058</v>
      </c>
      <c r="F106" s="68">
        <f t="shared" si="4"/>
        <v>-1.2297172267483059E-2</v>
      </c>
      <c r="G106" s="5">
        <f t="shared" si="7"/>
        <v>1</v>
      </c>
    </row>
    <row r="107" spans="2:7" x14ac:dyDescent="0.2">
      <c r="B107" s="13">
        <v>45170</v>
      </c>
      <c r="C107" s="68">
        <f>VaR!C107</f>
        <v>-5.845285620696155E-2</v>
      </c>
      <c r="D107" s="5">
        <f t="shared" si="5"/>
        <v>4.3070706313527314</v>
      </c>
      <c r="E107" s="5">
        <f t="shared" si="6"/>
        <v>4.6314142375561058</v>
      </c>
      <c r="F107" s="68">
        <f t="shared" si="4"/>
        <v>-7.0031223632141204E-2</v>
      </c>
      <c r="G107" s="5">
        <f t="shared" si="7"/>
        <v>2</v>
      </c>
    </row>
    <row r="108" spans="2:7" x14ac:dyDescent="0.2">
      <c r="B108" s="13">
        <v>45200</v>
      </c>
      <c r="C108" s="68">
        <f>VaR!C108</f>
        <v>-5.5610113656263281E-3</v>
      </c>
      <c r="D108" s="5">
        <f t="shared" si="5"/>
        <v>4.2831189626192234</v>
      </c>
      <c r="E108" s="5">
        <f t="shared" si="6"/>
        <v>4.6314142375561058</v>
      </c>
      <c r="F108" s="68">
        <f t="shared" si="4"/>
        <v>-7.5202790567200473E-2</v>
      </c>
      <c r="G108" s="5">
        <f t="shared" si="7"/>
        <v>3</v>
      </c>
    </row>
    <row r="109" spans="2:7" x14ac:dyDescent="0.2">
      <c r="B109" s="13">
        <v>45231</v>
      </c>
      <c r="C109" s="68">
        <f>VaR!C109</f>
        <v>8.856269407561812E-2</v>
      </c>
      <c r="D109" s="5">
        <f t="shared" si="5"/>
        <v>4.6624435169951486</v>
      </c>
      <c r="E109" s="5">
        <f t="shared" si="6"/>
        <v>4.6624435169951486</v>
      </c>
      <c r="F109" s="68">
        <f t="shared" si="4"/>
        <v>0</v>
      </c>
      <c r="G109" s="5">
        <f t="shared" si="7"/>
        <v>0</v>
      </c>
    </row>
    <row r="110" spans="2:7" x14ac:dyDescent="0.2">
      <c r="B110" s="13">
        <v>45261</v>
      </c>
      <c r="C110" s="68">
        <f>VaR!C110</f>
        <v>3.5079309686802521E-2</v>
      </c>
      <c r="D110" s="5">
        <f t="shared" si="5"/>
        <v>4.8259988170250461</v>
      </c>
      <c r="E110" s="5">
        <f t="shared" si="6"/>
        <v>4.8259988170250461</v>
      </c>
      <c r="F110" s="68">
        <f t="shared" si="4"/>
        <v>0</v>
      </c>
      <c r="G110" s="5">
        <f t="shared" si="7"/>
        <v>0</v>
      </c>
    </row>
    <row r="111" spans="2:7" x14ac:dyDescent="0.2">
      <c r="B111" s="13">
        <v>45292</v>
      </c>
      <c r="C111" s="68">
        <f>VaR!C111</f>
        <v>4.9470390689871996E-2</v>
      </c>
      <c r="D111" s="5">
        <f t="shared" si="5"/>
        <v>5.0647428639721346</v>
      </c>
      <c r="E111" s="5">
        <f t="shared" si="6"/>
        <v>5.0647428639721346</v>
      </c>
      <c r="F111" s="68">
        <f t="shared" si="4"/>
        <v>0</v>
      </c>
      <c r="G111" s="5">
        <f t="shared" si="7"/>
        <v>0</v>
      </c>
    </row>
    <row r="112" spans="2:7" x14ac:dyDescent="0.2">
      <c r="B112" s="13">
        <v>45323</v>
      </c>
      <c r="C112" s="68">
        <f>VaR!C112</f>
        <v>7.3381542063435126E-2</v>
      </c>
      <c r="D112" s="5">
        <f t="shared" si="5"/>
        <v>5.4364015054851889</v>
      </c>
      <c r="E112" s="5">
        <f t="shared" si="6"/>
        <v>5.4364015054851889</v>
      </c>
      <c r="F112" s="68">
        <f t="shared" si="4"/>
        <v>0</v>
      </c>
      <c r="G112" s="5">
        <f t="shared" si="7"/>
        <v>0</v>
      </c>
    </row>
    <row r="113" spans="2:7" x14ac:dyDescent="0.2">
      <c r="B113" s="13">
        <v>45352</v>
      </c>
      <c r="C113" s="68">
        <f>VaR!C113</f>
        <v>5.9101173547610894E-2</v>
      </c>
      <c r="D113" s="5">
        <f t="shared" si="5"/>
        <v>5.7576992143353616</v>
      </c>
      <c r="E113" s="5">
        <f t="shared" si="6"/>
        <v>5.7576992143353616</v>
      </c>
      <c r="F113" s="68">
        <f t="shared" si="4"/>
        <v>0</v>
      </c>
      <c r="G113" s="5">
        <f t="shared" si="7"/>
        <v>0</v>
      </c>
    </row>
    <row r="114" spans="2:7" x14ac:dyDescent="0.2">
      <c r="B114" s="13">
        <v>45383</v>
      </c>
      <c r="C114" s="68">
        <f>VaR!C114</f>
        <v>-2.3994202025727648E-2</v>
      </c>
      <c r="D114" s="5">
        <f t="shared" si="5"/>
        <v>5.6195478161832257</v>
      </c>
      <c r="E114" s="5">
        <f t="shared" si="6"/>
        <v>5.7576992143353616</v>
      </c>
      <c r="F114" s="68">
        <f t="shared" si="4"/>
        <v>-2.3994202025727662E-2</v>
      </c>
      <c r="G114" s="5">
        <f t="shared" si="7"/>
        <v>1</v>
      </c>
    </row>
    <row r="115" spans="2:7" x14ac:dyDescent="0.2">
      <c r="B115" s="13">
        <v>45413</v>
      </c>
      <c r="C115" s="68">
        <f>VaR!C115</f>
        <v>7.681659460331558E-2</v>
      </c>
      <c r="D115" s="5">
        <f t="shared" si="5"/>
        <v>6.0512223426329195</v>
      </c>
      <c r="E115" s="5">
        <f t="shared" si="6"/>
        <v>6.0512223426329195</v>
      </c>
      <c r="F115" s="68">
        <f t="shared" si="4"/>
        <v>0</v>
      </c>
      <c r="G115" s="5">
        <f t="shared" si="7"/>
        <v>0</v>
      </c>
    </row>
    <row r="116" spans="2:7" x14ac:dyDescent="0.2">
      <c r="B116" s="13">
        <v>45444</v>
      </c>
      <c r="C116" s="68">
        <f>VaR!C116</f>
        <v>3.7786007786417011E-2</v>
      </c>
      <c r="D116" s="5">
        <f t="shared" si="5"/>
        <v>6.2798738771889875</v>
      </c>
      <c r="E116" s="5">
        <f t="shared" si="6"/>
        <v>6.2798738771889875</v>
      </c>
      <c r="F116" s="68">
        <f t="shared" si="4"/>
        <v>0</v>
      </c>
      <c r="G116" s="5">
        <f t="shared" si="7"/>
        <v>0</v>
      </c>
    </row>
    <row r="117" spans="2:7" x14ac:dyDescent="0.2">
      <c r="B117" s="13">
        <v>45474</v>
      </c>
      <c r="C117" s="68">
        <f>VaR!C117</f>
        <v>7.6118952424746563E-3</v>
      </c>
      <c r="D117" s="5">
        <f t="shared" si="5"/>
        <v>6.3276756192781027</v>
      </c>
      <c r="E117" s="5">
        <f t="shared" si="6"/>
        <v>6.3276756192781027</v>
      </c>
      <c r="F117" s="68">
        <f t="shared" si="4"/>
        <v>0</v>
      </c>
      <c r="G117" s="5">
        <f t="shared" si="7"/>
        <v>0</v>
      </c>
    </row>
    <row r="118" spans="2:7" x14ac:dyDescent="0.2">
      <c r="B118" s="13">
        <v>45505</v>
      </c>
      <c r="C118" s="68">
        <f>VaR!C118</f>
        <v>2.8160814518644304E-2</v>
      </c>
      <c r="D118" s="5">
        <f t="shared" si="5"/>
        <v>6.5058681187267409</v>
      </c>
      <c r="E118" s="5">
        <f t="shared" si="6"/>
        <v>6.5058681187267409</v>
      </c>
      <c r="F118" s="68">
        <f t="shared" si="4"/>
        <v>0</v>
      </c>
      <c r="G118" s="5">
        <f t="shared" si="7"/>
        <v>0</v>
      </c>
    </row>
    <row r="119" spans="2:7" x14ac:dyDescent="0.2">
      <c r="B119" s="13">
        <v>45536</v>
      </c>
      <c r="C119" s="68">
        <f>VaR!C119</f>
        <v>1.6376854675761866E-2</v>
      </c>
      <c r="D119" s="5">
        <f t="shared" si="5"/>
        <v>6.6124137754468011</v>
      </c>
      <c r="E119" s="5">
        <f t="shared" si="6"/>
        <v>6.6124137754468011</v>
      </c>
      <c r="F119" s="68">
        <f t="shared" si="4"/>
        <v>0</v>
      </c>
      <c r="G119" s="5">
        <f t="shared" si="7"/>
        <v>0</v>
      </c>
    </row>
    <row r="120" spans="2:7" x14ac:dyDescent="0.2">
      <c r="B120" s="13">
        <v>45566</v>
      </c>
      <c r="C120" s="68">
        <f>VaR!C120</f>
        <v>1.7653464775592067E-2</v>
      </c>
      <c r="D120" s="5">
        <f t="shared" si="5"/>
        <v>6.7291457891132911</v>
      </c>
      <c r="E120" s="5">
        <f t="shared" si="6"/>
        <v>6.7291457891132911</v>
      </c>
      <c r="F120" s="68">
        <f t="shared" si="4"/>
        <v>0</v>
      </c>
      <c r="G120" s="5">
        <f t="shared" si="7"/>
        <v>0</v>
      </c>
    </row>
    <row r="121" spans="2:7" x14ac:dyDescent="0.2">
      <c r="B121" s="13">
        <v>45597</v>
      </c>
      <c r="C121" s="68">
        <f>VaR!C121</f>
        <v>4.6092007405328608E-2</v>
      </c>
      <c r="D121" s="5">
        <f t="shared" si="5"/>
        <v>7.0393056266566365</v>
      </c>
      <c r="E121" s="5">
        <f t="shared" si="6"/>
        <v>7.0393056266566365</v>
      </c>
      <c r="F121" s="68">
        <f t="shared" si="4"/>
        <v>0</v>
      </c>
      <c r="G121" s="5">
        <f t="shared" si="7"/>
        <v>0</v>
      </c>
    </row>
    <row r="122" spans="2:7" x14ac:dyDescent="0.2">
      <c r="B122" s="13">
        <v>45627</v>
      </c>
      <c r="C122" s="68">
        <f>VaR!C122</f>
        <v>-2.6793790477993438E-2</v>
      </c>
      <c r="D122" s="5">
        <f t="shared" si="5"/>
        <v>6.8506959465854385</v>
      </c>
      <c r="E122" s="5">
        <f t="shared" si="6"/>
        <v>7.0393056266566365</v>
      </c>
      <c r="F122" s="68">
        <f t="shared" si="4"/>
        <v>-2.6793790477993462E-2</v>
      </c>
      <c r="G122" s="5">
        <f t="shared" si="7"/>
        <v>1</v>
      </c>
    </row>
    <row r="123" spans="2:7" x14ac:dyDescent="0.2">
      <c r="B123" s="13">
        <v>45658</v>
      </c>
      <c r="C123" s="68">
        <f>VaR!C123</f>
        <v>1.5357803396423075E-2</v>
      </c>
      <c r="D123" s="5">
        <f t="shared" si="5"/>
        <v>6.9559075880617698</v>
      </c>
      <c r="E123" s="5">
        <f t="shared" si="6"/>
        <v>7.0393056266566365</v>
      </c>
      <c r="F123" s="68">
        <f t="shared" si="4"/>
        <v>-1.1847480847976377E-2</v>
      </c>
      <c r="G123" s="5">
        <f t="shared" si="7"/>
        <v>2</v>
      </c>
    </row>
    <row r="124" spans="2:7" x14ac:dyDescent="0.2">
      <c r="B124" s="13">
        <v>45689</v>
      </c>
      <c r="C124" s="68">
        <f>VaR!C124</f>
        <v>6.7833597985680017E-3</v>
      </c>
      <c r="D124" s="5">
        <f t="shared" si="5"/>
        <v>7.0030920119571825</v>
      </c>
      <c r="E124" s="5">
        <f t="shared" si="6"/>
        <v>7.0393056266566365</v>
      </c>
      <c r="F124" s="68">
        <f t="shared" si="4"/>
        <v>-5.1444867747068024E-3</v>
      </c>
      <c r="G124" s="5">
        <f t="shared" si="7"/>
        <v>3</v>
      </c>
    </row>
    <row r="125" spans="2:7" x14ac:dyDescent="0.2">
      <c r="B125" s="13">
        <v>45717</v>
      </c>
      <c r="C125" s="68">
        <f>VaR!C125</f>
        <v>-3.89045795010785E-2</v>
      </c>
      <c r="D125" s="5">
        <f t="shared" si="5"/>
        <v>6.7306396620246263</v>
      </c>
      <c r="E125" s="5">
        <f t="shared" si="6"/>
        <v>7.0393056266566365</v>
      </c>
      <c r="F125" s="68">
        <f t="shared" si="4"/>
        <v>-4.3848922181066508E-2</v>
      </c>
      <c r="G125" s="5">
        <f t="shared" si="7"/>
        <v>4</v>
      </c>
    </row>
    <row r="126" spans="2:7" x14ac:dyDescent="0.2">
      <c r="B126" s="13">
        <v>45748</v>
      </c>
      <c r="C126" s="68">
        <f>VaR!C126</f>
        <v>7.9175856289015467E-3</v>
      </c>
      <c r="D126" s="5">
        <f t="shared" si="5"/>
        <v>6.7839300778859872</v>
      </c>
      <c r="E126" s="5">
        <f t="shared" si="6"/>
        <v>7.0393056266566365</v>
      </c>
      <c r="F126" s="68">
        <f t="shared" si="4"/>
        <v>-3.6278514148268548E-2</v>
      </c>
      <c r="G126" s="5">
        <f t="shared" si="7"/>
        <v>5</v>
      </c>
    </row>
    <row r="127" spans="2:7" x14ac:dyDescent="0.2">
      <c r="B127" s="13">
        <v>45778</v>
      </c>
      <c r="C127" s="68">
        <f>VaR!C127</f>
        <v>8.2070461175353437E-2</v>
      </c>
      <c r="D127" s="5">
        <f t="shared" si="5"/>
        <v>7.3406903479594412</v>
      </c>
      <c r="E127" s="5">
        <f t="shared" si="6"/>
        <v>7.3406903479594412</v>
      </c>
      <c r="F127" s="68">
        <f t="shared" si="4"/>
        <v>0</v>
      </c>
      <c r="G127" s="5">
        <f t="shared" si="7"/>
        <v>0</v>
      </c>
    </row>
    <row r="128" spans="2:7" x14ac:dyDescent="0.2">
      <c r="B128" s="13">
        <v>45809</v>
      </c>
      <c r="C128" s="68">
        <f>VaR!C128</f>
        <v>5.7534319001115657E-2</v>
      </c>
      <c r="D128" s="5">
        <f t="shared" si="5"/>
        <v>7.7630319681273505</v>
      </c>
      <c r="E128" s="5">
        <f t="shared" si="6"/>
        <v>7.7630319681273505</v>
      </c>
      <c r="F128" s="68">
        <f t="shared" si="4"/>
        <v>0</v>
      </c>
      <c r="G128" s="5">
        <f t="shared" si="7"/>
        <v>0</v>
      </c>
    </row>
    <row r="129" spans="2:7" x14ac:dyDescent="0.2">
      <c r="B129" s="13">
        <v>45839</v>
      </c>
      <c r="C129" s="68">
        <f>VaR!C129</f>
        <v>2.5734443819447235E-2</v>
      </c>
      <c r="D129" s="5">
        <f t="shared" si="5"/>
        <v>7.962809278179698</v>
      </c>
      <c r="E129" s="5">
        <f t="shared" si="6"/>
        <v>7.962809278179698</v>
      </c>
      <c r="F129" s="68">
        <f t="shared" si="4"/>
        <v>0</v>
      </c>
      <c r="G129" s="5">
        <f t="shared" si="7"/>
        <v>0</v>
      </c>
    </row>
    <row r="130" spans="2:7" x14ac:dyDescent="0.2">
      <c r="B130" s="13">
        <v>45870</v>
      </c>
      <c r="C130" s="68">
        <f>VaR!C130</f>
        <v>2.1648540238108197E-2</v>
      </c>
      <c r="D130" s="5">
        <f t="shared" si="5"/>
        <v>8.1351924752467522</v>
      </c>
      <c r="E130" s="5">
        <f t="shared" si="6"/>
        <v>8.1351924752467522</v>
      </c>
      <c r="F130" s="68">
        <f t="shared" si="4"/>
        <v>0</v>
      </c>
      <c r="G130" s="5">
        <f t="shared" si="7"/>
        <v>0</v>
      </c>
    </row>
    <row r="131" spans="2:7" x14ac:dyDescent="0.2">
      <c r="B131" s="13">
        <v>45901</v>
      </c>
      <c r="C131" s="68">
        <f>VaR!C131</f>
        <v>5.7014410575537113E-2</v>
      </c>
      <c r="D131" s="5">
        <f t="shared" si="5"/>
        <v>8.5990156791414893</v>
      </c>
      <c r="E131" s="5">
        <f t="shared" si="6"/>
        <v>8.5990156791414893</v>
      </c>
      <c r="F131" s="68">
        <f t="shared" si="4"/>
        <v>0</v>
      </c>
      <c r="G131" s="5">
        <f t="shared" si="7"/>
        <v>0</v>
      </c>
    </row>
    <row r="132" spans="2:7" x14ac:dyDescent="0.2">
      <c r="B132" s="13">
        <v>45931</v>
      </c>
      <c r="C132" s="68">
        <f>VaR!C132</f>
        <v>3.2520738010186734E-2</v>
      </c>
      <c r="D132" s="5">
        <f t="shared" si="5"/>
        <v>8.8786620151883362</v>
      </c>
      <c r="E132" s="5">
        <f t="shared" si="6"/>
        <v>8.8786620151883362</v>
      </c>
      <c r="F132" s="68">
        <f t="shared" si="4"/>
        <v>0</v>
      </c>
      <c r="G132" s="5">
        <f t="shared" si="7"/>
        <v>0</v>
      </c>
    </row>
    <row r="133" spans="2:7" x14ac:dyDescent="0.2">
      <c r="B133" s="13">
        <v>45962</v>
      </c>
      <c r="C133" s="68">
        <f>VaR!C133</f>
        <v>-1.604652250405178E-2</v>
      </c>
      <c r="D133" s="5">
        <f t="shared" si="5"/>
        <v>8.7361903653557462</v>
      </c>
      <c r="E133" s="5">
        <f t="shared" si="6"/>
        <v>8.8786620151883362</v>
      </c>
      <c r="F133" s="68">
        <f t="shared" ref="F133:F135" si="8">(D133/E133)-1</f>
        <v>-1.6046522504051808E-2</v>
      </c>
      <c r="G133" s="5">
        <f t="shared" si="7"/>
        <v>1</v>
      </c>
    </row>
    <row r="134" spans="2:7" x14ac:dyDescent="0.2">
      <c r="B134" s="13">
        <v>45992</v>
      </c>
      <c r="C134" s="68">
        <f>VaR!C134</f>
        <v>1.2154361838851385E-2</v>
      </c>
      <c r="D134" s="5">
        <f t="shared" ref="D134:D135" si="9">D133*(1+C134)</f>
        <v>8.8423731841493662</v>
      </c>
      <c r="E134" s="5">
        <f t="shared" ref="E134:E135" si="10">MAX(E133,D134)</f>
        <v>8.8786620151883362</v>
      </c>
      <c r="F134" s="68">
        <f t="shared" si="8"/>
        <v>-4.0871959059700647E-3</v>
      </c>
      <c r="G134" s="5">
        <f t="shared" ref="G134:G135" si="11">IF($D134&lt;$E134,G133+1,0)</f>
        <v>2</v>
      </c>
    </row>
    <row r="135" spans="2:7" x14ac:dyDescent="0.2">
      <c r="B135" s="13">
        <v>46023</v>
      </c>
      <c r="C135" s="68">
        <f>VaR!C135</f>
        <v>2.0375896174457907E-2</v>
      </c>
      <c r="D135" s="5">
        <f t="shared" si="9"/>
        <v>9.0225444620854045</v>
      </c>
      <c r="E135" s="5">
        <f t="shared" si="10"/>
        <v>9.0225444620854045</v>
      </c>
      <c r="F135" s="68">
        <f t="shared" si="8"/>
        <v>0</v>
      </c>
      <c r="G135" s="5">
        <f t="shared" si="11"/>
        <v>0</v>
      </c>
    </row>
    <row r="144" spans="2:7" x14ac:dyDescent="0.2">
      <c r="B144" s="41" t="s">
        <v>1365</v>
      </c>
      <c r="C144">
        <f>MATCH(MIN($F:$F),$F:$F,0)</f>
        <v>95</v>
      </c>
    </row>
    <row r="145" spans="2:5" x14ac:dyDescent="0.2">
      <c r="B145" s="41" t="s">
        <v>1366</v>
      </c>
      <c r="C145">
        <f>MATCH(0,F96:F200,0)+95</f>
        <v>103</v>
      </c>
    </row>
    <row r="150" spans="2:5" x14ac:dyDescent="0.2">
      <c r="B150" s="75" t="s">
        <v>1362</v>
      </c>
      <c r="C150" s="75" t="s">
        <v>1369</v>
      </c>
      <c r="D150" s="75" t="s">
        <v>1367</v>
      </c>
      <c r="E150" s="75" t="s">
        <v>1368</v>
      </c>
    </row>
    <row r="151" spans="2:5" x14ac:dyDescent="0.2">
      <c r="B151" s="69">
        <f>-MIN(F4:F135)</f>
        <v>0.29410803015585252</v>
      </c>
      <c r="C151" s="74">
        <f>INDEX(B4:B135,MATCH(-B151,F4:F135,0))</f>
        <v>44805</v>
      </c>
      <c r="D151" s="5">
        <f>103-95</f>
        <v>8</v>
      </c>
      <c r="E151" s="74">
        <f>INDEX(B:B,103)</f>
        <v>45047</v>
      </c>
    </row>
    <row r="154" spans="2:5" x14ac:dyDescent="0.2">
      <c r="B154" s="75" t="s">
        <v>1364</v>
      </c>
      <c r="C154" s="75"/>
    </row>
    <row r="155" spans="2:5" x14ac:dyDescent="0.2">
      <c r="B155" s="5">
        <f>MAX(G:G)</f>
        <v>16</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8C31-0699-428E-BBEA-FF1C9951B543}">
  <dimension ref="B2:F5"/>
  <sheetViews>
    <sheetView workbookViewId="0">
      <selection activeCell="L28" sqref="L28"/>
    </sheetView>
  </sheetViews>
  <sheetFormatPr defaultRowHeight="14.25" x14ac:dyDescent="0.2"/>
  <cols>
    <col min="2" max="2" width="12.625" bestFit="1" customWidth="1"/>
    <col min="3" max="3" width="6.75" bestFit="1" customWidth="1"/>
    <col min="4" max="4" width="13.625" bestFit="1" customWidth="1"/>
    <col min="5" max="5" width="10.5" bestFit="1" customWidth="1"/>
  </cols>
  <sheetData>
    <row r="2" spans="2:6" x14ac:dyDescent="0.2">
      <c r="B2" s="96" t="s">
        <v>1464</v>
      </c>
      <c r="C2" s="96" t="s">
        <v>1465</v>
      </c>
      <c r="D2" s="96" t="s">
        <v>1326</v>
      </c>
      <c r="E2" s="96" t="s">
        <v>1405</v>
      </c>
      <c r="F2" s="96" t="s">
        <v>1416</v>
      </c>
    </row>
    <row r="3" spans="2:6" x14ac:dyDescent="0.2">
      <c r="B3" s="5" t="s">
        <v>1466</v>
      </c>
      <c r="C3" s="95">
        <v>43891</v>
      </c>
      <c r="D3" s="5">
        <f>Out_of_Sample!D80</f>
        <v>-8.517772854356559E-2</v>
      </c>
      <c r="E3" s="5">
        <f>Out_of_Sample!E80</f>
        <v>-0.129987173428745</v>
      </c>
      <c r="F3" s="5">
        <f>D3-E3</f>
        <v>4.4809444885179406E-2</v>
      </c>
    </row>
    <row r="4" spans="2:6" x14ac:dyDescent="0.2">
      <c r="B4" s="5" t="s">
        <v>1467</v>
      </c>
      <c r="C4" s="95">
        <v>44713</v>
      </c>
      <c r="D4" s="5">
        <f>Out_of_Sample!D107</f>
        <v>-8.9386064765977005E-2</v>
      </c>
      <c r="E4" s="5">
        <f>Out_of_Sample!E107</f>
        <v>-8.6406897052769271E-2</v>
      </c>
      <c r="F4" s="5">
        <f t="shared" ref="F4:F5" si="0">D4-E4</f>
        <v>-2.9791677132077338E-3</v>
      </c>
    </row>
    <row r="5" spans="2:6" x14ac:dyDescent="0.2">
      <c r="B5" s="5" t="s">
        <v>1468</v>
      </c>
      <c r="C5" s="95">
        <v>45047</v>
      </c>
      <c r="D5" s="5">
        <f>Out_of_Sample!D118</f>
        <v>5.3190694202089363E-2</v>
      </c>
      <c r="E5" s="5">
        <f>Out_of_Sample!E118</f>
        <v>4.6161613733080031E-3</v>
      </c>
      <c r="F5" s="5">
        <f t="shared" si="0"/>
        <v>4.857453282878136E-2</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B870C-8CA6-4F52-B0C8-B169F54F6D4F}">
  <dimension ref="B2:O39"/>
  <sheetViews>
    <sheetView showGridLines="0" tabSelected="1" zoomScale="85" zoomScaleNormal="85" workbookViewId="0">
      <selection activeCell="Q2" sqref="Q2"/>
    </sheetView>
  </sheetViews>
  <sheetFormatPr defaultColWidth="18.625" defaultRowHeight="14.25" x14ac:dyDescent="0.2"/>
  <cols>
    <col min="5" max="5" width="18.75" customWidth="1"/>
    <col min="7" max="7" width="15.625" customWidth="1"/>
    <col min="10" max="10" width="18.75" customWidth="1"/>
    <col min="11" max="11" width="17" customWidth="1"/>
    <col min="12" max="12" width="16" customWidth="1"/>
    <col min="13" max="13" width="13.75" customWidth="1"/>
    <col min="14" max="14" width="15.25" bestFit="1" customWidth="1"/>
    <col min="15" max="15" width="14.25" bestFit="1" customWidth="1"/>
  </cols>
  <sheetData>
    <row r="2" spans="2:13" ht="30.75" x14ac:dyDescent="0.55000000000000004">
      <c r="B2" s="132" t="s">
        <v>1469</v>
      </c>
      <c r="C2" s="132"/>
      <c r="D2" s="132"/>
      <c r="E2" s="132"/>
      <c r="F2" s="132"/>
      <c r="G2" s="132"/>
      <c r="H2" s="132"/>
      <c r="I2" s="132"/>
      <c r="J2" s="132"/>
      <c r="K2" s="132"/>
      <c r="L2" s="132"/>
      <c r="M2" s="132"/>
    </row>
    <row r="18" spans="10:15" x14ac:dyDescent="0.2">
      <c r="M18" s="102"/>
    </row>
    <row r="26" spans="10:15" x14ac:dyDescent="0.2">
      <c r="L26" s="139"/>
      <c r="M26" s="139"/>
      <c r="N26" s="139"/>
      <c r="O26" s="139"/>
    </row>
    <row r="27" spans="10:15" ht="15" x14ac:dyDescent="0.25">
      <c r="J27" s="101"/>
      <c r="K27" s="101"/>
      <c r="L27" s="147" t="s">
        <v>1464</v>
      </c>
      <c r="M27" s="148" t="s">
        <v>1465</v>
      </c>
      <c r="N27" s="148" t="s">
        <v>1326</v>
      </c>
      <c r="O27" s="149" t="s">
        <v>1405</v>
      </c>
    </row>
    <row r="28" spans="10:15" x14ac:dyDescent="0.2">
      <c r="L28" s="141" t="s">
        <v>1466</v>
      </c>
      <c r="M28" s="140">
        <v>43891</v>
      </c>
      <c r="N28" s="103">
        <v>-8.517772854356559E-2</v>
      </c>
      <c r="O28" s="142">
        <v>-0.129987173428745</v>
      </c>
    </row>
    <row r="29" spans="10:15" x14ac:dyDescent="0.2">
      <c r="L29" s="141" t="s">
        <v>1467</v>
      </c>
      <c r="M29" s="140">
        <v>44713</v>
      </c>
      <c r="N29" s="103">
        <v>-8.9386064765977005E-2</v>
      </c>
      <c r="O29" s="142">
        <v>-8.6406897052769271E-2</v>
      </c>
    </row>
    <row r="30" spans="10:15" x14ac:dyDescent="0.2">
      <c r="L30" s="143" t="s">
        <v>1468</v>
      </c>
      <c r="M30" s="144">
        <v>45047</v>
      </c>
      <c r="N30" s="145">
        <v>5.3190694202089363E-2</v>
      </c>
      <c r="O30" s="146">
        <v>4.6161613733080031E-3</v>
      </c>
    </row>
    <row r="31" spans="10:15" x14ac:dyDescent="0.2">
      <c r="L31" s="100"/>
      <c r="M31" s="100"/>
    </row>
    <row r="32" spans="10:15" x14ac:dyDescent="0.2">
      <c r="L32" s="100"/>
      <c r="M32" s="100"/>
    </row>
    <row r="33" spans="12:14" x14ac:dyDescent="0.2">
      <c r="L33" s="100"/>
      <c r="M33" s="100"/>
    </row>
    <row r="36" spans="12:14" ht="15" x14ac:dyDescent="0.25">
      <c r="L36" s="134" t="s">
        <v>635</v>
      </c>
      <c r="M36" s="135" t="s">
        <v>1473</v>
      </c>
      <c r="N36" s="136" t="s">
        <v>1474</v>
      </c>
    </row>
    <row r="37" spans="12:14" x14ac:dyDescent="0.2">
      <c r="L37" s="137" t="s">
        <v>1475</v>
      </c>
      <c r="M37" s="150">
        <v>0.11979509715901515</v>
      </c>
      <c r="N37" s="152">
        <v>0.21259575324749752</v>
      </c>
    </row>
    <row r="38" spans="12:14" x14ac:dyDescent="0.2">
      <c r="L38" s="137" t="s">
        <v>1339</v>
      </c>
      <c r="M38" s="150">
        <v>0.12609758741413313</v>
      </c>
      <c r="N38" s="152">
        <v>0.14858892934317453</v>
      </c>
    </row>
    <row r="39" spans="12:14" x14ac:dyDescent="0.2">
      <c r="L39" s="138" t="s">
        <v>642</v>
      </c>
      <c r="M39" s="151">
        <v>0.63280431287673977</v>
      </c>
      <c r="N39" s="153">
        <v>1.1615653602892437</v>
      </c>
    </row>
  </sheetData>
  <mergeCells count="1">
    <mergeCell ref="B2:M2"/>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D40AD-1182-4AFE-A8E9-79FC5D8ACDD9}">
  <dimension ref="C4:G12"/>
  <sheetViews>
    <sheetView workbookViewId="0">
      <selection activeCell="C9" sqref="C9:E12"/>
    </sheetView>
  </sheetViews>
  <sheetFormatPr defaultRowHeight="14.25" x14ac:dyDescent="0.2"/>
  <cols>
    <col min="3" max="3" width="14.625" bestFit="1" customWidth="1"/>
    <col min="6" max="6" width="9.625" customWidth="1"/>
    <col min="7" max="7" width="20.25" bestFit="1" customWidth="1"/>
  </cols>
  <sheetData>
    <row r="4" spans="3:7" ht="42.75" x14ac:dyDescent="0.2">
      <c r="C4" s="41" t="s">
        <v>1471</v>
      </c>
      <c r="D4" s="41" t="s">
        <v>639</v>
      </c>
      <c r="E4" s="41" t="s">
        <v>1472</v>
      </c>
      <c r="F4" s="41" t="s">
        <v>1470</v>
      </c>
      <c r="G4" s="41" t="s">
        <v>642</v>
      </c>
    </row>
    <row r="5" spans="3:7" x14ac:dyDescent="0.2">
      <c r="C5">
        <f>AVERAGE(Out_of_Sample!D19:D150)</f>
        <v>1.7716312770624795E-2</v>
      </c>
      <c r="D5" s="77">
        <f>C5*12</f>
        <v>0.21259575324749752</v>
      </c>
      <c r="E5">
        <f>_xlfn.STDEV.S(Out_of_Sample!D19:D150)</f>
        <v>4.2893929177440046E-2</v>
      </c>
      <c r="F5" s="77">
        <f>E5*SQRT(12)</f>
        <v>0.14858892934317453</v>
      </c>
      <c r="G5" s="99">
        <f>(D5-0.04)/F5</f>
        <v>1.1615653602892437</v>
      </c>
    </row>
    <row r="9" spans="3:7" x14ac:dyDescent="0.2">
      <c r="C9" t="s">
        <v>635</v>
      </c>
      <c r="D9" t="s">
        <v>1473</v>
      </c>
      <c r="E9" t="s">
        <v>1474</v>
      </c>
    </row>
    <row r="10" spans="3:7" x14ac:dyDescent="0.2">
      <c r="C10" t="s">
        <v>1475</v>
      </c>
      <c r="D10" s="133">
        <f>'Portfolio '!B16</f>
        <v>0.11979509715901515</v>
      </c>
      <c r="E10" s="133">
        <f>D5</f>
        <v>0.21259575324749752</v>
      </c>
    </row>
    <row r="11" spans="3:7" x14ac:dyDescent="0.2">
      <c r="C11" t="s">
        <v>1339</v>
      </c>
      <c r="D11" s="133">
        <f>'Portfolio '!B39</f>
        <v>0.12609758741413313</v>
      </c>
      <c r="E11" s="133">
        <f>F5</f>
        <v>0.14858892934317453</v>
      </c>
    </row>
    <row r="12" spans="3:7" x14ac:dyDescent="0.2">
      <c r="C12" t="s">
        <v>642</v>
      </c>
      <c r="D12" s="99">
        <f>'Portfolio '!B40</f>
        <v>0.63280431287673977</v>
      </c>
      <c r="E12" s="99">
        <f>G5</f>
        <v>1.1615653602892437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vt:i4>
      </vt:variant>
    </vt:vector>
  </HeadingPairs>
  <TitlesOfParts>
    <vt:vector size="25" baseType="lpstr">
      <vt:lpstr>Raw_Data</vt:lpstr>
      <vt:lpstr>Clean_Data</vt:lpstr>
      <vt:lpstr>Assumptions</vt:lpstr>
      <vt:lpstr>TimeLine</vt:lpstr>
      <vt:lpstr>Returns</vt:lpstr>
      <vt:lpstr>Returns2</vt:lpstr>
      <vt:lpstr>Risk_Analysis</vt:lpstr>
      <vt:lpstr>Correlation</vt:lpstr>
      <vt:lpstr>Beta</vt:lpstr>
      <vt:lpstr>Portfolio </vt:lpstr>
      <vt:lpstr>Solver_Optimization</vt:lpstr>
      <vt:lpstr>Solver_Comparison</vt:lpstr>
      <vt:lpstr>Rate_Sensitivity</vt:lpstr>
      <vt:lpstr>Out_of_Sample</vt:lpstr>
      <vt:lpstr>capm-reg</vt:lpstr>
      <vt:lpstr>CAPM</vt:lpstr>
      <vt:lpstr>Return_Attribution</vt:lpstr>
      <vt:lpstr>Risk_Contribution</vt:lpstr>
      <vt:lpstr>VaR</vt:lpstr>
      <vt:lpstr>Drawdown</vt:lpstr>
      <vt:lpstr>stress_test</vt:lpstr>
      <vt:lpstr>Dashboard</vt:lpstr>
      <vt:lpstr>Sheet1</vt:lpstr>
      <vt:lpstr>'Portfolio '!Portfolio_Sharpe</vt:lpstr>
      <vt:lpstr>Risk_Free_rate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ליעד צור</dc:creator>
  <cp:lastModifiedBy>ליעד צור</cp:lastModifiedBy>
  <dcterms:created xsi:type="dcterms:W3CDTF">2015-06-05T18:17:20Z</dcterms:created>
  <dcterms:modified xsi:type="dcterms:W3CDTF">2026-03-13T16:01:18Z</dcterms:modified>
</cp:coreProperties>
</file>